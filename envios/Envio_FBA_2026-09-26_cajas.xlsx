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bookViews>
    <workbookView activeTab="0"/>
  </bookViews>
  <sheets>
    <sheet name="Instructions" r:id="rId3" sheetId="1"/>
    <sheet name="Pack Group - 1" r:id="rId4" sheetId="2"/>
    <sheet name="Pack Group - 2" r:id="rId5" sheetId="3"/>
    <sheet name="Pack Group - 3" r:id="rId6" sheetId="4"/>
    <sheet name="Metadata" r:id="rId7" sheetId="5"/>
  </sheets>
</workbook>
</file>

<file path=xl/sharedStrings.xml><?xml version="1.0" encoding="utf-8"?>
<sst xmlns="http://schemas.openxmlformats.org/spreadsheetml/2006/main" count="140" uniqueCount="64">
  <si>
    <t>How to upload box content information using this Excel file</t>
  </si>
  <si>
    <t>You can provide packing information for multiple pack groups in bulk with this template to help save you time and reduce errors when you submit box content information for complex shipments. It's especially useful for shipments with various products distributed across multiple boxes and pack groups.
With this template, you can:
          • Enter detailed box content information for multiple pack groups in one file.
          • Organize data efficiently with separate tabs for each pack group.
          • Enter information in the Send to Amazon workflow and it will automatically adjust in this template.
          • Input units per SKU, box weights, and dimensions for each box.</t>
  </si>
  <si>
    <t>Step 1 – Navigate the workbook</t>
  </si>
  <si>
    <t>Each tab represents a different pack group, for example, "Pack Group - 1". Complete the steps for each pack group tab in the workbook.</t>
  </si>
  <si>
    <t>Step 2 – Review total box count</t>
  </si>
  <si>
    <t>The "Total box count" field is automatically populated with the number that you entered in the Send to Amazon workflow for each pack group.
This total box count number is an estimate and can be modified by up to 10 boxes before uploading the file.
Each box is identified with a number, for example, Box 1 quantity or Box 2 quantity, and appears as a column in the spreadsheet.
If you update the total box count, the number of columns will update automatically.</t>
  </si>
  <si>
    <t>Step 3 – Provide box content information</t>
  </si>
  <si>
    <t>Each SKU in the pack group will appear in a row in the workflow. For each box, enter the number of units of each SKU that will be packed in that box. The "Boxed quantity" field shows the current number of units that you have entered. It will remain red until the units that you have entered match the expected unit quantity of this shipment.</t>
  </si>
  <si>
    <t>Step 4 – Provide box weights and dimensions</t>
  </si>
  <si>
    <t>For each box in the pack group, enter the weight and dimensions</t>
  </si>
  <si>
    <t>Step 5 – Repeat for all pack groups</t>
  </si>
  <si>
    <t>Once you've completed one pack group tab, move to the next and repeat steps 2-4 until all pack groups are completed.</t>
  </si>
  <si>
    <t>Step 6 – Save and upload</t>
  </si>
  <si>
    <t>Once you have filled out the Excel spreadsheet, you can upload it to Seller Central as an .xlsx file</t>
  </si>
  <si>
    <t>Provide the box details for this pack group below. See the instructions sheet if you have questions.</t>
  </si>
  <si>
    <t>Pack group: 1</t>
  </si>
  <si>
    <t>pg68e47c3a-36c7-4832-a9ad-57f3e690168f</t>
  </si>
  <si>
    <t>Total SKUs: 2 (4 units)</t>
  </si>
  <si>
    <t>Total box count:</t>
  </si>
  <si>
    <t>SKU</t>
  </si>
  <si>
    <t xml:space="preserve">Product title </t>
  </si>
  <si>
    <t>Id</t>
  </si>
  <si>
    <t>ASIN</t>
  </si>
  <si>
    <t>FNSKU</t>
  </si>
  <si>
    <t>Condition</t>
  </si>
  <si>
    <t>Prep type</t>
  </si>
  <si>
    <t>Who preps units?</t>
  </si>
  <si>
    <t>Who labels units?</t>
  </si>
  <si>
    <t>Expected quantity</t>
  </si>
  <si>
    <t>Boxed quantity</t>
  </si>
  <si>
    <t>5E-I8NY-S191</t>
  </si>
  <si>
    <t>Soporte Movil Coche Universal Ajustable 360° para Rejilla Ventilación | Clip(Gancho) Super Estable y Seguro | Sujeta Movil Coche Compatible con Smartphones: iPhone, Samsung, Xiaomi y Más</t>
  </si>
  <si>
    <t>pk32510780-adaa-49d4-9703-52bbe486c990</t>
  </si>
  <si>
    <t>B0DHYBY6MS</t>
  </si>
  <si>
    <t>X00253XINT</t>
  </si>
  <si>
    <t>NewItem</t>
  </si>
  <si>
    <t>Labeling</t>
  </si>
  <si>
    <t/>
  </si>
  <si>
    <t>By seller</t>
  </si>
  <si>
    <t>O8-5W7J-DSK1</t>
  </si>
  <si>
    <t>Genérico Soporte Móvil para Coche con Pinza Ajustable 360° para Salpicadero/Parasol/Espejo Retrovisor, Antideslizante y Estable | Compatible con iPhone, Samsung, Xiaomi y Más</t>
  </si>
  <si>
    <t>pk1860a3be-3f59-4d6b-90c7-2bb8f4762e5a</t>
  </si>
  <si>
    <t>B0DCZS1NR6</t>
  </si>
  <si>
    <t>X0023O0ATF</t>
  </si>
  <si>
    <t>Name of box</t>
  </si>
  <si>
    <t>Box weight (kg):</t>
  </si>
  <si>
    <t>Box width (cm):</t>
  </si>
  <si>
    <t>Box length (cm):</t>
  </si>
  <si>
    <t>Box height (cm):</t>
  </si>
  <si>
    <t>Pack group: 2</t>
  </si>
  <si>
    <t>pg7b77ef6a-8b6f-4429-8941-590c353311c8</t>
  </si>
  <si>
    <t>Total SKUs: 2 (3 units)</t>
  </si>
  <si>
    <t>Pack group: 3</t>
  </si>
  <si>
    <t>pgaa3b3c68-3301-4c29-95f0-574aecd5e92f</t>
  </si>
  <si>
    <t>Total SKUs: 2 (33 units)</t>
  </si>
  <si>
    <t>Locale</t>
  </si>
  <si>
    <t>en_US</t>
  </si>
  <si>
    <t>Weight unit</t>
  </si>
  <si>
    <t>kg</t>
  </si>
  <si>
    <t>Length unit</t>
  </si>
  <si>
    <t>cm</t>
  </si>
  <si>
    <t>Version</t>
  </si>
  <si>
    <t>1.1</t>
  </si>
  <si>
    <t>Number of packing sheets</t>
  </si>
</sst>
</file>

<file path=xl/styles.xml><?xml version="1.0" encoding="utf-8"?>
<styleSheet xmlns="http://schemas.openxmlformats.org/spreadsheetml/2006/main">
  <numFmts count="0"/>
  <fonts count="324">
    <font>
      <sz val="11.0"/>
      <color indexed="8"/>
      <name val="Calibri"/>
      <family val="2"/>
      <scheme val="minor"/>
    </font>
    <font>
      <name val="Calibri"/>
      <sz val="20.0"/>
    </font>
    <font>
      <name val="Calibri"/>
      <sz val="13.0"/>
    </font>
    <font>
      <name val="Calibri"/>
      <sz val="14.0"/>
      <b val="true"/>
    </font>
    <font>
      <name val="Calibri"/>
      <sz val="13.0"/>
    </font>
    <font>
      <name val="Calibri"/>
      <sz val="14.0"/>
      <b val="true"/>
    </font>
    <font>
      <name val="Calibri"/>
      <sz val="13.0"/>
    </font>
    <font>
      <name val="Calibri"/>
      <sz val="14.0"/>
      <b val="true"/>
    </font>
    <font>
      <name val="Calibri"/>
      <sz val="13.0"/>
    </font>
    <font>
      <name val="Calibri"/>
      <sz val="14.0"/>
      <b val="true"/>
    </font>
    <font>
      <name val="Calibri"/>
      <sz val="13.0"/>
    </font>
    <font>
      <name val="Calibri"/>
      <sz val="14.0"/>
      <b val="true"/>
    </font>
    <font>
      <name val="Calibri"/>
      <sz val="13.0"/>
    </font>
    <font>
      <name val="Calibri"/>
      <sz val="14.0"/>
      <b val="true"/>
    </font>
    <font>
      <name val="Calibri"/>
      <sz val="13.0"/>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24.0"/>
    </font>
    <font>
      <name val="Calibri"/>
      <sz val="24.0"/>
    </font>
    <font>
      <name val="Calibri"/>
      <sz val="24.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24.0"/>
    </font>
    <font>
      <name val="Calibri"/>
      <sz val="24.0"/>
    </font>
    <font>
      <name val="Calibri"/>
      <sz val="24.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14.0"/>
      <color indexed="53"/>
    </font>
    <font>
      <name val="Calibri"/>
      <sz val="24.0"/>
    </font>
    <font>
      <name val="Calibri"/>
      <sz val="24.0"/>
    </font>
    <font>
      <name val="Calibri"/>
      <sz val="24.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font>
    <font>
      <name val="Calibri"/>
      <sz val="18.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6">
    <fill>
      <patternFill patternType="none"/>
    </fill>
    <fill>
      <patternFill patternType="darkGray"/>
    </fill>
    <fill>
      <patternFill patternType="solid"/>
    </fill>
    <fill>
      <patternFill patternType="solid">
        <fgColor indexed="22"/>
      </patternFill>
    </fill>
    <fill>
      <patternFill patternType="solid">
        <fgColor indexed="13"/>
      </patternFill>
    </fill>
    <fill>
      <patternFill patternType="solid">
        <fgColor indexed="23"/>
      </patternFill>
    </fill>
  </fills>
  <borders count="9">
    <border>
      <left/>
      <right/>
      <top/>
      <bottom/>
      <diagonal/>
    </border>
    <border>
      <top style="thin"/>
    </border>
    <border>
      <top style="thin">
        <color indexed="63"/>
      </top>
    </border>
    <border>
      <left style="double"/>
      <top style="thin">
        <color indexed="63"/>
      </top>
    </border>
    <border>
      <left style="double">
        <color indexed="63"/>
      </left>
      <top style="thin">
        <color indexed="63"/>
      </top>
    </border>
    <border>
      <left style="double">
        <color indexed="63"/>
      </left>
      <top style="thin">
        <color indexed="63"/>
      </top>
      <bottom style="thin"/>
    </border>
    <border>
      <left style="double">
        <color indexed="63"/>
      </left>
      <top style="thin">
        <color indexed="63"/>
      </top>
      <bottom style="thin">
        <color indexed="63"/>
      </bottom>
    </border>
    <border>
      <left style="double">
        <color indexed="63"/>
      </left>
      <right style="double"/>
      <top style="thin">
        <color indexed="63"/>
      </top>
      <bottom style="thin">
        <color indexed="63"/>
      </bottom>
    </border>
    <border>
      <left style="double">
        <color indexed="63"/>
      </left>
      <right style="double">
        <color indexed="63"/>
      </right>
      <top style="thin">
        <color indexed="63"/>
      </top>
      <bottom style="thin">
        <color indexed="63"/>
      </bottom>
    </border>
  </borders>
  <cellStyleXfs count="1">
    <xf numFmtId="0" fontId="0" fillId="0" borderId="0"/>
  </cellStyleXfs>
  <cellXfs count="343">
    <xf numFmtId="0" fontId="0" fillId="0" borderId="0" xfId="0"/>
    <xf numFmtId="0" fontId="1" fillId="0" borderId="0" xfId="0" applyFont="true">
      <alignment wrapText="true"/>
    </xf>
    <xf numFmtId="0" fontId="2" fillId="0" borderId="8" xfId="0" applyBorder="true" applyFont="true">
      <alignment wrapText="true"/>
    </xf>
    <xf numFmtId="0" fontId="3" fillId="3" borderId="8" xfId="0" applyFill="true" applyBorder="true" applyFont="true">
      <alignment wrapText="true"/>
    </xf>
    <xf numFmtId="0" fontId="4" fillId="0" borderId="8" xfId="0" applyBorder="true" applyFont="true">
      <alignment wrapText="true"/>
    </xf>
    <xf numFmtId="0" fontId="5" fillId="3" borderId="8" xfId="0" applyFill="true" applyBorder="true" applyFont="true">
      <alignment wrapText="true"/>
    </xf>
    <xf numFmtId="0" fontId="6" fillId="0" borderId="8" xfId="0" applyBorder="true" applyFont="true">
      <alignment wrapText="true"/>
    </xf>
    <xf numFmtId="0" fontId="7" fillId="3" borderId="8" xfId="0" applyFill="true" applyBorder="true" applyFont="true">
      <alignment wrapText="true"/>
    </xf>
    <xf numFmtId="0" fontId="8" fillId="0" borderId="8" xfId="0" applyBorder="true" applyFont="true">
      <alignment wrapText="true"/>
    </xf>
    <xf numFmtId="0" fontId="9" fillId="3" borderId="8" xfId="0" applyFill="true" applyBorder="true" applyFont="true">
      <alignment wrapText="true"/>
    </xf>
    <xf numFmtId="0" fontId="10" fillId="0" borderId="8" xfId="0" applyBorder="true" applyFont="true">
      <alignment wrapText="true"/>
    </xf>
    <xf numFmtId="0" fontId="11" fillId="3" borderId="8" xfId="0" applyFill="true" applyBorder="true" applyFont="true">
      <alignment wrapText="true"/>
    </xf>
    <xf numFmtId="0" fontId="12" fillId="0" borderId="8" xfId="0" applyBorder="true" applyFont="true">
      <alignment wrapText="true"/>
    </xf>
    <xf numFmtId="0" fontId="13" fillId="3" borderId="8" xfId="0" applyFill="true" applyBorder="true" applyFont="true">
      <alignment wrapText="true"/>
    </xf>
    <xf numFmtId="0" fontId="14" fillId="0" borderId="8" xfId="0" applyBorder="true" applyFont="true">
      <alignment wrapText="true"/>
    </xf>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0" fillId="0" borderId="0" xfId="0">
      <alignment horizontal="left"/>
    </xf>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alignment horizontal="right"/>
    </xf>
    <xf numFmtId="0" fontId="36" fillId="0" borderId="0" xfId="0" applyFont="true">
      <alignment horizontal="right"/>
    </xf>
    <xf numFmtId="0" fontId="37" fillId="0" borderId="0" xfId="0" applyFont="true">
      <alignment horizontal="right"/>
    </xf>
    <xf numFmtId="0" fontId="38" fillId="0" borderId="0" xfId="0" applyFont="true">
      <alignment horizontal="right"/>
    </xf>
    <xf numFmtId="0" fontId="39" fillId="0" borderId="0" xfId="0" applyFont="true">
      <alignment horizontal="right"/>
    </xf>
    <xf numFmtId="0" fontId="40" fillId="4" borderId="0" xfId="0" applyFill="true" applyFont="true">
      <alignment horizontal="center"/>
      <protection locked="false"/>
    </xf>
    <xf numFmtId="0" fontId="0" fillId="5" borderId="0" xfId="0" applyFill="true"/>
    <xf numFmtId="0" fontId="41" fillId="3" borderId="0" xfId="0" applyFill="true" applyFont="true"/>
    <xf numFmtId="0" fontId="0" fillId="0" borderId="0" xfId="0">
      <protection locked="false"/>
    </xf>
    <xf numFmtId="0" fontId="42" fillId="0" borderId="0" xfId="0" applyFont="true">
      <alignment horizontal="right"/>
    </xf>
    <xf numFmtId="0" fontId="43" fillId="0" borderId="0" xfId="0" applyFont="true">
      <alignment horizontal="right"/>
    </xf>
    <xf numFmtId="0" fontId="44" fillId="0" borderId="0" xfId="0" applyFont="true">
      <alignment horizontal="right"/>
    </xf>
    <xf numFmtId="0" fontId="45" fillId="0" borderId="0" xfId="0" applyFont="true">
      <alignment horizontal="right"/>
    </xf>
    <xf numFmtId="0" fontId="46" fillId="0" borderId="0" xfId="0" applyFont="true">
      <alignment horizontal="right"/>
    </xf>
    <xf numFmtId="0" fontId="47" fillId="0" borderId="0" xfId="0" applyFont="true">
      <alignment horizontal="right"/>
    </xf>
    <xf numFmtId="0" fontId="48" fillId="0" borderId="0" xfId="0" applyFont="true">
      <alignment horizontal="right"/>
    </xf>
    <xf numFmtId="0" fontId="49" fillId="0" borderId="0" xfId="0" applyFont="true">
      <alignment horizontal="right"/>
    </xf>
    <xf numFmtId="0" fontId="50" fillId="0" borderId="0" xfId="0" applyFont="true">
      <alignment horizontal="right"/>
    </xf>
    <xf numFmtId="0" fontId="51" fillId="0" borderId="0" xfId="0" applyFont="true">
      <alignment horizontal="right"/>
    </xf>
    <xf numFmtId="0" fontId="52" fillId="0" borderId="0" xfId="0" applyFont="true">
      <alignment horizontal="right"/>
    </xf>
    <xf numFmtId="0" fontId="53" fillId="0" borderId="0" xfId="0" applyFont="true">
      <alignment horizontal="right"/>
    </xf>
    <xf numFmtId="0" fontId="54" fillId="0" borderId="0" xfId="0" applyFont="true">
      <alignment horizontal="right"/>
    </xf>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alignment horizontal="right"/>
    </xf>
    <xf numFmtId="0" fontId="67" fillId="0" borderId="0" xfId="0" applyFont="true">
      <alignment horizontal="right"/>
    </xf>
    <xf numFmtId="0" fontId="68" fillId="0" borderId="0" xfId="0" applyFont="true">
      <alignment horizontal="right"/>
    </xf>
    <xf numFmtId="0" fontId="69" fillId="0" borderId="0" xfId="0" applyFont="true">
      <alignment horizontal="right"/>
    </xf>
    <xf numFmtId="0" fontId="70" fillId="0" borderId="0" xfId="0" applyFont="true">
      <alignment horizontal="right"/>
    </xf>
    <xf numFmtId="0" fontId="71" fillId="0" borderId="0" xfId="0" applyFont="true">
      <alignment horizontal="right"/>
    </xf>
    <xf numFmtId="0" fontId="72" fillId="0" borderId="0" xfId="0" applyFont="true">
      <alignment horizontal="right"/>
    </xf>
    <xf numFmtId="0" fontId="73" fillId="0" borderId="0" xfId="0" applyFont="true">
      <alignment horizontal="right"/>
    </xf>
    <xf numFmtId="0" fontId="74" fillId="0" borderId="0" xfId="0" applyFont="true">
      <alignment horizontal="right"/>
    </xf>
    <xf numFmtId="0" fontId="75" fillId="0" borderId="0" xfId="0" applyFont="true">
      <alignment horizontal="right"/>
    </xf>
    <xf numFmtId="0" fontId="76" fillId="0" borderId="0" xfId="0" applyFont="true">
      <alignment horizontal="right"/>
    </xf>
    <xf numFmtId="0" fontId="77" fillId="0" borderId="0" xfId="0" applyFont="true">
      <alignment horizontal="right"/>
    </xf>
    <xf numFmtId="0" fontId="78" fillId="0" borderId="0" xfId="0" applyFont="true">
      <alignment horizontal="right"/>
    </xf>
    <xf numFmtId="0" fontId="79" fillId="0" borderId="0" xfId="0" applyFont="true">
      <alignment horizontal="right"/>
    </xf>
    <xf numFmtId="0" fontId="80" fillId="0" borderId="0" xfId="0" applyFont="true">
      <alignment horizontal="right"/>
    </xf>
    <xf numFmtId="0" fontId="81" fillId="0" borderId="0" xfId="0" applyFont="true">
      <alignment horizontal="right"/>
    </xf>
    <xf numFmtId="0" fontId="82" fillId="0" borderId="0" xfId="0" applyFont="true">
      <alignment horizontal="right"/>
    </xf>
    <xf numFmtId="0" fontId="83" fillId="0" borderId="0" xfId="0" applyFont="true">
      <alignment horizontal="right"/>
    </xf>
    <xf numFmtId="0" fontId="84" fillId="0" borderId="0" xfId="0" applyFont="true">
      <alignment horizontal="right"/>
    </xf>
    <xf numFmtId="0" fontId="85" fillId="0" borderId="0" xfId="0" applyFont="true">
      <alignment horizontal="right"/>
    </xf>
    <xf numFmtId="0" fontId="86" fillId="0" borderId="0" xfId="0" applyFont="true">
      <alignment horizontal="right"/>
    </xf>
    <xf numFmtId="0" fontId="87" fillId="0" borderId="0" xfId="0" applyFont="true">
      <alignment horizontal="right"/>
    </xf>
    <xf numFmtId="0" fontId="88" fillId="0" borderId="0" xfId="0" applyFont="true">
      <alignment horizontal="right"/>
    </xf>
    <xf numFmtId="0" fontId="89" fillId="0" borderId="0" xfId="0" applyFont="true">
      <alignment horizontal="right"/>
    </xf>
    <xf numFmtId="0" fontId="90" fillId="0" borderId="0" xfId="0" applyFont="true">
      <alignment horizontal="right"/>
    </xf>
    <xf numFmtId="0" fontId="91" fillId="0" borderId="0" xfId="0" applyFont="true">
      <alignment horizontal="right"/>
    </xf>
    <xf numFmtId="0" fontId="92" fillId="0" borderId="0" xfId="0" applyFont="true">
      <alignment horizontal="right"/>
    </xf>
    <xf numFmtId="0" fontId="93" fillId="0" borderId="0" xfId="0" applyFont="true">
      <alignment horizontal="right"/>
    </xf>
    <xf numFmtId="0" fontId="94" fillId="0" borderId="0" xfId="0" applyFont="true">
      <alignment horizontal="right"/>
    </xf>
    <xf numFmtId="0" fontId="95" fillId="0" borderId="0" xfId="0" applyFont="true">
      <alignment horizontal="right"/>
    </xf>
    <xf numFmtId="0" fontId="96" fillId="0" borderId="0" xfId="0" applyFont="true">
      <alignment horizontal="right"/>
    </xf>
    <xf numFmtId="0" fontId="97" fillId="0" borderId="0" xfId="0" applyFont="true">
      <alignment horizontal="right"/>
    </xf>
    <xf numFmtId="0" fontId="98" fillId="0" borderId="0" xfId="0" applyFont="true">
      <alignment horizontal="right"/>
    </xf>
    <xf numFmtId="0" fontId="99" fillId="0" borderId="0" xfId="0" applyFont="true">
      <alignment horizontal="right"/>
    </xf>
    <xf numFmtId="0" fontId="100" fillId="0" borderId="0" xfId="0" applyFont="true">
      <alignment horizontal="right"/>
    </xf>
    <xf numFmtId="0" fontId="101" fillId="0" borderId="0" xfId="0" applyFont="true">
      <alignment horizontal="right"/>
    </xf>
    <xf numFmtId="0" fontId="102" fillId="0" borderId="0" xfId="0" applyFont="true">
      <alignment horizontal="right"/>
    </xf>
    <xf numFmtId="0" fontId="103" fillId="0" borderId="0" xfId="0" applyFont="true">
      <alignment horizontal="right"/>
    </xf>
    <xf numFmtId="0" fontId="104" fillId="0" borderId="0" xfId="0" applyFont="true">
      <alignment horizontal="right"/>
    </xf>
    <xf numFmtId="0" fontId="105" fillId="0" borderId="0" xfId="0" applyFont="true">
      <alignment horizontal="right"/>
    </xf>
    <xf numFmtId="0" fontId="106" fillId="0" borderId="0" xfId="0" applyFont="true">
      <alignment horizontal="right"/>
    </xf>
    <xf numFmtId="0" fontId="107" fillId="0" borderId="0" xfId="0" applyFont="true">
      <alignment horizontal="right"/>
    </xf>
    <xf numFmtId="0" fontId="108" fillId="0" borderId="0" xfId="0" applyFont="true">
      <alignment horizontal="right"/>
    </xf>
    <xf numFmtId="0" fontId="109" fillId="0" borderId="0" xfId="0" applyFont="true">
      <alignment horizontal="right"/>
    </xf>
    <xf numFmtId="0" fontId="110" fillId="0" borderId="0" xfId="0" applyFont="true">
      <alignment horizontal="right"/>
    </xf>
    <xf numFmtId="0" fontId="111" fillId="0" borderId="0" xfId="0" applyFont="true">
      <alignment horizontal="right"/>
    </xf>
    <xf numFmtId="0" fontId="112" fillId="0" borderId="0" xfId="0" applyFont="true">
      <alignment horizontal="right"/>
    </xf>
    <xf numFmtId="0" fontId="113" fillId="0" borderId="0" xfId="0" applyFont="true">
      <alignment horizontal="right"/>
    </xf>
    <xf numFmtId="0" fontId="114" fillId="0" borderId="0" xfId="0" applyFont="true">
      <alignment horizontal="right"/>
    </xf>
    <xf numFmtId="0" fontId="115" fillId="0" borderId="0" xfId="0" applyFont="true">
      <alignment horizontal="right"/>
    </xf>
    <xf numFmtId="0" fontId="116" fillId="0" borderId="0" xfId="0" applyFont="true">
      <alignment horizontal="right"/>
    </xf>
    <xf numFmtId="0" fontId="117" fillId="0" borderId="0" xfId="0" applyFont="true">
      <alignment horizontal="right"/>
    </xf>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0" fillId="0" borderId="0" xfId="0">
      <alignment horizontal="left"/>
    </xf>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alignment horizontal="right"/>
    </xf>
    <xf numFmtId="0" fontId="139" fillId="0" borderId="0" xfId="0" applyFont="true">
      <alignment horizontal="right"/>
    </xf>
    <xf numFmtId="0" fontId="140" fillId="0" borderId="0" xfId="0" applyFont="true">
      <alignment horizontal="right"/>
    </xf>
    <xf numFmtId="0" fontId="141" fillId="0" borderId="0" xfId="0" applyFont="true">
      <alignment horizontal="right"/>
    </xf>
    <xf numFmtId="0" fontId="142" fillId="0" borderId="0" xfId="0" applyFont="true">
      <alignment horizontal="right"/>
    </xf>
    <xf numFmtId="0" fontId="143" fillId="4" borderId="0" xfId="0" applyFill="true" applyFont="true">
      <alignment horizontal="center"/>
      <protection locked="false"/>
    </xf>
    <xf numFmtId="0" fontId="0" fillId="5" borderId="0" xfId="0" applyFill="true"/>
    <xf numFmtId="0" fontId="144" fillId="3" borderId="0" xfId="0" applyFill="true" applyFont="true"/>
    <xf numFmtId="0" fontId="0" fillId="0" borderId="0" xfId="0">
      <protection locked="false"/>
    </xf>
    <xf numFmtId="0" fontId="145" fillId="0" borderId="0" xfId="0" applyFont="true">
      <alignment horizontal="right"/>
    </xf>
    <xf numFmtId="0" fontId="146" fillId="0" borderId="0" xfId="0" applyFont="true">
      <alignment horizontal="right"/>
    </xf>
    <xf numFmtId="0" fontId="147" fillId="0" borderId="0" xfId="0" applyFont="true">
      <alignment horizontal="right"/>
    </xf>
    <xf numFmtId="0" fontId="148" fillId="0" borderId="0" xfId="0" applyFont="true">
      <alignment horizontal="right"/>
    </xf>
    <xf numFmtId="0" fontId="149" fillId="0" borderId="0" xfId="0" applyFont="true">
      <alignment horizontal="right"/>
    </xf>
    <xf numFmtId="0" fontId="150" fillId="0" borderId="0" xfId="0" applyFont="true">
      <alignment horizontal="right"/>
    </xf>
    <xf numFmtId="0" fontId="151" fillId="0" borderId="0" xfId="0" applyFont="true">
      <alignment horizontal="right"/>
    </xf>
    <xf numFmtId="0" fontId="152" fillId="0" borderId="0" xfId="0" applyFont="true">
      <alignment horizontal="right"/>
    </xf>
    <xf numFmtId="0" fontId="153" fillId="0" borderId="0" xfId="0" applyFont="true">
      <alignment horizontal="right"/>
    </xf>
    <xf numFmtId="0" fontId="154" fillId="0" borderId="0" xfId="0" applyFont="true">
      <alignment horizontal="right"/>
    </xf>
    <xf numFmtId="0" fontId="155" fillId="0" borderId="0" xfId="0" applyFont="true">
      <alignment horizontal="right"/>
    </xf>
    <xf numFmtId="0" fontId="156" fillId="0" borderId="0" xfId="0" applyFont="true">
      <alignment horizontal="right"/>
    </xf>
    <xf numFmtId="0" fontId="157" fillId="0" borderId="0" xfId="0" applyFont="true">
      <alignment horizontal="right"/>
    </xf>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alignment horizontal="right"/>
    </xf>
    <xf numFmtId="0" fontId="170" fillId="0" borderId="0" xfId="0" applyFont="true">
      <alignment horizontal="right"/>
    </xf>
    <xf numFmtId="0" fontId="171" fillId="0" borderId="0" xfId="0" applyFont="true">
      <alignment horizontal="right"/>
    </xf>
    <xf numFmtId="0" fontId="172" fillId="0" borderId="0" xfId="0" applyFont="true">
      <alignment horizontal="right"/>
    </xf>
    <xf numFmtId="0" fontId="173" fillId="0" borderId="0" xfId="0" applyFont="true">
      <alignment horizontal="right"/>
    </xf>
    <xf numFmtId="0" fontId="174" fillId="0" borderId="0" xfId="0" applyFont="true">
      <alignment horizontal="right"/>
    </xf>
    <xf numFmtId="0" fontId="175" fillId="0" borderId="0" xfId="0" applyFont="true">
      <alignment horizontal="right"/>
    </xf>
    <xf numFmtId="0" fontId="176" fillId="0" borderId="0" xfId="0" applyFont="true">
      <alignment horizontal="right"/>
    </xf>
    <xf numFmtId="0" fontId="177" fillId="0" borderId="0" xfId="0" applyFont="true">
      <alignment horizontal="right"/>
    </xf>
    <xf numFmtId="0" fontId="178" fillId="0" borderId="0" xfId="0" applyFont="true">
      <alignment horizontal="right"/>
    </xf>
    <xf numFmtId="0" fontId="179" fillId="0" borderId="0" xfId="0" applyFont="true">
      <alignment horizontal="right"/>
    </xf>
    <xf numFmtId="0" fontId="180" fillId="0" borderId="0" xfId="0" applyFont="true">
      <alignment horizontal="right"/>
    </xf>
    <xf numFmtId="0" fontId="181" fillId="0" borderId="0" xfId="0" applyFont="true">
      <alignment horizontal="right"/>
    </xf>
    <xf numFmtId="0" fontId="182" fillId="0" borderId="0" xfId="0" applyFont="true">
      <alignment horizontal="right"/>
    </xf>
    <xf numFmtId="0" fontId="183" fillId="0" borderId="0" xfId="0" applyFont="true">
      <alignment horizontal="right"/>
    </xf>
    <xf numFmtId="0" fontId="184" fillId="0" borderId="0" xfId="0" applyFont="true">
      <alignment horizontal="right"/>
    </xf>
    <xf numFmtId="0" fontId="185" fillId="0" borderId="0" xfId="0" applyFont="true">
      <alignment horizontal="right"/>
    </xf>
    <xf numFmtId="0" fontId="186" fillId="0" borderId="0" xfId="0" applyFont="true">
      <alignment horizontal="right"/>
    </xf>
    <xf numFmtId="0" fontId="187" fillId="0" borderId="0" xfId="0" applyFont="true">
      <alignment horizontal="right"/>
    </xf>
    <xf numFmtId="0" fontId="188" fillId="0" borderId="0" xfId="0" applyFont="true">
      <alignment horizontal="right"/>
    </xf>
    <xf numFmtId="0" fontId="189" fillId="0" borderId="0" xfId="0" applyFont="true">
      <alignment horizontal="right"/>
    </xf>
    <xf numFmtId="0" fontId="190" fillId="0" borderId="0" xfId="0" applyFont="true">
      <alignment horizontal="right"/>
    </xf>
    <xf numFmtId="0" fontId="191" fillId="0" borderId="0" xfId="0" applyFont="true">
      <alignment horizontal="right"/>
    </xf>
    <xf numFmtId="0" fontId="192" fillId="0" borderId="0" xfId="0" applyFont="true">
      <alignment horizontal="right"/>
    </xf>
    <xf numFmtId="0" fontId="193" fillId="0" borderId="0" xfId="0" applyFont="true">
      <alignment horizontal="right"/>
    </xf>
    <xf numFmtId="0" fontId="194" fillId="0" borderId="0" xfId="0" applyFont="true">
      <alignment horizontal="right"/>
    </xf>
    <xf numFmtId="0" fontId="195" fillId="0" borderId="0" xfId="0" applyFont="true">
      <alignment horizontal="right"/>
    </xf>
    <xf numFmtId="0" fontId="196" fillId="0" borderId="0" xfId="0" applyFont="true">
      <alignment horizontal="right"/>
    </xf>
    <xf numFmtId="0" fontId="197" fillId="0" borderId="0" xfId="0" applyFont="true">
      <alignment horizontal="right"/>
    </xf>
    <xf numFmtId="0" fontId="198" fillId="0" borderId="0" xfId="0" applyFont="true">
      <alignment horizontal="right"/>
    </xf>
    <xf numFmtId="0" fontId="199" fillId="0" borderId="0" xfId="0" applyFont="true">
      <alignment horizontal="right"/>
    </xf>
    <xf numFmtId="0" fontId="200" fillId="0" borderId="0" xfId="0" applyFont="true">
      <alignment horizontal="right"/>
    </xf>
    <xf numFmtId="0" fontId="201" fillId="0" borderId="0" xfId="0" applyFont="true">
      <alignment horizontal="right"/>
    </xf>
    <xf numFmtId="0" fontId="202" fillId="0" borderId="0" xfId="0" applyFont="true">
      <alignment horizontal="right"/>
    </xf>
    <xf numFmtId="0" fontId="203" fillId="0" borderId="0" xfId="0" applyFont="true">
      <alignment horizontal="right"/>
    </xf>
    <xf numFmtId="0" fontId="204" fillId="0" borderId="0" xfId="0" applyFont="true">
      <alignment horizontal="right"/>
    </xf>
    <xf numFmtId="0" fontId="205" fillId="0" borderId="0" xfId="0" applyFont="true">
      <alignment horizontal="right"/>
    </xf>
    <xf numFmtId="0" fontId="206" fillId="0" borderId="0" xfId="0" applyFont="true">
      <alignment horizontal="right"/>
    </xf>
    <xf numFmtId="0" fontId="207" fillId="0" borderId="0" xfId="0" applyFont="true">
      <alignment horizontal="right"/>
    </xf>
    <xf numFmtId="0" fontId="208" fillId="0" borderId="0" xfId="0" applyFont="true">
      <alignment horizontal="right"/>
    </xf>
    <xf numFmtId="0" fontId="209" fillId="0" borderId="0" xfId="0" applyFont="true">
      <alignment horizontal="right"/>
    </xf>
    <xf numFmtId="0" fontId="210" fillId="0" borderId="0" xfId="0" applyFont="true">
      <alignment horizontal="right"/>
    </xf>
    <xf numFmtId="0" fontId="211" fillId="0" borderId="0" xfId="0" applyFont="true">
      <alignment horizontal="right"/>
    </xf>
    <xf numFmtId="0" fontId="212" fillId="0" borderId="0" xfId="0" applyFont="true">
      <alignment horizontal="right"/>
    </xf>
    <xf numFmtId="0" fontId="213" fillId="0" borderId="0" xfId="0" applyFont="true">
      <alignment horizontal="right"/>
    </xf>
    <xf numFmtId="0" fontId="214" fillId="0" borderId="0" xfId="0" applyFont="true">
      <alignment horizontal="right"/>
    </xf>
    <xf numFmtId="0" fontId="215" fillId="0" borderId="0" xfId="0" applyFont="true">
      <alignment horizontal="right"/>
    </xf>
    <xf numFmtId="0" fontId="216" fillId="0" borderId="0" xfId="0" applyFont="true">
      <alignment horizontal="right"/>
    </xf>
    <xf numFmtId="0" fontId="217" fillId="0" borderId="0" xfId="0" applyFont="true">
      <alignment horizontal="right"/>
    </xf>
    <xf numFmtId="0" fontId="218" fillId="0" borderId="0" xfId="0" applyFont="true">
      <alignment horizontal="right"/>
    </xf>
    <xf numFmtId="0" fontId="219" fillId="0" borderId="0" xfId="0" applyFont="true">
      <alignment horizontal="right"/>
    </xf>
    <xf numFmtId="0" fontId="220" fillId="0" borderId="0" xfId="0" applyFont="true">
      <alignment horizontal="right"/>
    </xf>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0" fillId="0" borderId="0" xfId="0">
      <alignment horizontal="left"/>
    </xf>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alignment horizontal="right"/>
    </xf>
    <xf numFmtId="0" fontId="242" fillId="0" borderId="0" xfId="0" applyFont="true">
      <alignment horizontal="right"/>
    </xf>
    <xf numFmtId="0" fontId="243" fillId="0" borderId="0" xfId="0" applyFont="true">
      <alignment horizontal="right"/>
    </xf>
    <xf numFmtId="0" fontId="244" fillId="0" borderId="0" xfId="0" applyFont="true">
      <alignment horizontal="right"/>
    </xf>
    <xf numFmtId="0" fontId="245" fillId="0" borderId="0" xfId="0" applyFont="true">
      <alignment horizontal="right"/>
    </xf>
    <xf numFmtId="0" fontId="246" fillId="4" borderId="0" xfId="0" applyFill="true" applyFont="true">
      <alignment horizontal="center"/>
      <protection locked="false"/>
    </xf>
    <xf numFmtId="0" fontId="0" fillId="5" borderId="0" xfId="0" applyFill="true"/>
    <xf numFmtId="0" fontId="247" fillId="3" borderId="0" xfId="0" applyFill="true" applyFont="true"/>
    <xf numFmtId="0" fontId="0" fillId="0" borderId="0" xfId="0">
      <protection locked="false"/>
    </xf>
    <xf numFmtId="0" fontId="248" fillId="0" borderId="0" xfId="0" applyFont="true">
      <alignment horizontal="right"/>
    </xf>
    <xf numFmtId="0" fontId="249" fillId="0" borderId="0" xfId="0" applyFont="true">
      <alignment horizontal="right"/>
    </xf>
    <xf numFmtId="0" fontId="250" fillId="0" borderId="0" xfId="0" applyFont="true">
      <alignment horizontal="right"/>
    </xf>
    <xf numFmtId="0" fontId="251" fillId="0" borderId="0" xfId="0" applyFont="true">
      <alignment horizontal="right"/>
    </xf>
    <xf numFmtId="0" fontId="252" fillId="0" borderId="0" xfId="0" applyFont="true">
      <alignment horizontal="right"/>
    </xf>
    <xf numFmtId="0" fontId="253" fillId="0" borderId="0" xfId="0" applyFont="true">
      <alignment horizontal="right"/>
    </xf>
    <xf numFmtId="0" fontId="254" fillId="0" borderId="0" xfId="0" applyFont="true">
      <alignment horizontal="right"/>
    </xf>
    <xf numFmtId="0" fontId="255" fillId="0" borderId="0" xfId="0" applyFont="true">
      <alignment horizontal="right"/>
    </xf>
    <xf numFmtId="0" fontId="256" fillId="0" borderId="0" xfId="0" applyFont="true">
      <alignment horizontal="right"/>
    </xf>
    <xf numFmtId="0" fontId="257" fillId="0" borderId="0" xfId="0" applyFont="true">
      <alignment horizontal="right"/>
    </xf>
    <xf numFmtId="0" fontId="258" fillId="0" borderId="0" xfId="0" applyFont="true">
      <alignment horizontal="right"/>
    </xf>
    <xf numFmtId="0" fontId="259" fillId="0" borderId="0" xfId="0" applyFont="true">
      <alignment horizontal="right"/>
    </xf>
    <xf numFmtId="0" fontId="260" fillId="0" borderId="0" xfId="0" applyFont="true">
      <alignment horizontal="right"/>
    </xf>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alignment horizontal="right"/>
    </xf>
    <xf numFmtId="0" fontId="273" fillId="0" borderId="0" xfId="0" applyFont="true">
      <alignment horizontal="right"/>
    </xf>
    <xf numFmtId="0" fontId="274" fillId="0" borderId="0" xfId="0" applyFont="true">
      <alignment horizontal="right"/>
    </xf>
    <xf numFmtId="0" fontId="275" fillId="0" borderId="0" xfId="0" applyFont="true">
      <alignment horizontal="right"/>
    </xf>
    <xf numFmtId="0" fontId="276" fillId="0" borderId="0" xfId="0" applyFont="true">
      <alignment horizontal="right"/>
    </xf>
    <xf numFmtId="0" fontId="277" fillId="0" borderId="0" xfId="0" applyFont="true">
      <alignment horizontal="right"/>
    </xf>
    <xf numFmtId="0" fontId="278" fillId="0" borderId="0" xfId="0" applyFont="true">
      <alignment horizontal="right"/>
    </xf>
    <xf numFmtId="0" fontId="279" fillId="0" borderId="0" xfId="0" applyFont="true">
      <alignment horizontal="right"/>
    </xf>
    <xf numFmtId="0" fontId="280" fillId="0" borderId="0" xfId="0" applyFont="true">
      <alignment horizontal="right"/>
    </xf>
    <xf numFmtId="0" fontId="281" fillId="0" borderId="0" xfId="0" applyFont="true">
      <alignment horizontal="right"/>
    </xf>
    <xf numFmtId="0" fontId="282" fillId="0" borderId="0" xfId="0" applyFont="true">
      <alignment horizontal="right"/>
    </xf>
    <xf numFmtId="0" fontId="283" fillId="0" borderId="0" xfId="0" applyFont="true">
      <alignment horizontal="right"/>
    </xf>
    <xf numFmtId="0" fontId="284" fillId="0" borderId="0" xfId="0" applyFont="true">
      <alignment horizontal="right"/>
    </xf>
    <xf numFmtId="0" fontId="285" fillId="0" borderId="0" xfId="0" applyFont="true">
      <alignment horizontal="right"/>
    </xf>
    <xf numFmtId="0" fontId="286" fillId="0" borderId="0" xfId="0" applyFont="true">
      <alignment horizontal="right"/>
    </xf>
    <xf numFmtId="0" fontId="287" fillId="0" borderId="0" xfId="0" applyFont="true">
      <alignment horizontal="right"/>
    </xf>
    <xf numFmtId="0" fontId="288" fillId="0" borderId="0" xfId="0" applyFont="true">
      <alignment horizontal="right"/>
    </xf>
    <xf numFmtId="0" fontId="289" fillId="0" borderId="0" xfId="0" applyFont="true">
      <alignment horizontal="right"/>
    </xf>
    <xf numFmtId="0" fontId="290" fillId="0" borderId="0" xfId="0" applyFont="true">
      <alignment horizontal="right"/>
    </xf>
    <xf numFmtId="0" fontId="291" fillId="0" borderId="0" xfId="0" applyFont="true">
      <alignment horizontal="right"/>
    </xf>
    <xf numFmtId="0" fontId="292" fillId="0" borderId="0" xfId="0" applyFont="true">
      <alignment horizontal="right"/>
    </xf>
    <xf numFmtId="0" fontId="293" fillId="0" borderId="0" xfId="0" applyFont="true">
      <alignment horizontal="right"/>
    </xf>
    <xf numFmtId="0" fontId="294" fillId="0" borderId="0" xfId="0" applyFont="true">
      <alignment horizontal="right"/>
    </xf>
    <xf numFmtId="0" fontId="295" fillId="0" borderId="0" xfId="0" applyFont="true">
      <alignment horizontal="right"/>
    </xf>
    <xf numFmtId="0" fontId="296" fillId="0" borderId="0" xfId="0" applyFont="true">
      <alignment horizontal="right"/>
    </xf>
    <xf numFmtId="0" fontId="297" fillId="0" borderId="0" xfId="0" applyFont="true">
      <alignment horizontal="right"/>
    </xf>
    <xf numFmtId="0" fontId="298" fillId="0" borderId="0" xfId="0" applyFont="true">
      <alignment horizontal="right"/>
    </xf>
    <xf numFmtId="0" fontId="299" fillId="0" borderId="0" xfId="0" applyFont="true">
      <alignment horizontal="right"/>
    </xf>
    <xf numFmtId="0" fontId="300" fillId="0" borderId="0" xfId="0" applyFont="true">
      <alignment horizontal="right"/>
    </xf>
    <xf numFmtId="0" fontId="301" fillId="0" borderId="0" xfId="0" applyFont="true">
      <alignment horizontal="right"/>
    </xf>
    <xf numFmtId="0" fontId="302" fillId="0" borderId="0" xfId="0" applyFont="true">
      <alignment horizontal="right"/>
    </xf>
    <xf numFmtId="0" fontId="303" fillId="0" borderId="0" xfId="0" applyFont="true">
      <alignment horizontal="right"/>
    </xf>
    <xf numFmtId="0" fontId="304" fillId="0" borderId="0" xfId="0" applyFont="true">
      <alignment horizontal="right"/>
    </xf>
    <xf numFmtId="0" fontId="305" fillId="0" borderId="0" xfId="0" applyFont="true">
      <alignment horizontal="right"/>
    </xf>
    <xf numFmtId="0" fontId="306" fillId="0" borderId="0" xfId="0" applyFont="true">
      <alignment horizontal="right"/>
    </xf>
    <xf numFmtId="0" fontId="307" fillId="0" borderId="0" xfId="0" applyFont="true">
      <alignment horizontal="right"/>
    </xf>
    <xf numFmtId="0" fontId="308" fillId="0" borderId="0" xfId="0" applyFont="true">
      <alignment horizontal="right"/>
    </xf>
    <xf numFmtId="0" fontId="309" fillId="0" borderId="0" xfId="0" applyFont="true">
      <alignment horizontal="right"/>
    </xf>
    <xf numFmtId="0" fontId="310" fillId="0" borderId="0" xfId="0" applyFont="true">
      <alignment horizontal="right"/>
    </xf>
    <xf numFmtId="0" fontId="311" fillId="0" borderId="0" xfId="0" applyFont="true">
      <alignment horizontal="right"/>
    </xf>
    <xf numFmtId="0" fontId="312" fillId="0" borderId="0" xfId="0" applyFont="true">
      <alignment horizontal="right"/>
    </xf>
    <xf numFmtId="0" fontId="313" fillId="0" borderId="0" xfId="0" applyFont="true">
      <alignment horizontal="right"/>
    </xf>
    <xf numFmtId="0" fontId="314" fillId="0" borderId="0" xfId="0" applyFont="true">
      <alignment horizontal="right"/>
    </xf>
    <xf numFmtId="0" fontId="315" fillId="0" borderId="0" xfId="0" applyFont="true">
      <alignment horizontal="right"/>
    </xf>
    <xf numFmtId="0" fontId="316" fillId="0" borderId="0" xfId="0" applyFont="true">
      <alignment horizontal="right"/>
    </xf>
    <xf numFmtId="0" fontId="317" fillId="0" borderId="0" xfId="0" applyFont="true">
      <alignment horizontal="right"/>
    </xf>
    <xf numFmtId="0" fontId="318" fillId="0" borderId="0" xfId="0" applyFont="true">
      <alignment horizontal="right"/>
    </xf>
    <xf numFmtId="0" fontId="319" fillId="0" borderId="0" xfId="0" applyFont="true">
      <alignment horizontal="right"/>
    </xf>
    <xf numFmtId="0" fontId="320" fillId="0" borderId="0" xfId="0" applyFont="true">
      <alignment horizontal="right"/>
    </xf>
    <xf numFmtId="0" fontId="321" fillId="0" borderId="0" xfId="0" applyFont="true">
      <alignment horizontal="right"/>
    </xf>
    <xf numFmtId="0" fontId="322" fillId="0" borderId="0" xfId="0" applyFont="true">
      <alignment horizontal="right"/>
    </xf>
    <xf numFmtId="0" fontId="323" fillId="0" borderId="0" xfId="0" applyFont="true">
      <alignment horizontal="right"/>
    </xf>
    <xf numFmtId="0" fontId="0" fillId="0" borderId="0" xfId="0">
      <alignment horizontal="left"/>
    </xf>
    <xf numFmtId="0" fontId="0" fillId="0" borderId="0" xfId="0">
      <alignment horizontal="left"/>
    </xf>
    <xf numFmtId="0" fontId="0" fillId="0" borderId="0" xfId="0">
      <alignment horizontal="left"/>
    </xf>
    <xf numFmtId="0" fontId="0" fillId="0" borderId="0" xfId="0">
      <alignment horizontal="left"/>
    </xf>
    <xf numFmtId="0" fontId="0" fillId="0" borderId="0" xfId="0">
      <alignment horizontal="left"/>
    </xf>
    <xf numFmtId="0" fontId="0" fillId="0" borderId="0" xfId="0">
      <alignment horizontal="left"/>
    </xf>
    <xf numFmtId="0" fontId="0" fillId="0" borderId="0" xfId="0">
      <alignment horizontal="left"/>
    </xf>
    <xf numFmtId="0" fontId="0" fillId="0" borderId="0" xfId="0">
      <alignment horizontal="left"/>
    </xf>
    <xf numFmtId="0" fontId="0" fillId="0" borderId="0" xfId="0">
      <alignment horizontal="left"/>
    </xf>
    <xf numFmtId="0" fontId="0" fillId="0" borderId="0" xfId="0">
      <alignment horizontal="left"/>
    </xf>
  </cellXfs>
  <dxfs count="6">
    <dxf>
      <font>
        <color indexed="16"/>
      </font>
      <fill>
        <patternFill>
          <bgColor indexed="45"/>
        </patternFill>
      </fill>
    </dxf>
    <dxf>
      <font>
        <color indexed="16"/>
      </font>
      <fill>
        <patternFill>
          <bgColor indexed="45"/>
        </patternFill>
      </fill>
    </dxf>
    <dxf>
      <font>
        <color indexed="16"/>
      </font>
      <fill>
        <patternFill>
          <bgColor indexed="45"/>
        </patternFill>
      </fill>
    </dxf>
    <dxf>
      <font>
        <color indexed="16"/>
      </font>
      <fill>
        <patternFill>
          <bgColor indexed="45"/>
        </patternFill>
      </fill>
    </dxf>
    <dxf>
      <font>
        <color indexed="16"/>
      </font>
      <fill>
        <patternFill>
          <bgColor indexed="45"/>
        </patternFill>
      </fill>
    </dxf>
    <dxf>
      <font>
        <color indexed="16"/>
      </font>
      <fill>
        <patternFill>
          <bgColor indexed="45"/>
        </patternFill>
      </fill>
    </dxf>
  </d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A15"/>
  <sheetViews>
    <sheetView workbookViewId="0" tabSelected="true"/>
  </sheetViews>
  <sheetFormatPr defaultRowHeight="15.0"/>
  <cols>
    <col min="1" max="1" width="120.0" customWidth="true"/>
  </cols>
  <sheetData>
    <row r="1">
      <c r="A1" t="s" s="1">
        <v>0</v>
      </c>
    </row>
    <row r="2">
      <c r="A2" t="s" s="2">
        <v>1</v>
      </c>
    </row>
    <row r="3">
      <c r="A3" t="s" s="3">
        <v>2</v>
      </c>
    </row>
    <row r="4">
      <c r="A4" t="s" s="4">
        <v>3</v>
      </c>
    </row>
    <row r="5">
      <c r="A5" t="s" s="5">
        <v>4</v>
      </c>
    </row>
    <row r="6">
      <c r="A6" t="s" s="6">
        <v>5</v>
      </c>
    </row>
    <row r="7">
      <c r="A7" t="s" s="7">
        <v>6</v>
      </c>
    </row>
    <row r="8">
      <c r="A8" t="s" s="8">
        <v>7</v>
      </c>
    </row>
    <row r="9">
      <c r="A9" t="s" s="9">
        <v>8</v>
      </c>
    </row>
    <row r="10">
      <c r="A10" t="s" s="10">
        <v>9</v>
      </c>
    </row>
    <row r="11">
      <c r="A11" t="s" s="11">
        <v>10</v>
      </c>
    </row>
    <row r="12">
      <c r="A12" t="s" s="12">
        <v>11</v>
      </c>
    </row>
    <row r="13">
      <c r="A13" t="s" s="13">
        <v>12</v>
      </c>
    </row>
    <row r="14">
      <c r="A14" t="s" s="14">
        <v>13</v>
      </c>
    </row>
    <row r="15"/>
  </sheetData>
  <sheetProtection password="DFB5" sheet="true" scenarios="true" objects="true"/>
  <pageMargins bottom="0.75" footer="0.3" header="0.3" left="0.7" right="0.7" top="0.75"/>
</worksheet>
</file>

<file path=xl/worksheets/sheet2.xml><?xml version="1.0" encoding="utf-8"?>
<worksheet xmlns="http://schemas.openxmlformats.org/spreadsheetml/2006/main">
  <dimension ref="A1:W15"/>
  <sheetViews>
    <sheetView workbookViewId="0">
      <pane xSplit="2.0" ySplit="5.0" state="frozen" topLeftCell="C6" activePane="bottomRight"/>
      <selection pane="bottomRight"/>
    </sheetView>
  </sheetViews>
  <sheetFormatPr defaultRowHeight="15.0"/>
  <cols>
    <col min="1" max="1" width="21.0" customWidth="true"/>
    <col min="2" max="2" width="61.0" customWidth="true"/>
    <col min="3" max="3" width="20.0" customWidth="true" hidden="true"/>
    <col min="4" max="4" width="21.0" customWidth="true"/>
    <col min="5" max="5" width="21.0" customWidth="true"/>
    <col min="6" max="6" width="15.0" customWidth="true"/>
    <col min="7" max="7" width="15.0" customWidth="true"/>
    <col min="8" max="8" width="15.0" customWidth="true"/>
    <col min="9" max="9" width="15.0" customWidth="true"/>
    <col min="10" max="10" width="15.0" customWidth="true"/>
    <col min="11" max="11" width="15.0" customWidth="true"/>
    <col min="12" max="12" width="1.0" customWidth="true"/>
    <col min="13" max="13" width="13.0" customWidth="true" style="44"/>
    <col min="14" max="14" width="13.0" customWidth="true" style="44"/>
    <col min="15" max="15" width="13.0" customWidth="true" style="44"/>
    <col min="16" max="16" width="13.0" customWidth="true" style="44"/>
    <col min="17" max="17" width="13.0" customWidth="true" style="44"/>
    <col min="18" max="18" width="13.0" customWidth="true" style="44"/>
    <col min="19" max="19" width="13.0" customWidth="true" style="44"/>
    <col min="20" max="20" width="13.0" customWidth="true" style="44"/>
    <col min="21" max="21" width="13.0" customWidth="true" style="44"/>
    <col min="22" max="22" width="13.0" customWidth="true" style="44"/>
    <col min="23" max="23" width="13.0" customWidth="true" style="44"/>
  </cols>
  <sheetData>
    <row r="1">
      <c r="A1" t="s" s="16">
        <v>14</v>
      </c>
      <c r="B1" s="17"/>
      <c r="C1" s="18"/>
      <c r="D1" s="19"/>
      <c r="E1" s="20"/>
      <c r="F1" s="21"/>
      <c r="G1" s="22"/>
      <c r="H1" s="23"/>
      <c r="I1" s="24"/>
      <c r="J1" s="25"/>
      <c r="K1" s="26"/>
      <c r="L1" s="27"/>
    </row>
    <row r="2">
      <c r="A2" t="s" s="29">
        <v>15</v>
      </c>
      <c r="B2" s="30"/>
      <c r="C2" t="s" s="31">
        <v>16</v>
      </c>
    </row>
    <row r="3">
      <c r="A3" t="s" s="33">
        <v>17</v>
      </c>
      <c r="B3" s="34"/>
      <c r="C3" s="35"/>
      <c r="I3" t="s" s="37">
        <v>18</v>
      </c>
      <c r="J3" s="38"/>
      <c r="K3" s="39"/>
      <c r="L3" s="40"/>
      <c r="M3" t="n" s="41">
        <v>1.0</v>
      </c>
    </row>
    <row r="4" ht="8.0" customHeight="true">
      <c r="A4" s="42"/>
      <c r="B4" s="42"/>
      <c r="C4" s="42"/>
      <c r="D4" s="42"/>
      <c r="E4" s="42"/>
      <c r="F4" s="42"/>
      <c r="G4" s="42"/>
      <c r="H4" s="42"/>
      <c r="I4" s="42"/>
      <c r="J4" s="42"/>
      <c r="K4" s="42"/>
      <c r="L4" s="42"/>
    </row>
    <row r="5">
      <c r="A5" t="s" s="43">
        <v>19</v>
      </c>
      <c r="B5" t="s" s="43">
        <v>20</v>
      </c>
      <c r="C5" t="s" s="43">
        <v>21</v>
      </c>
      <c r="D5" t="s" s="43">
        <v>22</v>
      </c>
      <c r="E5" t="s" s="43">
        <v>23</v>
      </c>
      <c r="F5" t="s" s="43">
        <v>24</v>
      </c>
      <c r="G5" t="s" s="43">
        <v>25</v>
      </c>
      <c r="H5" t="s" s="43">
        <v>26</v>
      </c>
      <c r="I5" t="s" s="43">
        <v>27</v>
      </c>
      <c r="J5" t="s" s="43">
        <v>28</v>
      </c>
      <c r="K5" t="s" s="43">
        <v>29</v>
      </c>
      <c r="L5" s="42"/>
      <c r="M5" t="n" s="43">
        <f>IF(M3&gt;=1,"Box 1 quantity","")</f>
        <v>0.0</v>
      </c>
      <c r="N5" t="n" s="43">
        <f>IF(M3&gt;=2,"Box 2 quantity","")</f>
        <v>0.0</v>
      </c>
      <c r="O5" t="n" s="43">
        <f>IF(M3&gt;=3,"Box 3 quantity","")</f>
        <v>0.0</v>
      </c>
      <c r="P5" t="n" s="43">
        <f>IF(M3&gt;=4,"Box 4 quantity","")</f>
        <v>0.0</v>
      </c>
      <c r="Q5" t="n" s="43">
        <f>IF(M3&gt;=5,"Box 5 quantity","")</f>
        <v>0.0</v>
      </c>
      <c r="R5" t="n" s="43">
        <f>IF(M3&gt;=6,"Box 6 quantity","")</f>
        <v>0.0</v>
      </c>
      <c r="S5" t="n" s="43">
        <f>IF(M3&gt;=7,"Box 7 quantity","")</f>
        <v>0.0</v>
      </c>
      <c r="T5" t="n" s="43">
        <f>IF(M3&gt;=8,"Box 8 quantity","")</f>
        <v>0.0</v>
      </c>
      <c r="U5" t="n" s="43">
        <f>IF(M3&gt;=9,"Box 9 quantity","")</f>
        <v>0.0</v>
      </c>
      <c r="V5" t="n" s="43">
        <f>IF(M3&gt;=10,"Box 10 quantity","")</f>
        <v>0.0</v>
      </c>
      <c r="W5" t="n" s="43">
        <f>IF(M3&gt;=11,"Box 11 quantity","")</f>
        <v>0.0</v>
      </c>
    </row>
    <row r="6">
      <c r="A6" t="s">
        <v>30</v>
      </c>
      <c r="B6" t="s">
        <v>31</v>
      </c>
      <c r="C6" t="s">
        <v>32</v>
      </c>
      <c r="D6" t="s">
        <v>33</v>
      </c>
      <c r="E6" t="s">
        <v>34</v>
      </c>
      <c r="F6" t="s">
        <v>35</v>
      </c>
      <c r="G6" t="s">
        <v>36</v>
      </c>
      <c r="H6" t="s">
        <v>37</v>
      </c>
      <c r="I6" t="s">
        <v>38</v>
      </c>
      <c r="J6" t="n">
        <v>2.0</v>
      </c>
      <c r="K6" t="n">
        <f>SUM(M6:INDEX(M6:XFD6,1,M3))</f>
        <v>2.0</v>
      </c>
      <c r="L6" s="42"/>
      <c r="M6" t="n" s="44">
        <v>2</v>
      </c>
    </row>
    <row r="7">
      <c r="A7" t="s">
        <v>39</v>
      </c>
      <c r="B7" t="s">
        <v>40</v>
      </c>
      <c r="C7" t="s">
        <v>41</v>
      </c>
      <c r="D7" t="s">
        <v>42</v>
      </c>
      <c r="E7" t="s">
        <v>43</v>
      </c>
      <c r="F7" t="s">
        <v>35</v>
      </c>
      <c r="G7" t="s">
        <v>36</v>
      </c>
      <c r="H7" t="s">
        <v>37</v>
      </c>
      <c r="I7" t="s">
        <v>38</v>
      </c>
      <c r="J7" t="n">
        <v>2.0</v>
      </c>
      <c r="K7" t="n">
        <f>SUM(M7:INDEX(M7:XFD7,1,M3))</f>
        <v>2.0</v>
      </c>
      <c r="L7" s="42"/>
      <c r="M7" t="n" s="44">
        <v>2</v>
      </c>
    </row>
    <row r="8" ht="8.0" customHeight="true">
      <c r="A8" s="42"/>
      <c r="B8" s="42"/>
      <c r="C8" s="42"/>
      <c r="D8" s="42"/>
      <c r="E8" s="42"/>
      <c r="F8" s="42"/>
      <c r="G8" s="42"/>
      <c r="H8" s="42"/>
      <c r="I8" s="42"/>
      <c r="J8" s="42"/>
      <c r="K8" s="42"/>
      <c r="L8" s="42"/>
      <c r="M8" s="42"/>
      <c r="N8" s="42"/>
      <c r="O8" s="42"/>
      <c r="P8" s="42"/>
      <c r="Q8" s="42"/>
      <c r="R8" s="42"/>
      <c r="S8" s="42"/>
      <c r="T8" s="42"/>
      <c r="U8" s="42"/>
      <c r="V8" s="42"/>
      <c r="W8" s="42"/>
    </row>
    <row r="9">
      <c r="A9" t="s" s="46">
        <v>44</v>
      </c>
      <c r="B9" s="47"/>
      <c r="C9" s="48"/>
      <c r="D9" s="49"/>
      <c r="E9" s="50"/>
      <c r="F9" s="51"/>
      <c r="G9" s="52"/>
      <c r="H9" s="53"/>
      <c r="I9" s="54"/>
      <c r="J9" s="55"/>
      <c r="K9" s="56"/>
      <c r="L9" s="57"/>
      <c r="M9" t="n" s="58">
        <f>IF(M3&gt;=1,"P1 - B1","")</f>
        <v>0.0</v>
      </c>
      <c r="N9" t="n" s="59">
        <f>IF(M3&gt;=2,"P1 - B2","")</f>
        <v>0.0</v>
      </c>
      <c r="O9" t="n" s="60">
        <f>IF(M3&gt;=3,"P1 - B3","")</f>
        <v>0.0</v>
      </c>
      <c r="P9" t="n" s="61">
        <f>IF(M3&gt;=4,"P1 - B4","")</f>
        <v>0.0</v>
      </c>
      <c r="Q9" t="n" s="62">
        <f>IF(M3&gt;=5,"P1 - B5","")</f>
        <v>0.0</v>
      </c>
      <c r="R9" t="n" s="63">
        <f>IF(M3&gt;=6,"P1 - B6","")</f>
        <v>0.0</v>
      </c>
      <c r="S9" t="n" s="64">
        <f>IF(M3&gt;=7,"P1 - B7","")</f>
        <v>0.0</v>
      </c>
      <c r="T9" t="n" s="65">
        <f>IF(M3&gt;=8,"P1 - B8","")</f>
        <v>0.0</v>
      </c>
      <c r="U9" t="n" s="66">
        <f>IF(M3&gt;=9,"P1 - B9","")</f>
        <v>0.0</v>
      </c>
      <c r="V9" t="n" s="67">
        <f>IF(M3&gt;=10,"P1 - B10","")</f>
        <v>0.0</v>
      </c>
      <c r="W9" t="n" s="68">
        <f>IF(M3&gt;=11,"P1 - B11","")</f>
        <v>0.0</v>
      </c>
    </row>
    <row r="10">
      <c r="A10" t="s" s="70">
        <v>45</v>
      </c>
      <c r="B10" s="71"/>
      <c r="C10" s="72"/>
      <c r="D10" s="73"/>
      <c r="E10" s="74"/>
      <c r="F10" s="75"/>
      <c r="G10" s="76"/>
      <c r="H10" s="77"/>
      <c r="I10" s="78"/>
      <c r="J10" s="79"/>
      <c r="K10" s="80"/>
      <c r="L10" s="81"/>
      <c r="M10" t="n" s="44">
        <v>0.9</v>
      </c>
    </row>
    <row r="11">
      <c r="A11" t="s" s="83">
        <v>46</v>
      </c>
      <c r="B11" s="84"/>
      <c r="C11" s="85"/>
      <c r="D11" s="86"/>
      <c r="E11" s="87"/>
      <c r="F11" s="88"/>
      <c r="G11" s="89"/>
      <c r="H11" s="90"/>
      <c r="I11" s="91"/>
      <c r="J11" s="92"/>
      <c r="K11" s="93"/>
      <c r="L11" s="94"/>
      <c r="M11" t="n" s="44">
        <v>20</v>
      </c>
    </row>
    <row r="12">
      <c r="A12" t="s" s="96">
        <v>47</v>
      </c>
      <c r="B12" s="97"/>
      <c r="C12" s="98"/>
      <c r="D12" s="99"/>
      <c r="E12" s="100"/>
      <c r="F12" s="101"/>
      <c r="G12" s="102"/>
      <c r="H12" s="103"/>
      <c r="I12" s="104"/>
      <c r="J12" s="105"/>
      <c r="K12" s="106"/>
      <c r="L12" s="107"/>
      <c r="M12" t="n" s="44">
        <v>30</v>
      </c>
    </row>
    <row r="13">
      <c r="A13" t="s" s="109">
        <v>48</v>
      </c>
      <c r="B13" s="110"/>
      <c r="C13" s="111"/>
      <c r="D13" s="112"/>
      <c r="E13" s="113"/>
      <c r="F13" s="114"/>
      <c r="G13" s="115"/>
      <c r="H13" s="116"/>
      <c r="I13" s="117"/>
      <c r="J13" s="118"/>
      <c r="K13" s="119"/>
      <c r="L13" s="120"/>
      <c r="M13" t="n" s="44">
        <v>15</v>
      </c>
    </row>
    <row r="14" ht="8.0" customHeight="true">
      <c r="A14" s="42"/>
      <c r="B14" s="42"/>
      <c r="C14" s="42"/>
      <c r="D14" s="42"/>
      <c r="E14" s="42"/>
      <c r="F14" s="42"/>
      <c r="G14" s="42"/>
      <c r="H14" s="42"/>
      <c r="I14" s="42"/>
      <c r="J14" s="42"/>
      <c r="K14" s="42"/>
      <c r="L14" s="42"/>
      <c r="M14" s="42"/>
      <c r="N14" s="42"/>
      <c r="O14" s="42"/>
      <c r="P14" s="42"/>
      <c r="Q14" s="42"/>
      <c r="R14" s="42"/>
      <c r="S14" s="42"/>
      <c r="T14" s="42"/>
      <c r="U14" s="42"/>
      <c r="V14" s="42"/>
      <c r="W14" s="42"/>
    </row>
    <row r="15"/>
  </sheetData>
  <sheetProtection sheet="true" password="DFB5" selectLockedCells="false" selectUnlockedCells="false" formatCells="false" formatColumns="false" formatRows="false" insertColumns="true" insertRows="true" insertHyperlinks="true" deleteColumns="true" deleteRows="true" sort="true" autoFilter="true" pivotTables="true" objects="true" scenarios="true"/>
  <mergeCells count="12">
    <mergeCell ref="A1:L1"/>
    <mergeCell ref="A2:B2"/>
    <mergeCell ref="A3:C3"/>
    <mergeCell ref="I3:L3"/>
    <mergeCell ref="A4:L4"/>
    <mergeCell ref="A8:W8"/>
    <mergeCell ref="A9:L9"/>
    <mergeCell ref="A10:L10"/>
    <mergeCell ref="A11:L11"/>
    <mergeCell ref="A12:L12"/>
    <mergeCell ref="A13:L13"/>
    <mergeCell ref="A14:W14"/>
  </mergeCells>
  <conditionalFormatting sqref="K6">
    <cfRule type="expression" dxfId="0" priority="1">
      <formula>OR((J6 &lt;&gt; K6), (INT(J6) &lt;&gt; J6))</formula>
    </cfRule>
  </conditionalFormatting>
  <conditionalFormatting sqref="K7">
    <cfRule type="expression" dxfId="1" priority="2">
      <formula>OR((J7 &lt;&gt; K7), (INT(J7) &lt;&gt; J7))</formula>
    </cfRule>
  </conditionalFormatting>
  <dataValidations count="3">
    <dataValidation type="whole" operator="between" sqref="M3" allowBlank="true" errorStyle="stop" showErrorMessage="true" errorTitle="Validation error" error="Enter a whole number between 1 and 11">
      <formula1>1</formula1>
      <formula2>11</formula2>
    </dataValidation>
    <dataValidation type="whole" operator="greaterThanOrEqual" sqref="M6:M8 N6:N8 O6:O8 P6:P8 Q6:Q8 R6:R8 S6:S8 T6:T8 U6:U8 V6:V8 W6:W8" allowBlank="true" errorStyle="stop" showErrorMessage="true" errorTitle="Validation error" error="Enter a whole number greater than or equal to 0">
      <formula1>0</formula1>
    </dataValidation>
    <dataValidation type="decimal" operator="greaterThan" sqref="M10:M13 N10:N13 O10:O13 P10:P13 Q10:Q13 R10:R13 S10:S13 T10:T13 U10:U13 V10:V13 W10:W13" allowBlank="true" errorStyle="stop" showErrorMessage="true" errorTitle="Validation error" error="Enter a number greater than 0">
      <formula1>0.0</formula1>
    </dataValidation>
  </dataValidations>
  <pageMargins bottom="0.75" footer="0.3" header="0.3" left="0.7" right="0.7" top="0.75"/>
</worksheet>
</file>

<file path=xl/worksheets/sheet3.xml><?xml version="1.0" encoding="utf-8"?>
<worksheet xmlns="http://schemas.openxmlformats.org/spreadsheetml/2006/main">
  <dimension ref="A1:W15"/>
  <sheetViews>
    <sheetView workbookViewId="0">
      <pane xSplit="2.0" ySplit="5.0" state="frozen" topLeftCell="C6" activePane="bottomRight"/>
      <selection pane="bottomRight"/>
    </sheetView>
  </sheetViews>
  <sheetFormatPr defaultRowHeight="15.0"/>
  <cols>
    <col min="1" max="1" width="21.0" customWidth="true"/>
    <col min="2" max="2" width="61.0" customWidth="true"/>
    <col min="3" max="3" width="20.0" customWidth="true" hidden="true"/>
    <col min="4" max="4" width="21.0" customWidth="true"/>
    <col min="5" max="5" width="21.0" customWidth="true"/>
    <col min="6" max="6" width="15.0" customWidth="true"/>
    <col min="7" max="7" width="15.0" customWidth="true"/>
    <col min="8" max="8" width="15.0" customWidth="true"/>
    <col min="9" max="9" width="15.0" customWidth="true"/>
    <col min="10" max="10" width="15.0" customWidth="true"/>
    <col min="11" max="11" width="15.0" customWidth="true"/>
    <col min="12" max="12" width="1.0" customWidth="true"/>
    <col min="13" max="13" width="13.0" customWidth="true" style="150"/>
    <col min="14" max="14" width="13.0" customWidth="true" style="150"/>
    <col min="15" max="15" width="13.0" customWidth="true" style="150"/>
    <col min="16" max="16" width="13.0" customWidth="true" style="150"/>
    <col min="17" max="17" width="13.0" customWidth="true" style="150"/>
    <col min="18" max="18" width="13.0" customWidth="true" style="150"/>
    <col min="19" max="19" width="13.0" customWidth="true" style="150"/>
    <col min="20" max="20" width="13.0" customWidth="true" style="150"/>
    <col min="21" max="21" width="13.0" customWidth="true" style="150"/>
    <col min="22" max="22" width="13.0" customWidth="true" style="150"/>
    <col min="23" max="23" width="13.0" customWidth="true" style="150"/>
  </cols>
  <sheetData>
    <row r="1">
      <c r="A1" t="s" s="122">
        <v>14</v>
      </c>
      <c r="B1" s="123"/>
      <c r="C1" s="124"/>
      <c r="D1" s="125"/>
      <c r="E1" s="126"/>
      <c r="F1" s="127"/>
      <c r="G1" s="128"/>
      <c r="H1" s="129"/>
      <c r="I1" s="130"/>
      <c r="J1" s="131"/>
      <c r="K1" s="132"/>
      <c r="L1" s="133"/>
    </row>
    <row r="2">
      <c r="A2" t="s" s="135">
        <v>49</v>
      </c>
      <c r="B2" s="136"/>
      <c r="C2" t="s" s="137">
        <v>50</v>
      </c>
    </row>
    <row r="3">
      <c r="A3" t="s" s="139">
        <v>51</v>
      </c>
      <c r="B3" s="140"/>
      <c r="C3" s="141"/>
      <c r="I3" t="s" s="143">
        <v>18</v>
      </c>
      <c r="J3" s="144"/>
      <c r="K3" s="145"/>
      <c r="L3" s="146"/>
      <c r="M3" t="n" s="147">
        <v>1.0</v>
      </c>
    </row>
    <row r="4" ht="8.0" customHeight="true">
      <c r="A4" s="148"/>
      <c r="B4" s="148"/>
      <c r="C4" s="148"/>
      <c r="D4" s="148"/>
      <c r="E4" s="148"/>
      <c r="F4" s="148"/>
      <c r="G4" s="148"/>
      <c r="H4" s="148"/>
      <c r="I4" s="148"/>
      <c r="J4" s="148"/>
      <c r="K4" s="148"/>
      <c r="L4" s="148"/>
    </row>
    <row r="5">
      <c r="A5" t="s" s="149">
        <v>19</v>
      </c>
      <c r="B5" t="s" s="149">
        <v>20</v>
      </c>
      <c r="C5" t="s" s="149">
        <v>21</v>
      </c>
      <c r="D5" t="s" s="149">
        <v>22</v>
      </c>
      <c r="E5" t="s" s="149">
        <v>23</v>
      </c>
      <c r="F5" t="s" s="149">
        <v>24</v>
      </c>
      <c r="G5" t="s" s="149">
        <v>25</v>
      </c>
      <c r="H5" t="s" s="149">
        <v>26</v>
      </c>
      <c r="I5" t="s" s="149">
        <v>27</v>
      </c>
      <c r="J5" t="s" s="149">
        <v>28</v>
      </c>
      <c r="K5" t="s" s="149">
        <v>29</v>
      </c>
      <c r="L5" s="148"/>
      <c r="M5" t="n" s="149">
        <f>IF(M3&gt;=1,"Box 1 quantity","")</f>
        <v>0.0</v>
      </c>
      <c r="N5" t="n" s="149">
        <f>IF(M3&gt;=2,"Box 2 quantity","")</f>
        <v>0.0</v>
      </c>
      <c r="O5" t="n" s="149">
        <f>IF(M3&gt;=3,"Box 3 quantity","")</f>
        <v>0.0</v>
      </c>
      <c r="P5" t="n" s="149">
        <f>IF(M3&gt;=4,"Box 4 quantity","")</f>
        <v>0.0</v>
      </c>
      <c r="Q5" t="n" s="149">
        <f>IF(M3&gt;=5,"Box 5 quantity","")</f>
        <v>0.0</v>
      </c>
      <c r="R5" t="n" s="149">
        <f>IF(M3&gt;=6,"Box 6 quantity","")</f>
        <v>0.0</v>
      </c>
      <c r="S5" t="n" s="149">
        <f>IF(M3&gt;=7,"Box 7 quantity","")</f>
        <v>0.0</v>
      </c>
      <c r="T5" t="n" s="149">
        <f>IF(M3&gt;=8,"Box 8 quantity","")</f>
        <v>0.0</v>
      </c>
      <c r="U5" t="n" s="149">
        <f>IF(M3&gt;=9,"Box 9 quantity","")</f>
        <v>0.0</v>
      </c>
      <c r="V5" t="n" s="149">
        <f>IF(M3&gt;=10,"Box 10 quantity","")</f>
        <v>0.0</v>
      </c>
      <c r="W5" t="n" s="149">
        <f>IF(M3&gt;=11,"Box 11 quantity","")</f>
        <v>0.0</v>
      </c>
    </row>
    <row r="6">
      <c r="A6" t="s">
        <v>30</v>
      </c>
      <c r="B6" t="s">
        <v>31</v>
      </c>
      <c r="C6" t="s">
        <v>32</v>
      </c>
      <c r="D6" t="s">
        <v>33</v>
      </c>
      <c r="E6" t="s">
        <v>34</v>
      </c>
      <c r="F6" t="s">
        <v>35</v>
      </c>
      <c r="G6" t="s">
        <v>36</v>
      </c>
      <c r="H6" t="s">
        <v>37</v>
      </c>
      <c r="I6" t="s">
        <v>38</v>
      </c>
      <c r="J6" t="n">
        <v>2.0</v>
      </c>
      <c r="K6" t="n">
        <f>SUM(M6:INDEX(M6:XFD6,1,M3))</f>
        <v>2.0</v>
      </c>
      <c r="L6" s="148"/>
      <c r="M6" t="n" s="44">
        <v>2</v>
      </c>
    </row>
    <row r="7">
      <c r="A7" t="s">
        <v>39</v>
      </c>
      <c r="B7" t="s">
        <v>40</v>
      </c>
      <c r="C7" t="s">
        <v>41</v>
      </c>
      <c r="D7" t="s">
        <v>42</v>
      </c>
      <c r="E7" t="s">
        <v>43</v>
      </c>
      <c r="F7" t="s">
        <v>35</v>
      </c>
      <c r="G7" t="s">
        <v>36</v>
      </c>
      <c r="H7" t="s">
        <v>37</v>
      </c>
      <c r="I7" t="s">
        <v>38</v>
      </c>
      <c r="J7" t="n">
        <v>1.0</v>
      </c>
      <c r="K7" t="n">
        <f>SUM(M7:INDEX(M7:XFD7,1,M3))</f>
        <v>1.0</v>
      </c>
      <c r="L7" s="148"/>
      <c r="M7" t="n" s="44">
        <v>1</v>
      </c>
    </row>
    <row r="8" ht="8.0" customHeight="true">
      <c r="A8" s="148"/>
      <c r="B8" s="148"/>
      <c r="C8" s="148"/>
      <c r="D8" s="148"/>
      <c r="E8" s="148"/>
      <c r="F8" s="148"/>
      <c r="G8" s="148"/>
      <c r="H8" s="148"/>
      <c r="I8" s="148"/>
      <c r="J8" s="148"/>
      <c r="K8" s="148"/>
      <c r="L8" s="148"/>
      <c r="M8" s="148"/>
      <c r="N8" s="148"/>
      <c r="O8" s="148"/>
      <c r="P8" s="148"/>
      <c r="Q8" s="148"/>
      <c r="R8" s="148"/>
      <c r="S8" s="148"/>
      <c r="T8" s="148"/>
      <c r="U8" s="148"/>
      <c r="V8" s="148"/>
      <c r="W8" s="148"/>
    </row>
    <row r="9">
      <c r="A9" t="s" s="152">
        <v>44</v>
      </c>
      <c r="B9" s="153"/>
      <c r="C9" s="154"/>
      <c r="D9" s="155"/>
      <c r="E9" s="156"/>
      <c r="F9" s="157"/>
      <c r="G9" s="158"/>
      <c r="H9" s="159"/>
      <c r="I9" s="160"/>
      <c r="J9" s="161"/>
      <c r="K9" s="162"/>
      <c r="L9" s="163"/>
      <c r="M9" t="n" s="164">
        <f>IF(M3&gt;=1,"P2 - B1","")</f>
        <v>0.0</v>
      </c>
      <c r="N9" t="n" s="165">
        <f>IF(M3&gt;=2,"P2 - B2","")</f>
        <v>0.0</v>
      </c>
      <c r="O9" t="n" s="166">
        <f>IF(M3&gt;=3,"P2 - B3","")</f>
        <v>0.0</v>
      </c>
      <c r="P9" t="n" s="167">
        <f>IF(M3&gt;=4,"P2 - B4","")</f>
        <v>0.0</v>
      </c>
      <c r="Q9" t="n" s="168">
        <f>IF(M3&gt;=5,"P2 - B5","")</f>
        <v>0.0</v>
      </c>
      <c r="R9" t="n" s="169">
        <f>IF(M3&gt;=6,"P2 - B6","")</f>
        <v>0.0</v>
      </c>
      <c r="S9" t="n" s="170">
        <f>IF(M3&gt;=7,"P2 - B7","")</f>
        <v>0.0</v>
      </c>
      <c r="T9" t="n" s="171">
        <f>IF(M3&gt;=8,"P2 - B8","")</f>
        <v>0.0</v>
      </c>
      <c r="U9" t="n" s="172">
        <f>IF(M3&gt;=9,"P2 - B9","")</f>
        <v>0.0</v>
      </c>
      <c r="V9" t="n" s="173">
        <f>IF(M3&gt;=10,"P2 - B10","")</f>
        <v>0.0</v>
      </c>
      <c r="W9" t="n" s="174">
        <f>IF(M3&gt;=11,"P2 - B11","")</f>
        <v>0.0</v>
      </c>
    </row>
    <row r="10">
      <c r="A10" t="s" s="176">
        <v>45</v>
      </c>
      <c r="B10" s="177"/>
      <c r="C10" s="178"/>
      <c r="D10" s="179"/>
      <c r="E10" s="180"/>
      <c r="F10" s="181"/>
      <c r="G10" s="182"/>
      <c r="H10" s="183"/>
      <c r="I10" s="184"/>
      <c r="J10" s="185"/>
      <c r="K10" s="186"/>
      <c r="L10" s="187"/>
      <c r="M10" t="n" s="44">
        <v>0.8</v>
      </c>
    </row>
    <row r="11">
      <c r="A11" t="s" s="189">
        <v>46</v>
      </c>
      <c r="B11" s="190"/>
      <c r="C11" s="191"/>
      <c r="D11" s="192"/>
      <c r="E11" s="193"/>
      <c r="F11" s="194"/>
      <c r="G11" s="195"/>
      <c r="H11" s="196"/>
      <c r="I11" s="197"/>
      <c r="J11" s="198"/>
      <c r="K11" s="199"/>
      <c r="L11" s="200"/>
      <c r="M11" t="n" s="44">
        <v>20</v>
      </c>
    </row>
    <row r="12">
      <c r="A12" t="s" s="202">
        <v>47</v>
      </c>
      <c r="B12" s="203"/>
      <c r="C12" s="204"/>
      <c r="D12" s="205"/>
      <c r="E12" s="206"/>
      <c r="F12" s="207"/>
      <c r="G12" s="208"/>
      <c r="H12" s="209"/>
      <c r="I12" s="210"/>
      <c r="J12" s="211"/>
      <c r="K12" s="212"/>
      <c r="L12" s="213"/>
      <c r="M12" t="n" s="44">
        <v>30</v>
      </c>
    </row>
    <row r="13">
      <c r="A13" t="s" s="215">
        <v>48</v>
      </c>
      <c r="B13" s="216"/>
      <c r="C13" s="217"/>
      <c r="D13" s="218"/>
      <c r="E13" s="219"/>
      <c r="F13" s="220"/>
      <c r="G13" s="221"/>
      <c r="H13" s="222"/>
      <c r="I13" s="223"/>
      <c r="J13" s="224"/>
      <c r="K13" s="225"/>
      <c r="L13" s="226"/>
      <c r="M13" t="n" s="44">
        <v>15</v>
      </c>
    </row>
    <row r="14" ht="8.0" customHeight="true">
      <c r="A14" s="148"/>
      <c r="B14" s="148"/>
      <c r="C14" s="148"/>
      <c r="D14" s="148"/>
      <c r="E14" s="148"/>
      <c r="F14" s="148"/>
      <c r="G14" s="148"/>
      <c r="H14" s="148"/>
      <c r="I14" s="148"/>
      <c r="J14" s="148"/>
      <c r="K14" s="148"/>
      <c r="L14" s="148"/>
      <c r="M14" s="148"/>
      <c r="N14" s="148"/>
      <c r="O14" s="148"/>
      <c r="P14" s="148"/>
      <c r="Q14" s="148"/>
      <c r="R14" s="148"/>
      <c r="S14" s="148"/>
      <c r="T14" s="148"/>
      <c r="U14" s="148"/>
      <c r="V14" s="148"/>
      <c r="W14" s="148"/>
    </row>
    <row r="15"/>
  </sheetData>
  <sheetProtection sheet="true" password="DFB5" selectLockedCells="false" selectUnlockedCells="false" formatCells="false" formatColumns="false" formatRows="false" insertColumns="true" insertRows="true" insertHyperlinks="true" deleteColumns="true" deleteRows="true" sort="true" autoFilter="true" pivotTables="true" objects="true" scenarios="true"/>
  <mergeCells count="12">
    <mergeCell ref="A1:L1"/>
    <mergeCell ref="A2:B2"/>
    <mergeCell ref="A3:C3"/>
    <mergeCell ref="I3:L3"/>
    <mergeCell ref="A4:L4"/>
    <mergeCell ref="A8:W8"/>
    <mergeCell ref="A9:L9"/>
    <mergeCell ref="A10:L10"/>
    <mergeCell ref="A11:L11"/>
    <mergeCell ref="A12:L12"/>
    <mergeCell ref="A13:L13"/>
    <mergeCell ref="A14:W14"/>
  </mergeCells>
  <conditionalFormatting sqref="K6">
    <cfRule type="expression" dxfId="2" priority="1">
      <formula>OR((J6 &lt;&gt; K6), (INT(J6) &lt;&gt; J6))</formula>
    </cfRule>
  </conditionalFormatting>
  <conditionalFormatting sqref="K7">
    <cfRule type="expression" dxfId="3" priority="2">
      <formula>OR((J7 &lt;&gt; K7), (INT(J7) &lt;&gt; J7))</formula>
    </cfRule>
  </conditionalFormatting>
  <dataValidations count="3">
    <dataValidation type="whole" operator="between" sqref="M3" allowBlank="true" errorStyle="stop" showErrorMessage="true" errorTitle="Validation error" error="Enter a whole number between 1 and 11">
      <formula1>1</formula1>
      <formula2>11</formula2>
    </dataValidation>
    <dataValidation type="whole" operator="greaterThanOrEqual" sqref="M6:M8 N6:N8 O6:O8 P6:P8 Q6:Q8 R6:R8 S6:S8 T6:T8 U6:U8 V6:V8 W6:W8" allowBlank="true" errorStyle="stop" showErrorMessage="true" errorTitle="Validation error" error="Enter a whole number greater than or equal to 0">
      <formula1>0</formula1>
    </dataValidation>
    <dataValidation type="decimal" operator="greaterThan" sqref="M10:M13 N10:N13 O10:O13 P10:P13 Q10:Q13 R10:R13 S10:S13 T10:T13 U10:U13 V10:V13 W10:W13" allowBlank="true" errorStyle="stop" showErrorMessage="true" errorTitle="Validation error" error="Enter a number greater than 0">
      <formula1>0.0</formula1>
    </dataValidation>
  </dataValidations>
  <pageMargins bottom="0.75" footer="0.3" header="0.3" left="0.7" right="0.7" top="0.75"/>
</worksheet>
</file>

<file path=xl/worksheets/sheet4.xml><?xml version="1.0" encoding="utf-8"?>
<worksheet xmlns="http://schemas.openxmlformats.org/spreadsheetml/2006/main">
  <dimension ref="A1:W15"/>
  <sheetViews>
    <sheetView workbookViewId="0">
      <pane xSplit="2.0" ySplit="5.0" state="frozen" topLeftCell="C6" activePane="bottomRight"/>
      <selection pane="bottomRight"/>
    </sheetView>
  </sheetViews>
  <sheetFormatPr defaultRowHeight="15.0"/>
  <cols>
    <col min="1" max="1" width="21.0" customWidth="true"/>
    <col min="2" max="2" width="61.0" customWidth="true"/>
    <col min="3" max="3" width="20.0" customWidth="true" hidden="true"/>
    <col min="4" max="4" width="21.0" customWidth="true"/>
    <col min="5" max="5" width="21.0" customWidth="true"/>
    <col min="6" max="6" width="15.0" customWidth="true"/>
    <col min="7" max="7" width="15.0" customWidth="true"/>
    <col min="8" max="8" width="15.0" customWidth="true"/>
    <col min="9" max="9" width="15.0" customWidth="true"/>
    <col min="10" max="10" width="15.0" customWidth="true"/>
    <col min="11" max="11" width="15.0" customWidth="true"/>
    <col min="12" max="12" width="1.0" customWidth="true"/>
    <col min="13" max="13" width="13.0" customWidth="true" style="256"/>
    <col min="14" max="14" width="13.0" customWidth="true" style="256"/>
    <col min="15" max="15" width="13.0" customWidth="true" style="256"/>
    <col min="16" max="16" width="13.0" customWidth="true" style="256"/>
    <col min="17" max="17" width="13.0" customWidth="true" style="256"/>
    <col min="18" max="18" width="13.0" customWidth="true" style="256"/>
    <col min="19" max="19" width="13.0" customWidth="true" style="256"/>
    <col min="20" max="20" width="13.0" customWidth="true" style="256"/>
    <col min="21" max="21" width="13.0" customWidth="true" style="256"/>
    <col min="22" max="22" width="13.0" customWidth="true" style="256"/>
    <col min="23" max="23" width="13.0" customWidth="true" style="256"/>
  </cols>
  <sheetData>
    <row r="1">
      <c r="A1" t="s" s="228">
        <v>14</v>
      </c>
      <c r="B1" s="229"/>
      <c r="C1" s="230"/>
      <c r="D1" s="231"/>
      <c r="E1" s="232"/>
      <c r="F1" s="233"/>
      <c r="G1" s="234"/>
      <c r="H1" s="235"/>
      <c r="I1" s="236"/>
      <c r="J1" s="237"/>
      <c r="K1" s="238"/>
      <c r="L1" s="239"/>
    </row>
    <row r="2">
      <c r="A2" t="s" s="241">
        <v>52</v>
      </c>
      <c r="B2" s="242"/>
      <c r="C2" t="s" s="243">
        <v>53</v>
      </c>
    </row>
    <row r="3">
      <c r="A3" t="s" s="245">
        <v>54</v>
      </c>
      <c r="B3" s="246"/>
      <c r="C3" s="247"/>
      <c r="I3" t="s" s="249">
        <v>18</v>
      </c>
      <c r="J3" s="250"/>
      <c r="K3" s="251"/>
      <c r="L3" s="252"/>
      <c r="M3" t="n" s="253">
        <v>1.0</v>
      </c>
    </row>
    <row r="4" ht="8.0" customHeight="true">
      <c r="A4" s="254"/>
      <c r="B4" s="254"/>
      <c r="C4" s="254"/>
      <c r="D4" s="254"/>
      <c r="E4" s="254"/>
      <c r="F4" s="254"/>
      <c r="G4" s="254"/>
      <c r="H4" s="254"/>
      <c r="I4" s="254"/>
      <c r="J4" s="254"/>
      <c r="K4" s="254"/>
      <c r="L4" s="254"/>
    </row>
    <row r="5">
      <c r="A5" t="s" s="255">
        <v>19</v>
      </c>
      <c r="B5" t="s" s="255">
        <v>20</v>
      </c>
      <c r="C5" t="s" s="255">
        <v>21</v>
      </c>
      <c r="D5" t="s" s="255">
        <v>22</v>
      </c>
      <c r="E5" t="s" s="255">
        <v>23</v>
      </c>
      <c r="F5" t="s" s="255">
        <v>24</v>
      </c>
      <c r="G5" t="s" s="255">
        <v>25</v>
      </c>
      <c r="H5" t="s" s="255">
        <v>26</v>
      </c>
      <c r="I5" t="s" s="255">
        <v>27</v>
      </c>
      <c r="J5" t="s" s="255">
        <v>28</v>
      </c>
      <c r="K5" t="s" s="255">
        <v>29</v>
      </c>
      <c r="L5" s="254"/>
      <c r="M5" t="n" s="255">
        <f>IF(M3&gt;=1,"Box 1 quantity","")</f>
        <v>0.0</v>
      </c>
      <c r="N5" t="n" s="255">
        <f>IF(M3&gt;=2,"Box 2 quantity","")</f>
        <v>0.0</v>
      </c>
      <c r="O5" t="n" s="255">
        <f>IF(M3&gt;=3,"Box 3 quantity","")</f>
        <v>0.0</v>
      </c>
      <c r="P5" t="n" s="255">
        <f>IF(M3&gt;=4,"Box 4 quantity","")</f>
        <v>0.0</v>
      </c>
      <c r="Q5" t="n" s="255">
        <f>IF(M3&gt;=5,"Box 5 quantity","")</f>
        <v>0.0</v>
      </c>
      <c r="R5" t="n" s="255">
        <f>IF(M3&gt;=6,"Box 6 quantity","")</f>
        <v>0.0</v>
      </c>
      <c r="S5" t="n" s="255">
        <f>IF(M3&gt;=7,"Box 7 quantity","")</f>
        <v>0.0</v>
      </c>
      <c r="T5" t="n" s="255">
        <f>IF(M3&gt;=8,"Box 8 quantity","")</f>
        <v>0.0</v>
      </c>
      <c r="U5" t="n" s="255">
        <f>IF(M3&gt;=9,"Box 9 quantity","")</f>
        <v>0.0</v>
      </c>
      <c r="V5" t="n" s="255">
        <f>IF(M3&gt;=10,"Box 10 quantity","")</f>
        <v>0.0</v>
      </c>
      <c r="W5" t="n" s="255">
        <f>IF(M3&gt;=11,"Box 11 quantity","")</f>
        <v>0.0</v>
      </c>
    </row>
    <row r="6">
      <c r="A6" t="s">
        <v>30</v>
      </c>
      <c r="B6" t="s">
        <v>31</v>
      </c>
      <c r="C6" t="s">
        <v>32</v>
      </c>
      <c r="D6" t="s">
        <v>33</v>
      </c>
      <c r="E6" t="s">
        <v>34</v>
      </c>
      <c r="F6" t="s">
        <v>35</v>
      </c>
      <c r="G6" t="s">
        <v>36</v>
      </c>
      <c r="H6" t="s">
        <v>37</v>
      </c>
      <c r="I6" t="s">
        <v>38</v>
      </c>
      <c r="J6" t="n">
        <v>16.0</v>
      </c>
      <c r="K6" t="n">
        <f>SUM(M6:INDEX(M6:XFD6,1,M3))</f>
        <v>16.0</v>
      </c>
      <c r="L6" s="254"/>
      <c r="M6" t="n" s="44">
        <v>16</v>
      </c>
    </row>
    <row r="7">
      <c r="A7" t="s">
        <v>39</v>
      </c>
      <c r="B7" t="s">
        <v>40</v>
      </c>
      <c r="C7" t="s">
        <v>41</v>
      </c>
      <c r="D7" t="s">
        <v>42</v>
      </c>
      <c r="E7" t="s">
        <v>43</v>
      </c>
      <c r="F7" t="s">
        <v>35</v>
      </c>
      <c r="G7" t="s">
        <v>36</v>
      </c>
      <c r="H7" t="s">
        <v>37</v>
      </c>
      <c r="I7" t="s">
        <v>38</v>
      </c>
      <c r="J7" t="n">
        <v>17.0</v>
      </c>
      <c r="K7" t="n">
        <f>SUM(M7:INDEX(M7:XFD7,1,M3))</f>
        <v>17.0</v>
      </c>
      <c r="L7" s="254"/>
      <c r="M7" t="n" s="44">
        <v>17</v>
      </c>
    </row>
    <row r="8" ht="8.0" customHeight="true">
      <c r="A8" s="254"/>
      <c r="B8" s="254"/>
      <c r="C8" s="254"/>
      <c r="D8" s="254"/>
      <c r="E8" s="254"/>
      <c r="F8" s="254"/>
      <c r="G8" s="254"/>
      <c r="H8" s="254"/>
      <c r="I8" s="254"/>
      <c r="J8" s="254"/>
      <c r="K8" s="254"/>
      <c r="L8" s="254"/>
      <c r="M8" s="254"/>
      <c r="N8" s="254"/>
      <c r="O8" s="254"/>
      <c r="P8" s="254"/>
      <c r="Q8" s="254"/>
      <c r="R8" s="254"/>
      <c r="S8" s="254"/>
      <c r="T8" s="254"/>
      <c r="U8" s="254"/>
      <c r="V8" s="254"/>
      <c r="W8" s="254"/>
    </row>
    <row r="9">
      <c r="A9" t="s" s="258">
        <v>44</v>
      </c>
      <c r="B9" s="259"/>
      <c r="C9" s="260"/>
      <c r="D9" s="261"/>
      <c r="E9" s="262"/>
      <c r="F9" s="263"/>
      <c r="G9" s="264"/>
      <c r="H9" s="265"/>
      <c r="I9" s="266"/>
      <c r="J9" s="267"/>
      <c r="K9" s="268"/>
      <c r="L9" s="269"/>
      <c r="M9" t="n" s="270">
        <f>IF(M3&gt;=1,"P3 - B1","")</f>
        <v>0.0</v>
      </c>
      <c r="N9" t="n" s="271">
        <f>IF(M3&gt;=2,"P3 - B2","")</f>
        <v>0.0</v>
      </c>
      <c r="O9" t="n" s="272">
        <f>IF(M3&gt;=3,"P3 - B3","")</f>
        <v>0.0</v>
      </c>
      <c r="P9" t="n" s="273">
        <f>IF(M3&gt;=4,"P3 - B4","")</f>
        <v>0.0</v>
      </c>
      <c r="Q9" t="n" s="274">
        <f>IF(M3&gt;=5,"P3 - B5","")</f>
        <v>0.0</v>
      </c>
      <c r="R9" t="n" s="275">
        <f>IF(M3&gt;=6,"P3 - B6","")</f>
        <v>0.0</v>
      </c>
      <c r="S9" t="n" s="276">
        <f>IF(M3&gt;=7,"P3 - B7","")</f>
        <v>0.0</v>
      </c>
      <c r="T9" t="n" s="277">
        <f>IF(M3&gt;=8,"P3 - B8","")</f>
        <v>0.0</v>
      </c>
      <c r="U9" t="n" s="278">
        <f>IF(M3&gt;=9,"P3 - B9","")</f>
        <v>0.0</v>
      </c>
      <c r="V9" t="n" s="279">
        <f>IF(M3&gt;=10,"P3 - B10","")</f>
        <v>0.0</v>
      </c>
      <c r="W9" t="n" s="280">
        <f>IF(M3&gt;=11,"P3 - B11","")</f>
        <v>0.0</v>
      </c>
    </row>
    <row r="10">
      <c r="A10" t="s" s="282">
        <v>45</v>
      </c>
      <c r="B10" s="283"/>
      <c r="C10" s="284"/>
      <c r="D10" s="285"/>
      <c r="E10" s="286"/>
      <c r="F10" s="287"/>
      <c r="G10" s="288"/>
      <c r="H10" s="289"/>
      <c r="I10" s="290"/>
      <c r="J10" s="291"/>
      <c r="K10" s="292"/>
      <c r="L10" s="293"/>
      <c r="M10" t="n" s="44">
        <v>5.0</v>
      </c>
    </row>
    <row r="11">
      <c r="A11" t="s" s="295">
        <v>46</v>
      </c>
      <c r="B11" s="296"/>
      <c r="C11" s="297"/>
      <c r="D11" s="298"/>
      <c r="E11" s="299"/>
      <c r="F11" s="300"/>
      <c r="G11" s="301"/>
      <c r="H11" s="302"/>
      <c r="I11" s="303"/>
      <c r="J11" s="304"/>
      <c r="K11" s="305"/>
      <c r="L11" s="306"/>
      <c r="M11" t="n" s="44">
        <v>30</v>
      </c>
    </row>
    <row r="12">
      <c r="A12" t="s" s="308">
        <v>47</v>
      </c>
      <c r="B12" s="309"/>
      <c r="C12" s="310"/>
      <c r="D12" s="311"/>
      <c r="E12" s="312"/>
      <c r="F12" s="313"/>
      <c r="G12" s="314"/>
      <c r="H12" s="315"/>
      <c r="I12" s="316"/>
      <c r="J12" s="317"/>
      <c r="K12" s="318"/>
      <c r="L12" s="319"/>
      <c r="M12" t="n" s="44">
        <v>40</v>
      </c>
    </row>
    <row r="13">
      <c r="A13" t="s" s="321">
        <v>48</v>
      </c>
      <c r="B13" s="322"/>
      <c r="C13" s="323"/>
      <c r="D13" s="324"/>
      <c r="E13" s="325"/>
      <c r="F13" s="326"/>
      <c r="G13" s="327"/>
      <c r="H13" s="328"/>
      <c r="I13" s="329"/>
      <c r="J13" s="330"/>
      <c r="K13" s="331"/>
      <c r="L13" s="332"/>
      <c r="M13" t="n" s="44">
        <v>30</v>
      </c>
    </row>
    <row r="14" ht="8.0" customHeight="true">
      <c r="A14" s="254"/>
      <c r="B14" s="254"/>
      <c r="C14" s="254"/>
      <c r="D14" s="254"/>
      <c r="E14" s="254"/>
      <c r="F14" s="254"/>
      <c r="G14" s="254"/>
      <c r="H14" s="254"/>
      <c r="I14" s="254"/>
      <c r="J14" s="254"/>
      <c r="K14" s="254"/>
      <c r="L14" s="254"/>
      <c r="M14" s="254"/>
      <c r="N14" s="254"/>
      <c r="O14" s="254"/>
      <c r="P14" s="254"/>
      <c r="Q14" s="254"/>
      <c r="R14" s="254"/>
      <c r="S14" s="254"/>
      <c r="T14" s="254"/>
      <c r="U14" s="254"/>
      <c r="V14" s="254"/>
      <c r="W14" s="254"/>
    </row>
    <row r="15"/>
  </sheetData>
  <sheetProtection sheet="true" password="DFB5" selectLockedCells="false" selectUnlockedCells="false" formatCells="false" formatColumns="false" formatRows="false" insertColumns="true" insertRows="true" insertHyperlinks="true" deleteColumns="true" deleteRows="true" sort="true" autoFilter="true" pivotTables="true" objects="true" scenarios="true"/>
  <mergeCells count="12">
    <mergeCell ref="A1:L1"/>
    <mergeCell ref="A2:B2"/>
    <mergeCell ref="A3:C3"/>
    <mergeCell ref="I3:L3"/>
    <mergeCell ref="A4:L4"/>
    <mergeCell ref="A8:W8"/>
    <mergeCell ref="A9:L9"/>
    <mergeCell ref="A10:L10"/>
    <mergeCell ref="A11:L11"/>
    <mergeCell ref="A12:L12"/>
    <mergeCell ref="A13:L13"/>
    <mergeCell ref="A14:W14"/>
  </mergeCells>
  <conditionalFormatting sqref="K6">
    <cfRule type="expression" dxfId="4" priority="1">
      <formula>OR((J6 &lt;&gt; K6), (INT(J6) &lt;&gt; J6))</formula>
    </cfRule>
  </conditionalFormatting>
  <conditionalFormatting sqref="K7">
    <cfRule type="expression" dxfId="5" priority="2">
      <formula>OR((J7 &lt;&gt; K7), (INT(J7) &lt;&gt; J7))</formula>
    </cfRule>
  </conditionalFormatting>
  <dataValidations count="3">
    <dataValidation type="whole" operator="between" sqref="M3" allowBlank="true" errorStyle="stop" showErrorMessage="true" errorTitle="Validation error" error="Enter a whole number between 1 and 11">
      <formula1>1</formula1>
      <formula2>11</formula2>
    </dataValidation>
    <dataValidation type="whole" operator="greaterThanOrEqual" sqref="M6:M8 N6:N8 O6:O8 P6:P8 Q6:Q8 R6:R8 S6:S8 T6:T8 U6:U8 V6:V8 W6:W8" allowBlank="true" errorStyle="stop" showErrorMessage="true" errorTitle="Validation error" error="Enter a whole number greater than or equal to 0">
      <formula1>0</formula1>
    </dataValidation>
    <dataValidation type="decimal" operator="greaterThan" sqref="M10:M13 N10:N13 O10:O13 P10:P13 Q10:Q13 R10:R13 S10:S13 T10:T13 U10:U13 V10:V13 W10:W13" allowBlank="true" errorStyle="stop" showErrorMessage="true" errorTitle="Validation error" error="Enter a number greater than 0">
      <formula1>0.0</formula1>
    </dataValidation>
  </dataValidations>
  <pageMargins bottom="0.75" footer="0.3" header="0.3" left="0.7" right="0.7" top="0.75"/>
</worksheet>
</file>

<file path=xl/worksheets/sheet5.xml><?xml version="1.0" encoding="utf-8"?>
<worksheet xmlns="http://schemas.openxmlformats.org/spreadsheetml/2006/main">
  <dimension ref="A1:B6"/>
  <sheetViews>
    <sheetView workbookViewId="0"/>
  </sheetViews>
  <sheetFormatPr defaultRowHeight="15.0"/>
  <cols>
    <col min="1" max="1" width="25.0" customWidth="true"/>
    <col min="2" max="2" width="25.0" customWidth="true"/>
  </cols>
  <sheetData>
    <row r="1">
      <c r="A1" t="s" s="333">
        <v>55</v>
      </c>
      <c r="B1" t="s" s="334">
        <v>56</v>
      </c>
    </row>
    <row r="2">
      <c r="A2" t="s" s="335">
        <v>57</v>
      </c>
      <c r="B2" t="s" s="336">
        <v>58</v>
      </c>
    </row>
    <row r="3">
      <c r="A3" t="s" s="337">
        <v>59</v>
      </c>
      <c r="B3" t="s" s="338">
        <v>60</v>
      </c>
    </row>
    <row r="4">
      <c r="A4" t="s" s="339">
        <v>61</v>
      </c>
      <c r="B4" t="s" s="340">
        <v>62</v>
      </c>
    </row>
    <row r="5">
      <c r="A5" t="s" s="341">
        <v>63</v>
      </c>
      <c r="B5" t="n" s="342">
        <v>3.0</v>
      </c>
    </row>
    <row r="6"/>
  </sheetData>
  <sheetProtection password="DFB5"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2026-09-26T12:49:15Z</dcterms:created>
  <dc:creator>Apache POI</dc:creator>
</cp:coreProperties>
</file>