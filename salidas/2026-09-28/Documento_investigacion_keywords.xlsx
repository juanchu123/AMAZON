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inza (B0DCZS1NR6)" sheetId="2" state="visible" r:id="rId2"/>
    <sheet xmlns:r="http://schemas.openxmlformats.org/officeDocument/2006/relationships" name="Rejilla (B0DHYBY6MS)" sheetId="3" state="visible" r:id="rId3"/>
    <sheet xmlns:r="http://schemas.openxmlformats.org/officeDocument/2006/relationships" name="Términos de búsqueda" sheetId="4" state="visible" r:id="rId4"/>
    <sheet xmlns:r="http://schemas.openxmlformats.org/officeDocument/2006/relationships" name="Reseñas competencia" sheetId="5" state="visible" r:id="rId5"/>
    <sheet xmlns:r="http://schemas.openxmlformats.org/officeDocument/2006/relationships" name="Google Trends" sheetId="6" state="visible" r:id="rId6"/>
  </sheets>
  <definedNames>
    <definedName name="_xlnm._FilterDatabase" localSheetId="1" hidden="1">'Pinza (B0DCZS1NR6)'!$A$1:$P$87</definedName>
    <definedName name="_xlnm._FilterDatabase" localSheetId="2" hidden="1">'Rejilla (B0DHYBY6MS)'!$A$1:$P$98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4" fontId="3" fillId="0" borderId="0" pivotButton="0" quotePrefix="0" xfId="0"/>
    <xf numFmtId="9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Interés mensual 'soporte movil coche' (España)</a:t>
            </a:r>
          </a:p>
        </rich>
      </tx>
    </title>
    <plotArea>
      <lineChart>
        <grouping val="standard"/>
        <ser>
          <idx val="0"/>
          <order val="0"/>
          <tx>
            <strRef>
              <f>'Google Trends'!B40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'Google Trends'!$A$41:$A$101</f>
            </numRef>
          </cat>
          <val>
            <numRef>
              <f>'Google Trends'!$B$41:$B$101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Estacionalidad (media por mes)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'Google Trends'!B11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'Google Trends'!$A$12:$A$23</f>
            </numRef>
          </cat>
          <val>
            <numRef>
              <f>'Google Trends'!$B$12:$B$23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Investigación de keywords — FreshFinder (28/09/2026)</t>
        </is>
      </c>
    </row>
    <row r="2" ht="48" customHeight="1">
      <c r="A2" s="2" t="inlineStr">
        <is>
          <t>Documento único, regenerado cada día: todas las frases investigadas (todos los días), el histórico y las recomendadas por el ML, puntuadas con el modelo y los datos actuales de la memoria. Cada frase aparece una vez por producto. 'Primera vez' = día en que se investigó.</t>
        </is>
      </c>
    </row>
    <row r="4">
      <c r="A4" s="3" t="inlineStr">
        <is>
          <t>Producto</t>
        </is>
      </c>
      <c r="B4" s="3" t="inlineStr">
        <is>
          <t>Hoja</t>
        </is>
      </c>
      <c r="C4" s="3" t="inlineStr">
        <is>
          <t>Frases</t>
        </is>
      </c>
      <c r="D4" s="3" t="inlineStr">
        <is>
          <t>Pasan filtro (ACOS pred. ≤ 30 %)</t>
        </is>
      </c>
      <c r="E4" s="3" t="inlineStr">
        <is>
          <t>Cerca (30–35 %)</t>
        </is>
      </c>
      <c r="F4" s="3" t="inlineStr">
        <is>
          <t>Ya en campañas</t>
        </is>
      </c>
      <c r="G4" s="3" t="inlineStr">
        <is>
          <t>Nuevas hoy</t>
        </is>
      </c>
    </row>
    <row r="5">
      <c r="A5" s="4" t="inlineStr">
        <is>
          <t>Pinza (B0DCZS1NR6)</t>
        </is>
      </c>
      <c r="B5" s="4" t="inlineStr">
        <is>
          <t>Pinza (B0DCZS1NR6)</t>
        </is>
      </c>
      <c r="C5" s="4">
        <f>COUNTA('Pinza (B0DCZS1NR6)'!A:A)-1</f>
        <v/>
      </c>
      <c r="D5" s="4">
        <f>COUNTIF('Pinza (B0DCZS1NR6)'!N:N,"Sí")</f>
        <v/>
      </c>
      <c r="E5" s="4">
        <f>COUNTIFS('Pinza (B0DCZS1NR6)'!N:N,"No",'Pinza (B0DCZS1NR6)'!M:M,"&gt;0.30",'Pinza (B0DCZS1NR6)'!M:M,"&lt;=0.35")</f>
        <v/>
      </c>
      <c r="F5" s="4">
        <f>COUNTIF('Pinza (B0DCZS1NR6)'!J:J,"Sí")</f>
        <v/>
      </c>
      <c r="G5" s="4">
        <f>COUNTIF('Pinza (B0DCZS1NR6)'!B:B,"2026-09-28")</f>
        <v/>
      </c>
    </row>
    <row r="6">
      <c r="A6" s="4" t="inlineStr">
        <is>
          <t>Rejilla (B0DHYBY6MS)</t>
        </is>
      </c>
      <c r="B6" s="4" t="inlineStr">
        <is>
          <t>Rejilla (B0DHYBY6MS)</t>
        </is>
      </c>
      <c r="C6" s="4">
        <f>COUNTA('Rejilla (B0DHYBY6MS)'!A:A)-1</f>
        <v/>
      </c>
      <c r="D6" s="4">
        <f>COUNTIF('Rejilla (B0DHYBY6MS)'!N:N,"Sí")</f>
        <v/>
      </c>
      <c r="E6" s="4">
        <f>COUNTIFS('Rejilla (B0DHYBY6MS)'!N:N,"No",'Rejilla (B0DHYBY6MS)'!M:M,"&gt;0.30",'Rejilla (B0DHYBY6MS)'!M:M,"&lt;=0.35")</f>
        <v/>
      </c>
      <c r="F6" s="4">
        <f>COUNTIF('Rejilla (B0DHYBY6MS)'!J:J,"Sí")</f>
        <v/>
      </c>
      <c r="G6" s="4">
        <f>COUNTIF('Rejilla (B0DHYBY6MS)'!B:B,"2026-09-28")</f>
        <v/>
      </c>
    </row>
    <row r="7">
      <c r="A7" s="5" t="inlineStr">
        <is>
          <t>Total</t>
        </is>
      </c>
      <c r="B7" s="5" t="inlineStr"/>
      <c r="C7" s="5">
        <f>SUM(C5:C6)</f>
        <v/>
      </c>
      <c r="D7" s="5">
        <f>SUM(D5:D6)</f>
        <v/>
      </c>
      <c r="E7" s="5">
        <f>SUM(E5:E6)</f>
        <v/>
      </c>
      <c r="F7" s="5">
        <f>SUM(F5:F6)</f>
        <v/>
      </c>
      <c r="G7" s="5">
        <f>SUM(G5:G6)</f>
        <v/>
      </c>
    </row>
    <row r="9">
      <c r="A9" s="5" t="inlineStr">
        <is>
          <t>Cómo leerlo</t>
        </is>
      </c>
      <c r="B9" s="4" t="inlineStr"/>
    </row>
    <row r="10">
      <c r="A10" s="5" t="inlineStr">
        <is>
          <t>Verde</t>
        </is>
      </c>
      <c r="B10" s="4" t="inlineStr">
        <is>
          <t>Pasa el filtro del agente: entra en la siguiente ronda si hay hueco en un grupo ACTIVO.</t>
        </is>
      </c>
    </row>
    <row r="11">
      <c r="A11" s="5" t="inlineStr">
        <is>
          <t>Amarillo</t>
        </is>
      </c>
      <c r="B11" s="4" t="inlineStr">
        <is>
          <t>Cerca del filtro (ACOS predicho 30–35 %).</t>
        </is>
      </c>
    </row>
    <row r="12">
      <c r="A12" s="5" t="inlineStr">
        <is>
          <t>P(compra|clic)</t>
        </is>
      </c>
      <c r="B12" s="4" t="inlineStr">
        <is>
          <t>Probabilidad de compra por clic del modelo de ML entrenado con tu histórico.</t>
        </is>
      </c>
    </row>
    <row r="13">
      <c r="A13" s="5" t="inlineStr">
        <is>
          <t>ACOS predicho</t>
        </is>
      </c>
      <c r="B13" s="4" t="inlineStr">
        <is>
          <t>CPC estimado ÷ (P × ticket medio). Filtro del agente: ≤ 30 %.</t>
        </is>
      </c>
    </row>
    <row r="14">
      <c r="A14" s="5" t="inlineStr">
        <is>
          <t>Foto, no fórmula</t>
        </is>
      </c>
      <c r="B14" s="4" t="inlineStr">
        <is>
          <t>Se recalcula al regenerar (cada día, con la rutina). El agente además repuntúa en cada ronda.</t>
        </is>
      </c>
    </row>
    <row r="15">
      <c r="A15" s="5" t="inlineStr"/>
      <c r="B15" s="4" t="inlineStr"/>
    </row>
    <row r="16">
      <c r="A16" s="5" t="inlineStr">
        <is>
          <t>Fuentes</t>
        </is>
      </c>
      <c r="B16" s="4" t="inlineStr"/>
    </row>
    <row r="17">
      <c r="A17" s="5" t="inlineStr">
        <is>
          <t>Términos de búsqueda propios</t>
        </is>
      </c>
      <c r="B17" s="4" t="inlineStr">
        <is>
          <t>Búsquedas reales antes de clicar tus anuncios (Amazon Ads vía AdLabs).</t>
        </is>
      </c>
    </row>
    <row r="18">
      <c r="A18" s="5" t="inlineStr">
        <is>
          <t>Histórico (vendió)</t>
        </is>
      </c>
      <c r="B18" s="4" t="inlineStr">
        <is>
          <t>Tus keywords con al menos 1 compra.</t>
        </is>
      </c>
    </row>
    <row r="19">
      <c r="A19" s="5" t="inlineStr">
        <is>
          <t>Recomendada ML</t>
        </is>
      </c>
      <c r="B19" s="4" t="inlineStr">
        <is>
          <t>Frases nuevas del modelo de keywords.</t>
        </is>
      </c>
    </row>
    <row r="20">
      <c r="A20" s="5" t="inlineStr">
        <is>
          <t>Autocompletado Amazon</t>
        </is>
      </c>
      <c r="B20" s="4" t="inlineStr">
        <is>
          <t>Sugerencias reales del buscador de amazon.es.</t>
        </is>
      </c>
    </row>
    <row r="21">
      <c r="A21" s="5" t="inlineStr">
        <is>
          <t>Constructor Amazon Ads</t>
        </is>
      </c>
      <c r="B21" s="4" t="inlineStr">
        <is>
          <t>Sugeridas por Amazon para el ASIN, con puja.</t>
        </is>
      </c>
    </row>
    <row r="22">
      <c r="A22" s="5" t="inlineStr">
        <is>
          <t>RMIQ (IA)</t>
        </is>
      </c>
      <c r="B22" s="4" t="inlineStr">
        <is>
          <t>Generadas por IA: sin volumen, hipótesis.</t>
        </is>
      </c>
    </row>
    <row r="23">
      <c r="A23" s="5" t="inlineStr">
        <is>
          <t>Reseñas competencia</t>
        </is>
      </c>
      <c r="B23" s="4" t="inlineStr">
        <is>
          <t>Cómo describen el producto los compradores.</t>
        </is>
      </c>
    </row>
    <row r="24">
      <c r="A24" s="5" t="inlineStr">
        <is>
          <t>Google Trends</t>
        </is>
      </c>
      <c r="B24" s="4" t="inlineStr">
        <is>
          <t>Tendencia y temporada en Google España.</t>
        </is>
      </c>
    </row>
    <row r="25">
      <c r="A25" s="5" t="inlineStr"/>
      <c r="B25" s="4" t="inlineStr"/>
    </row>
    <row r="26">
      <c r="A26" s="5" t="inlineStr">
        <is>
          <t>Filtros</t>
        </is>
      </c>
      <c r="B26" s="4" t="inlineStr">
        <is>
          <t>Solo español; sin marcas ni modelos de coche; fuera lo que el producto no es; 'sin imán' sí vale.</t>
        </is>
      </c>
    </row>
    <row r="27">
      <c r="A27" s="5" t="inlineStr">
        <is>
          <t>Ojo</t>
        </is>
      </c>
      <c r="B27" s="4" t="inlineStr">
        <is>
          <t>'Homologado' / 'DGT': solo si el producto lo cumple de verdad.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3" customWidth="1" min="4" max="4"/>
    <col width="3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4" customWidth="1" min="16" max="16"/>
  </cols>
  <sheetData>
    <row r="1">
      <c r="A1" s="3" t="inlineStr">
        <is>
          <t>Frase</t>
        </is>
      </c>
      <c r="B1" s="3" t="inlineStr">
        <is>
          <t>Primera vez</t>
        </is>
      </c>
      <c r="C1" s="3" t="inlineStr">
        <is>
          <t>Fuentes</t>
        </is>
      </c>
      <c r="D1" s="3" t="inlineStr">
        <is>
          <t>Nº fuentes</t>
        </is>
      </c>
      <c r="E1" s="3" t="inlineStr">
        <is>
          <t>Señal de volumen</t>
        </is>
      </c>
      <c r="F1" s="3" t="inlineStr">
        <is>
          <t>Puja sugerida Amazon (€)</t>
        </is>
      </c>
      <c r="G1" s="3" t="inlineStr">
        <is>
          <t>Histórico clics</t>
        </is>
      </c>
      <c r="H1" s="3" t="inlineStr">
        <is>
          <t>Histórico compras</t>
        </is>
      </c>
      <c r="I1" s="3" t="inlineStr">
        <is>
          <t>Histórico ACOS</t>
        </is>
      </c>
      <c r="J1" s="3" t="inlineStr">
        <is>
          <t>En campañas</t>
        </is>
      </c>
      <c r="K1" s="3" t="inlineStr">
        <is>
          <t>P(compra|clic) modelo</t>
        </is>
      </c>
      <c r="L1" s="3" t="inlineStr">
        <is>
          <t>CPC estimado (€)</t>
        </is>
      </c>
      <c r="M1" s="3" t="inlineStr">
        <is>
          <t>ACOS predicho</t>
        </is>
      </c>
      <c r="N1" s="3" t="inlineStr">
        <is>
          <t>¿Pasa filtro?</t>
        </is>
      </c>
      <c r="O1" s="3" t="inlineStr">
        <is>
          <t>Puja propuesta (€)</t>
        </is>
      </c>
      <c r="P1" s="3" t="inlineStr">
        <is>
          <t>Motivo</t>
        </is>
      </c>
    </row>
    <row r="2">
      <c r="A2" s="4" t="inlineStr">
        <is>
          <t>soporte móvil coche pinza ajustable 360</t>
        </is>
      </c>
      <c r="B2" s="4" t="inlineStr">
        <is>
          <t>—</t>
        </is>
      </c>
      <c r="C2" s="4" t="inlineStr">
        <is>
          <t>Recomendada ML</t>
        </is>
      </c>
      <c r="D2" s="4" t="n">
        <v>1</v>
      </c>
      <c r="E2" s="4" t="inlineStr"/>
      <c r="F2" s="6" t="n"/>
      <c r="G2" s="4" t="n"/>
      <c r="H2" s="4" t="n"/>
      <c r="I2" s="7" t="n"/>
      <c r="J2" s="4" t="inlineStr">
        <is>
          <t>No</t>
        </is>
      </c>
      <c r="K2" s="8" t="n">
        <v>0.1157</v>
      </c>
      <c r="L2" s="6" t="n">
        <v>0.29</v>
      </c>
      <c r="M2" s="7" t="n">
        <v>0.223</v>
      </c>
      <c r="N2" s="4" t="inlineStr">
        <is>
          <t>Sí</t>
        </is>
      </c>
      <c r="O2" s="6" t="n">
        <v>0.39</v>
      </c>
      <c r="P2" s="4" t="inlineStr">
        <is>
          <t>entra si hay hueco en un grupo del producto</t>
        </is>
      </c>
    </row>
    <row r="3">
      <c r="A3" s="4" t="inlineStr">
        <is>
          <t>soporte movil coche pinza fuerte</t>
        </is>
      </c>
      <c r="B3" s="4" t="inlineStr">
        <is>
          <t>2026-09-28</t>
        </is>
      </c>
      <c r="C3" s="4" t="inlineStr">
        <is>
          <t>RMIQ (IA)</t>
        </is>
      </c>
      <c r="D3" s="4" t="n">
        <v>1</v>
      </c>
      <c r="E3" s="4" t="inlineStr">
        <is>
          <t>volumen desconocido</t>
        </is>
      </c>
      <c r="F3" s="6" t="n"/>
      <c r="G3" s="4" t="n"/>
      <c r="H3" s="4" t="n"/>
      <c r="I3" s="7" t="n"/>
      <c r="J3" s="4" t="inlineStr">
        <is>
          <t>No</t>
        </is>
      </c>
      <c r="K3" s="8" t="n">
        <v>0.1144</v>
      </c>
      <c r="L3" s="6" t="n">
        <v>0.29</v>
      </c>
      <c r="M3" s="7" t="n">
        <v>0.226</v>
      </c>
      <c r="N3" s="4" t="inlineStr">
        <is>
          <t>Sí</t>
        </is>
      </c>
      <c r="O3" s="6" t="n">
        <v>0.39</v>
      </c>
      <c r="P3" s="4" t="inlineStr">
        <is>
          <t>entra si hay hueco en un grupo del producto</t>
        </is>
      </c>
    </row>
    <row r="4">
      <c r="A4" s="4" t="inlineStr">
        <is>
          <t>soporte teléfono móvil coche pinza para salpicadero</t>
        </is>
      </c>
      <c r="B4" s="4" t="inlineStr">
        <is>
          <t>2026-09-28</t>
        </is>
      </c>
      <c r="C4" s="4" t="inlineStr">
        <is>
          <t>Constructor Amazon Ads</t>
        </is>
      </c>
      <c r="D4" s="4" t="n">
        <v>1</v>
      </c>
      <c r="E4" s="4" t="inlineStr">
        <is>
          <t>volumen IS 0</t>
        </is>
      </c>
      <c r="F4" s="6" t="n">
        <v>0.24</v>
      </c>
      <c r="G4" s="4" t="n"/>
      <c r="H4" s="4" t="n"/>
      <c r="I4" s="7" t="n"/>
      <c r="J4" s="4" t="inlineStr">
        <is>
          <t>No</t>
        </is>
      </c>
      <c r="K4" s="8" t="n">
        <v>0.0844</v>
      </c>
      <c r="L4" s="6" t="n">
        <v>0.24</v>
      </c>
      <c r="M4" s="7" t="n">
        <v>0.253</v>
      </c>
      <c r="N4" s="4" t="inlineStr">
        <is>
          <t>Sí</t>
        </is>
      </c>
      <c r="O4" s="6" t="n">
        <v>0.28</v>
      </c>
      <c r="P4" s="4" t="inlineStr">
        <is>
          <t>entra si hay hueco en un grupo del producto</t>
        </is>
      </c>
    </row>
    <row r="5">
      <c r="A5" s="4" t="inlineStr">
        <is>
          <t>soporte telefono movil para coche de pinza</t>
        </is>
      </c>
      <c r="B5" s="4" t="inlineStr">
        <is>
          <t>2026-09-28</t>
        </is>
      </c>
      <c r="C5" s="4" t="inlineStr">
        <is>
          <t>Autocompletado Amazon</t>
        </is>
      </c>
      <c r="D5" s="4" t="n">
        <v>1</v>
      </c>
      <c r="E5" s="4" t="inlineStr">
        <is>
          <t>volumen alto</t>
        </is>
      </c>
      <c r="F5" s="6" t="n"/>
      <c r="G5" s="4" t="n"/>
      <c r="H5" s="4" t="n"/>
      <c r="I5" s="7" t="n"/>
      <c r="J5" s="4" t="inlineStr">
        <is>
          <t>No</t>
        </is>
      </c>
      <c r="K5" s="8" t="n">
        <v>0.0801</v>
      </c>
      <c r="L5" s="6" t="n">
        <v>0.29</v>
      </c>
      <c r="M5" s="7" t="n">
        <v>0.322</v>
      </c>
      <c r="N5" s="4" t="inlineStr">
        <is>
          <t>No</t>
        </is>
      </c>
      <c r="O5" s="6" t="n">
        <v>0.27</v>
      </c>
      <c r="P5" s="4" t="inlineStr">
        <is>
          <t>ACOS predicho 32% &gt; 30%</t>
        </is>
      </c>
    </row>
    <row r="6">
      <c r="A6" s="4" t="inlineStr">
        <is>
          <t>porta móvil coche pinza 360</t>
        </is>
      </c>
      <c r="B6" s="4" t="inlineStr">
        <is>
          <t>—</t>
        </is>
      </c>
      <c r="C6" s="4" t="inlineStr">
        <is>
          <t>Recomendada ML</t>
        </is>
      </c>
      <c r="D6" s="4" t="n">
        <v>1</v>
      </c>
      <c r="E6" s="4" t="inlineStr"/>
      <c r="F6" s="6" t="n"/>
      <c r="G6" s="4" t="n"/>
      <c r="H6" s="4" t="n"/>
      <c r="I6" s="7" t="n"/>
      <c r="J6" s="4" t="inlineStr">
        <is>
          <t>No</t>
        </is>
      </c>
      <c r="K6" s="8" t="n">
        <v>0.0696</v>
      </c>
      <c r="L6" s="6" t="n">
        <v>0.29</v>
      </c>
      <c r="M6" s="7" t="n">
        <v>0.371</v>
      </c>
      <c r="N6" s="4" t="inlineStr">
        <is>
          <t>No</t>
        </is>
      </c>
      <c r="O6" s="6" t="n">
        <v>0.23</v>
      </c>
      <c r="P6" s="4" t="inlineStr">
        <is>
          <t>ACOS predicho 37% &gt; 30%</t>
        </is>
      </c>
    </row>
    <row r="7">
      <c r="A7" s="4" t="inlineStr">
        <is>
          <t>porta movil coche pinza</t>
        </is>
      </c>
      <c r="B7" s="4" t="inlineStr">
        <is>
          <t>2026-09-28</t>
        </is>
      </c>
      <c r="C7" s="4" t="inlineStr">
        <is>
          <t>Autocompletado Amazon</t>
        </is>
      </c>
      <c r="D7" s="4" t="n">
        <v>1</v>
      </c>
      <c r="E7" s="4" t="inlineStr">
        <is>
          <t>volumen bajo</t>
        </is>
      </c>
      <c r="F7" s="6" t="n"/>
      <c r="G7" s="4" t="n"/>
      <c r="H7" s="4" t="n"/>
      <c r="I7" s="7" t="n"/>
      <c r="J7" s="4" t="inlineStr">
        <is>
          <t>No</t>
        </is>
      </c>
      <c r="K7" s="8" t="n">
        <v>0.0687</v>
      </c>
      <c r="L7" s="6" t="n">
        <v>0.29</v>
      </c>
      <c r="M7" s="7" t="n">
        <v>0.375</v>
      </c>
      <c r="N7" s="4" t="inlineStr">
        <is>
          <t>No</t>
        </is>
      </c>
      <c r="O7" s="6" t="n">
        <v>0.23</v>
      </c>
      <c r="P7" s="4" t="inlineStr">
        <is>
          <t>ACOS predicho 38% &gt; 30%</t>
        </is>
      </c>
    </row>
    <row r="8">
      <c r="A8" s="4" t="inlineStr">
        <is>
          <t>soporte gps coche pinza</t>
        </is>
      </c>
      <c r="B8" s="4" t="inlineStr">
        <is>
          <t>2026-09-28</t>
        </is>
      </c>
      <c r="C8" s="4" t="inlineStr">
        <is>
          <t>Reseñas competencia</t>
        </is>
      </c>
      <c r="D8" s="4" t="n">
        <v>1</v>
      </c>
      <c r="E8" s="4" t="inlineStr"/>
      <c r="F8" s="6" t="n"/>
      <c r="G8" s="4" t="n"/>
      <c r="H8" s="4" t="n"/>
      <c r="I8" s="7" t="n"/>
      <c r="J8" s="4" t="inlineStr">
        <is>
          <t>No</t>
        </is>
      </c>
      <c r="K8" s="8" t="n">
        <v>0.0604</v>
      </c>
      <c r="L8" s="6" t="n">
        <v>0.29</v>
      </c>
      <c r="M8" s="7" t="n">
        <v>0.427</v>
      </c>
      <c r="N8" s="4" t="inlineStr">
        <is>
          <t>No</t>
        </is>
      </c>
      <c r="O8" s="6" t="n">
        <v>0.2</v>
      </c>
      <c r="P8" s="4" t="inlineStr">
        <is>
          <t>ACOS predicho 43% &gt; 30%</t>
        </is>
      </c>
    </row>
    <row r="9">
      <c r="A9" s="4" t="inlineStr">
        <is>
          <t>soporte telefono coche pinza</t>
        </is>
      </c>
      <c r="B9" s="4" t="inlineStr">
        <is>
          <t>2026-09-28</t>
        </is>
      </c>
      <c r="C9" s="4" t="inlineStr">
        <is>
          <t>Autocompletado Amazon, Recomendada ML</t>
        </is>
      </c>
      <c r="D9" s="4" t="n">
        <v>2</v>
      </c>
      <c r="E9" s="4" t="inlineStr">
        <is>
          <t>volumen alto</t>
        </is>
      </c>
      <c r="F9" s="6" t="n"/>
      <c r="G9" s="4" t="n"/>
      <c r="H9" s="4" t="n"/>
      <c r="I9" s="7" t="n"/>
      <c r="J9" s="4" t="inlineStr">
        <is>
          <t>No</t>
        </is>
      </c>
      <c r="K9" s="8" t="n">
        <v>0.054</v>
      </c>
      <c r="L9" s="6" t="n">
        <v>0.29</v>
      </c>
      <c r="M9" s="7" t="n">
        <v>0.478</v>
      </c>
      <c r="N9" s="4" t="inlineStr">
        <is>
          <t>No</t>
        </is>
      </c>
      <c r="O9" s="6" t="n">
        <v>0.18</v>
      </c>
      <c r="P9" s="4" t="inlineStr">
        <is>
          <t>ACOS predicho 48% &gt; 30%</t>
        </is>
      </c>
    </row>
    <row r="10">
      <c r="A10" s="4" t="inlineStr">
        <is>
          <t>soporte movil coche a presion</t>
        </is>
      </c>
      <c r="B10" s="4" t="inlineStr">
        <is>
          <t>2026-09-28</t>
        </is>
      </c>
      <c r="C10" s="4" t="inlineStr">
        <is>
          <t>Constructor Amazon Ads</t>
        </is>
      </c>
      <c r="D10" s="4" t="n">
        <v>1</v>
      </c>
      <c r="E10" s="4" t="inlineStr">
        <is>
          <t>volumen IS 0</t>
        </is>
      </c>
      <c r="F10" s="6" t="n">
        <v>0.2</v>
      </c>
      <c r="G10" s="4" t="n"/>
      <c r="H10" s="4" t="n"/>
      <c r="I10" s="7" t="n"/>
      <c r="J10" s="4" t="inlineStr">
        <is>
          <t>No</t>
        </is>
      </c>
      <c r="K10" s="8" t="n">
        <v>0.0348</v>
      </c>
      <c r="L10" s="6" t="n">
        <v>0.2</v>
      </c>
      <c r="M10" s="7" t="n">
        <v>0.511</v>
      </c>
      <c r="N10" s="4" t="inlineStr">
        <is>
          <t>No</t>
        </is>
      </c>
      <c r="O10" s="6" t="n">
        <v>0.12</v>
      </c>
      <c r="P10" s="4" t="inlineStr">
        <is>
          <t>ACOS predicho 51% &gt; 30%</t>
        </is>
      </c>
    </row>
    <row r="11">
      <c r="A11" s="4" t="inlineStr">
        <is>
          <t>soporte coche pinza</t>
        </is>
      </c>
      <c r="B11" s="4" t="inlineStr">
        <is>
          <t>2026-09-28</t>
        </is>
      </c>
      <c r="C11" s="4" t="inlineStr">
        <is>
          <t>Constructor Amazon Ads</t>
        </is>
      </c>
      <c r="D11" s="4" t="n">
        <v>1</v>
      </c>
      <c r="E11" s="4" t="inlineStr">
        <is>
          <t>volumen IS 0</t>
        </is>
      </c>
      <c r="F11" s="6" t="n">
        <v>0.34</v>
      </c>
      <c r="G11" s="4" t="n"/>
      <c r="H11" s="4" t="n"/>
      <c r="I11" s="7" t="n"/>
      <c r="J11" s="4" t="inlineStr">
        <is>
          <t>No</t>
        </is>
      </c>
      <c r="K11" s="8" t="n">
        <v>0.0571</v>
      </c>
      <c r="L11" s="6" t="n">
        <v>0.34</v>
      </c>
      <c r="M11" s="7" t="n">
        <v>0.53</v>
      </c>
      <c r="N11" s="4" t="inlineStr">
        <is>
          <t>No</t>
        </is>
      </c>
      <c r="O11" s="6" t="n">
        <v>0.19</v>
      </c>
      <c r="P11" s="4" t="inlineStr">
        <is>
          <t>ACOS predicho 53% &gt; 30%</t>
        </is>
      </c>
    </row>
    <row r="12">
      <c r="A12" s="4" t="inlineStr">
        <is>
          <t>porta teléfono coche pinza para salpicadero</t>
        </is>
      </c>
      <c r="B12" s="4" t="inlineStr">
        <is>
          <t>—</t>
        </is>
      </c>
      <c r="C12" s="4" t="inlineStr">
        <is>
          <t>Recomendada ML</t>
        </is>
      </c>
      <c r="D12" s="4" t="n">
        <v>1</v>
      </c>
      <c r="E12" s="4" t="inlineStr"/>
      <c r="F12" s="6" t="n"/>
      <c r="G12" s="4" t="n"/>
      <c r="H12" s="4" t="n"/>
      <c r="I12" s="7" t="n"/>
      <c r="J12" s="4" t="inlineStr">
        <is>
          <t>No</t>
        </is>
      </c>
      <c r="K12" s="8" t="n">
        <v>0.0479</v>
      </c>
      <c r="L12" s="6" t="n">
        <v>0.29</v>
      </c>
      <c r="M12" s="7" t="n">
        <v>0.539</v>
      </c>
      <c r="N12" s="4" t="inlineStr">
        <is>
          <t>No</t>
        </is>
      </c>
      <c r="O12" s="6" t="n">
        <v>0.16</v>
      </c>
      <c r="P12" s="4" t="inlineStr">
        <is>
          <t>ACOS predicho 54% &gt; 30%</t>
        </is>
      </c>
    </row>
    <row r="13">
      <c r="A13" s="4" t="inlineStr">
        <is>
          <t>soporte movil de pinza para salpicadero</t>
        </is>
      </c>
      <c r="B13" s="4" t="inlineStr">
        <is>
          <t>2026-09-28</t>
        </is>
      </c>
      <c r="C13" s="4" t="inlineStr">
        <is>
          <t>Autocompletado Amazon</t>
        </is>
      </c>
      <c r="D13" s="4" t="n">
        <v>1</v>
      </c>
      <c r="E13" s="4" t="inlineStr">
        <is>
          <t>volumen medio</t>
        </is>
      </c>
      <c r="F13" s="6" t="n"/>
      <c r="G13" s="4" t="n"/>
      <c r="H13" s="4" t="n"/>
      <c r="I13" s="7" t="n"/>
      <c r="J13" s="4" t="inlineStr">
        <is>
          <t>No</t>
        </is>
      </c>
      <c r="K13" s="8" t="n">
        <v>0.0407</v>
      </c>
      <c r="L13" s="6" t="n">
        <v>0.29</v>
      </c>
      <c r="M13" s="7" t="n">
        <v>0.634</v>
      </c>
      <c r="N13" s="4" t="inlineStr">
        <is>
          <t>No</t>
        </is>
      </c>
      <c r="O13" s="6" t="n">
        <v>0.14</v>
      </c>
      <c r="P13" s="4" t="inlineStr">
        <is>
          <t>ACOS predicho 63% &gt; 30%</t>
        </is>
      </c>
    </row>
    <row r="14">
      <c r="A14" s="4" t="inlineStr">
        <is>
          <t>soporte movil pinza giratorio</t>
        </is>
      </c>
      <c r="B14" s="4" t="inlineStr">
        <is>
          <t>2026-09-28</t>
        </is>
      </c>
      <c r="C14" s="4" t="inlineStr">
        <is>
          <t>Autocompletado Amazon</t>
        </is>
      </c>
      <c r="D14" s="4" t="n">
        <v>1</v>
      </c>
      <c r="E14" s="4" t="inlineStr">
        <is>
          <t>volumen medio</t>
        </is>
      </c>
      <c r="F14" s="6" t="n"/>
      <c r="G14" s="4" t="n"/>
      <c r="H14" s="4" t="n"/>
      <c r="I14" s="7" t="n"/>
      <c r="J14" s="4" t="inlineStr">
        <is>
          <t>No</t>
        </is>
      </c>
      <c r="K14" s="8" t="n">
        <v>0.0395</v>
      </c>
      <c r="L14" s="6" t="n">
        <v>0.29</v>
      </c>
      <c r="M14" s="7" t="n">
        <v>0.653</v>
      </c>
      <c r="N14" s="4" t="inlineStr">
        <is>
          <t>No</t>
        </is>
      </c>
      <c r="O14" s="6" t="n">
        <v>0.13</v>
      </c>
      <c r="P14" s="4" t="inlineStr">
        <is>
          <t>ACOS predicho 65% &gt; 30%</t>
        </is>
      </c>
    </row>
    <row r="15">
      <c r="A15" s="4" t="inlineStr">
        <is>
          <t>soporte móvil de pinza antideslizante</t>
        </is>
      </c>
      <c r="B15" s="4" t="inlineStr">
        <is>
          <t>—</t>
        </is>
      </c>
      <c r="C15" s="4" t="inlineStr">
        <is>
          <t>Recomendada ML</t>
        </is>
      </c>
      <c r="D15" s="4" t="n">
        <v>1</v>
      </c>
      <c r="E15" s="4" t="inlineStr"/>
      <c r="F15" s="6" t="n"/>
      <c r="G15" s="4" t="n"/>
      <c r="H15" s="4" t="n"/>
      <c r="I15" s="7" t="n"/>
      <c r="J15" s="4" t="inlineStr">
        <is>
          <t>No</t>
        </is>
      </c>
      <c r="K15" s="8" t="n">
        <v>0.0395</v>
      </c>
      <c r="L15" s="6" t="n">
        <v>0.29</v>
      </c>
      <c r="M15" s="7" t="n">
        <v>0.653</v>
      </c>
      <c r="N15" s="4" t="inlineStr">
        <is>
          <t>No</t>
        </is>
      </c>
      <c r="O15" s="6" t="n">
        <v>0.13</v>
      </c>
      <c r="P15" s="4" t="inlineStr">
        <is>
          <t>ACOS predicho 65% &gt; 30%</t>
        </is>
      </c>
    </row>
    <row r="16">
      <c r="A16" s="4" t="inlineStr">
        <is>
          <t>pinza sujecion movil coche</t>
        </is>
      </c>
      <c r="B16" s="4" t="inlineStr">
        <is>
          <t>2026-09-28</t>
        </is>
      </c>
      <c r="C16" s="4" t="inlineStr">
        <is>
          <t>RMIQ (IA)</t>
        </is>
      </c>
      <c r="D16" s="4" t="n">
        <v>1</v>
      </c>
      <c r="E16" s="4" t="inlineStr">
        <is>
          <t>volumen desconocido</t>
        </is>
      </c>
      <c r="F16" s="6" t="n"/>
      <c r="G16" s="4" t="n"/>
      <c r="H16" s="4" t="n"/>
      <c r="I16" s="7" t="n"/>
      <c r="J16" s="4" t="inlineStr">
        <is>
          <t>No</t>
        </is>
      </c>
      <c r="K16" s="8" t="n">
        <v>0.0368</v>
      </c>
      <c r="L16" s="6" t="n">
        <v>0.29</v>
      </c>
      <c r="M16" s="7" t="n">
        <v>0.701</v>
      </c>
      <c r="N16" s="4" t="inlineStr">
        <is>
          <t>No</t>
        </is>
      </c>
      <c r="O16" s="6" t="n">
        <v>0.12</v>
      </c>
      <c r="P16" s="4" t="inlineStr">
        <is>
          <t>ACOS predicho 70% &gt; 30%</t>
        </is>
      </c>
    </row>
    <row r="17">
      <c r="A17" s="4" t="inlineStr">
        <is>
          <t>pinza movil coche</t>
        </is>
      </c>
      <c r="B17" s="4" t="inlineStr">
        <is>
          <t>2026-09-28</t>
        </is>
      </c>
      <c r="C17" s="4" t="inlineStr">
        <is>
          <t>Autocompletado Amazon</t>
        </is>
      </c>
      <c r="D17" s="4" t="n">
        <v>1</v>
      </c>
      <c r="E17" s="4" t="inlineStr">
        <is>
          <t>volumen alto</t>
        </is>
      </c>
      <c r="F17" s="6" t="n"/>
      <c r="G17" s="4" t="n"/>
      <c r="H17" s="4" t="n"/>
      <c r="I17" s="7" t="n"/>
      <c r="J17" s="4" t="inlineStr">
        <is>
          <t>No</t>
        </is>
      </c>
      <c r="K17" s="8" t="n">
        <v>0.0359</v>
      </c>
      <c r="L17" s="6" t="n">
        <v>0.29</v>
      </c>
      <c r="M17" s="7" t="n">
        <v>0.719</v>
      </c>
      <c r="N17" s="4" t="inlineStr">
        <is>
          <t>No</t>
        </is>
      </c>
      <c r="O17" s="6" t="n">
        <v>0.12</v>
      </c>
      <c r="P17" s="4" t="inlineStr">
        <is>
          <t>ACOS predicho 72% &gt; 30%</t>
        </is>
      </c>
    </row>
    <row r="18">
      <c r="A18" s="4" t="inlineStr">
        <is>
          <t>soporte movil coche 360</t>
        </is>
      </c>
      <c r="B18" s="4" t="inlineStr">
        <is>
          <t>2026-09-28</t>
        </is>
      </c>
      <c r="C18" s="4" t="inlineStr">
        <is>
          <t>Constructor Amazon Ads</t>
        </is>
      </c>
      <c r="D18" s="4" t="n">
        <v>1</v>
      </c>
      <c r="E18" s="4" t="inlineStr">
        <is>
          <t>volumen IS 0</t>
        </is>
      </c>
      <c r="F18" s="6" t="n">
        <v>0.29</v>
      </c>
      <c r="G18" s="4" t="n"/>
      <c r="H18" s="4" t="n"/>
      <c r="I18" s="7" t="n"/>
      <c r="J18" s="4" t="inlineStr">
        <is>
          <t>No</t>
        </is>
      </c>
      <c r="K18" s="8" t="n">
        <v>0.0343</v>
      </c>
      <c r="L18" s="6" t="n">
        <v>0.29</v>
      </c>
      <c r="M18" s="7" t="n">
        <v>0.751</v>
      </c>
      <c r="N18" s="4" t="inlineStr">
        <is>
          <t>No</t>
        </is>
      </c>
      <c r="O18" s="6" t="n">
        <v>0.12</v>
      </c>
      <c r="P18" s="4" t="inlineStr">
        <is>
          <t>ACOS predicho 75% &gt; 30%</t>
        </is>
      </c>
    </row>
    <row r="19">
      <c r="A19" s="4" t="inlineStr">
        <is>
          <t>soporte movil 360 grados</t>
        </is>
      </c>
      <c r="B19" s="4" t="inlineStr">
        <is>
          <t>2026-09-28</t>
        </is>
      </c>
      <c r="C19" s="4" t="inlineStr">
        <is>
          <t>Constructor Amazon Ads</t>
        </is>
      </c>
      <c r="D19" s="4" t="n">
        <v>1</v>
      </c>
      <c r="E19" s="4" t="inlineStr">
        <is>
          <t>volumen IS 0</t>
        </is>
      </c>
      <c r="F19" s="6" t="n">
        <v>0.24</v>
      </c>
      <c r="G19" s="4" t="n"/>
      <c r="H19" s="4" t="n"/>
      <c r="I19" s="7" t="n"/>
      <c r="J19" s="4" t="inlineStr">
        <is>
          <t>No</t>
        </is>
      </c>
      <c r="K19" s="8" t="n">
        <v>0.0247</v>
      </c>
      <c r="L19" s="6" t="n">
        <v>0.24</v>
      </c>
      <c r="M19" s="7" t="n">
        <v>0.865</v>
      </c>
      <c r="N19" s="4" t="inlineStr">
        <is>
          <t>No</t>
        </is>
      </c>
      <c r="O19" s="6" t="n">
        <v>0.08</v>
      </c>
      <c r="P19" s="4" t="inlineStr">
        <is>
          <t>ACOS predicho 87% &gt; 30%</t>
        </is>
      </c>
    </row>
    <row r="20">
      <c r="A20" s="4" t="inlineStr">
        <is>
          <t>soporte movil 360</t>
        </is>
      </c>
      <c r="B20" s="4" t="inlineStr">
        <is>
          <t>2026-09-28</t>
        </is>
      </c>
      <c r="C20" s="4" t="inlineStr">
        <is>
          <t>Constructor Amazon Ads</t>
        </is>
      </c>
      <c r="D20" s="4" t="n">
        <v>1</v>
      </c>
      <c r="E20" s="4" t="inlineStr">
        <is>
          <t>volumen IS 0</t>
        </is>
      </c>
      <c r="F20" s="6" t="n">
        <v>0.24</v>
      </c>
      <c r="G20" s="4" t="n"/>
      <c r="H20" s="4" t="n"/>
      <c r="I20" s="7" t="n"/>
      <c r="J20" s="4" t="inlineStr">
        <is>
          <t>No</t>
        </is>
      </c>
      <c r="K20" s="8" t="n">
        <v>0.0241</v>
      </c>
      <c r="L20" s="6" t="n">
        <v>0.24</v>
      </c>
      <c r="M20" s="7" t="n">
        <v>0.888</v>
      </c>
      <c r="N20" s="4" t="inlineStr">
        <is>
          <t>No</t>
        </is>
      </c>
      <c r="O20" s="6" t="n">
        <v>0.08</v>
      </c>
      <c r="P20" s="4" t="inlineStr">
        <is>
          <t>ACOS predicho 89% &gt; 30%</t>
        </is>
      </c>
    </row>
    <row r="21">
      <c r="A21" s="4" t="inlineStr">
        <is>
          <t>pinza movil gps coche</t>
        </is>
      </c>
      <c r="B21" s="4" t="inlineStr">
        <is>
          <t>2026-09-28</t>
        </is>
      </c>
      <c r="C21" s="4" t="inlineStr">
        <is>
          <t>Reseñas competencia</t>
        </is>
      </c>
      <c r="D21" s="4" t="n">
        <v>1</v>
      </c>
      <c r="E21" s="4" t="inlineStr"/>
      <c r="F21" s="6" t="n"/>
      <c r="G21" s="4" t="n"/>
      <c r="H21" s="4" t="n"/>
      <c r="I21" s="7" t="n"/>
      <c r="J21" s="4" t="inlineStr">
        <is>
          <t>No</t>
        </is>
      </c>
      <c r="K21" s="8" t="n">
        <v>0.0289</v>
      </c>
      <c r="L21" s="6" t="n">
        <v>0.29</v>
      </c>
      <c r="M21" s="7" t="n">
        <v>0.892</v>
      </c>
      <c r="N21" s="4" t="inlineStr">
        <is>
          <t>No</t>
        </is>
      </c>
      <c r="O21" s="6" t="n">
        <v>0.1</v>
      </c>
      <c r="P21" s="4" t="inlineStr">
        <is>
          <t>ACOS predicho 89% &gt; 30%</t>
        </is>
      </c>
    </row>
    <row r="22">
      <c r="A22" s="4" t="inlineStr">
        <is>
          <t>soporte movil coche mechero</t>
        </is>
      </c>
      <c r="B22" s="4" t="inlineStr">
        <is>
          <t>2026-09-28</t>
        </is>
      </c>
      <c r="C22" s="4" t="inlineStr">
        <is>
          <t>Constructor Amazon Ads</t>
        </is>
      </c>
      <c r="D22" s="4" t="n">
        <v>1</v>
      </c>
      <c r="E22" s="4" t="inlineStr">
        <is>
          <t>volumen IS 0</t>
        </is>
      </c>
      <c r="F22" s="6" t="n">
        <v>0.36</v>
      </c>
      <c r="G22" s="4" t="n"/>
      <c r="H22" s="4" t="n"/>
      <c r="I22" s="7" t="n"/>
      <c r="J22" s="4" t="inlineStr">
        <is>
          <t>No</t>
        </is>
      </c>
      <c r="K22" s="8" t="n">
        <v>0.0348</v>
      </c>
      <c r="L22" s="6" t="n">
        <v>0.36</v>
      </c>
      <c r="M22" s="7" t="n">
        <v>0.921</v>
      </c>
      <c r="N22" s="4" t="inlineStr">
        <is>
          <t>No</t>
        </is>
      </c>
      <c r="O22" s="6" t="n">
        <v>0.12</v>
      </c>
      <c r="P22" s="4" t="inlineStr">
        <is>
          <t>ACOS predicho 92% &gt; 30%</t>
        </is>
      </c>
    </row>
    <row r="23">
      <c r="A23" s="4" t="inlineStr">
        <is>
          <t>mpow soporte movil coche</t>
        </is>
      </c>
      <c r="B23" s="4" t="inlineStr">
        <is>
          <t>2026-09-28</t>
        </is>
      </c>
      <c r="C23" s="4" t="inlineStr">
        <is>
          <t>Constructor Amazon Ads</t>
        </is>
      </c>
      <c r="D23" s="4" t="n">
        <v>1</v>
      </c>
      <c r="E23" s="4" t="inlineStr">
        <is>
          <t>volumen IS 0</t>
        </is>
      </c>
      <c r="F23" s="6" t="n">
        <v>0.37</v>
      </c>
      <c r="G23" s="4" t="n"/>
      <c r="H23" s="4" t="n"/>
      <c r="I23" s="7" t="n"/>
      <c r="J23" s="4" t="inlineStr">
        <is>
          <t>No</t>
        </is>
      </c>
      <c r="K23" s="8" t="n">
        <v>0.0348</v>
      </c>
      <c r="L23" s="6" t="n">
        <v>0.37</v>
      </c>
      <c r="M23" s="7" t="n">
        <v>0.946</v>
      </c>
      <c r="N23" s="4" t="inlineStr">
        <is>
          <t>No</t>
        </is>
      </c>
      <c r="O23" s="6" t="n">
        <v>0.12</v>
      </c>
      <c r="P23" s="4" t="inlineStr">
        <is>
          <t>ACOS predicho 95% &gt; 30%</t>
        </is>
      </c>
    </row>
    <row r="24">
      <c r="A24" s="4" t="inlineStr">
        <is>
          <t>topk soporte movil coche</t>
        </is>
      </c>
      <c r="B24" s="4" t="inlineStr">
        <is>
          <t>2026-09-28</t>
        </is>
      </c>
      <c r="C24" s="4" t="inlineStr">
        <is>
          <t>Constructor Amazon Ads</t>
        </is>
      </c>
      <c r="D24" s="4" t="n">
        <v>1</v>
      </c>
      <c r="E24" s="4" t="inlineStr">
        <is>
          <t>volumen IS 0</t>
        </is>
      </c>
      <c r="F24" s="6" t="n">
        <v>0.37</v>
      </c>
      <c r="G24" s="4" t="n"/>
      <c r="H24" s="4" t="n"/>
      <c r="I24" s="7" t="n"/>
      <c r="J24" s="4" t="inlineStr">
        <is>
          <t>No</t>
        </is>
      </c>
      <c r="K24" s="8" t="n">
        <v>0.0348</v>
      </c>
      <c r="L24" s="6" t="n">
        <v>0.37</v>
      </c>
      <c r="M24" s="7" t="n">
        <v>0.946</v>
      </c>
      <c r="N24" s="4" t="inlineStr">
        <is>
          <t>No</t>
        </is>
      </c>
      <c r="O24" s="6" t="n">
        <v>0.12</v>
      </c>
      <c r="P24" s="4" t="inlineStr">
        <is>
          <t>ACOS predicho 95% &gt; 30%</t>
        </is>
      </c>
    </row>
    <row r="25">
      <c r="A25" s="4" t="inlineStr">
        <is>
          <t>soporte para tlf movil coche</t>
        </is>
      </c>
      <c r="B25" s="4" t="inlineStr">
        <is>
          <t>2026-09-28</t>
        </is>
      </c>
      <c r="C25" s="4" t="inlineStr">
        <is>
          <t>Constructor Amazon Ads</t>
        </is>
      </c>
      <c r="D25" s="4" t="n">
        <v>1</v>
      </c>
      <c r="E25" s="4" t="inlineStr">
        <is>
          <t>volumen IS 0</t>
        </is>
      </c>
      <c r="F25" s="6" t="n">
        <v>0.29</v>
      </c>
      <c r="G25" s="4" t="n"/>
      <c r="H25" s="4" t="n"/>
      <c r="I25" s="7" t="n"/>
      <c r="J25" s="4" t="inlineStr">
        <is>
          <t>No</t>
        </is>
      </c>
      <c r="K25" s="8" t="n">
        <v>0.0259</v>
      </c>
      <c r="L25" s="6" t="n">
        <v>0.29</v>
      </c>
      <c r="M25" s="7" t="n">
        <v>0.997</v>
      </c>
      <c r="N25" s="4" t="inlineStr">
        <is>
          <t>No</t>
        </is>
      </c>
      <c r="O25" s="6" t="n">
        <v>0.09</v>
      </c>
      <c r="P25" s="4" t="inlineStr">
        <is>
          <t>ACOS predicho 100% &gt; 30%</t>
        </is>
      </c>
    </row>
    <row r="26">
      <c r="A26" s="4" t="inlineStr">
        <is>
          <t>pinza movil salpicadero</t>
        </is>
      </c>
      <c r="B26" s="4" t="inlineStr">
        <is>
          <t>2026-09-28</t>
        </is>
      </c>
      <c r="C26" s="4" t="inlineStr">
        <is>
          <t>Reseñas competencia</t>
        </is>
      </c>
      <c r="D26" s="4" t="n">
        <v>1</v>
      </c>
      <c r="E26" s="4" t="inlineStr"/>
      <c r="F26" s="6" t="n"/>
      <c r="G26" s="4" t="n"/>
      <c r="H26" s="4" t="n"/>
      <c r="I26" s="7" t="n"/>
      <c r="J26" s="4" t="inlineStr">
        <is>
          <t>No</t>
        </is>
      </c>
      <c r="K26" s="8" t="n">
        <v>0.0257</v>
      </c>
      <c r="L26" s="6" t="n">
        <v>0.29</v>
      </c>
      <c r="M26" s="7" t="n">
        <v>1.003</v>
      </c>
      <c r="N26" s="4" t="inlineStr">
        <is>
          <t>No</t>
        </is>
      </c>
      <c r="O26" s="6" t="n">
        <v>0.09</v>
      </c>
      <c r="P26" s="4" t="inlineStr">
        <is>
          <t>ACOS predicho 100% &gt; 30%</t>
        </is>
      </c>
    </row>
    <row r="27">
      <c r="A27" s="4" t="inlineStr">
        <is>
          <t>soporte movil giratorio coche</t>
        </is>
      </c>
      <c r="B27" s="4" t="inlineStr">
        <is>
          <t>2026-09-28</t>
        </is>
      </c>
      <c r="C27" s="4" t="inlineStr">
        <is>
          <t>Constructor Amazon Ads</t>
        </is>
      </c>
      <c r="D27" s="4" t="n">
        <v>1</v>
      </c>
      <c r="E27" s="4" t="inlineStr">
        <is>
          <t>volumen IS 0</t>
        </is>
      </c>
      <c r="F27" s="6" t="n">
        <v>0.34</v>
      </c>
      <c r="G27" s="4" t="n"/>
      <c r="H27" s="4" t="n"/>
      <c r="I27" s="7" t="n"/>
      <c r="J27" s="4" t="inlineStr">
        <is>
          <t>No</t>
        </is>
      </c>
      <c r="K27" s="8" t="n">
        <v>0.0273</v>
      </c>
      <c r="L27" s="6" t="n">
        <v>0.34</v>
      </c>
      <c r="M27" s="7" t="n">
        <v>1.106</v>
      </c>
      <c r="N27" s="4" t="inlineStr">
        <is>
          <t>No</t>
        </is>
      </c>
      <c r="O27" s="6" t="n">
        <v>0.09</v>
      </c>
      <c r="P27" s="4" t="inlineStr">
        <is>
          <t>ACOS predicho 111% &gt; 30%</t>
        </is>
      </c>
    </row>
    <row r="28">
      <c r="A28" s="4" t="inlineStr">
        <is>
          <t>soporte multifuncional movil coche</t>
        </is>
      </c>
      <c r="B28" s="4" t="inlineStr">
        <is>
          <t>2026-09-28</t>
        </is>
      </c>
      <c r="C28" s="4" t="inlineStr">
        <is>
          <t>Constructor Amazon Ads</t>
        </is>
      </c>
      <c r="D28" s="4" t="n">
        <v>1</v>
      </c>
      <c r="E28" s="4" t="inlineStr">
        <is>
          <t>volumen IS 0</t>
        </is>
      </c>
      <c r="F28" s="6" t="n">
        <v>0.34</v>
      </c>
      <c r="G28" s="4" t="n"/>
      <c r="H28" s="4" t="n"/>
      <c r="I28" s="7" t="n"/>
      <c r="J28" s="4" t="inlineStr">
        <is>
          <t>No</t>
        </is>
      </c>
      <c r="K28" s="8" t="n">
        <v>0.0259</v>
      </c>
      <c r="L28" s="6" t="n">
        <v>0.34</v>
      </c>
      <c r="M28" s="7" t="n">
        <v>1.169</v>
      </c>
      <c r="N28" s="4" t="inlineStr">
        <is>
          <t>No</t>
        </is>
      </c>
      <c r="O28" s="6" t="n">
        <v>0.09</v>
      </c>
      <c r="P28" s="4" t="inlineStr">
        <is>
          <t>ACOS predicho 117% &gt; 30%</t>
        </is>
      </c>
    </row>
    <row r="29">
      <c r="A29" s="4" t="inlineStr">
        <is>
          <t>soporte universal movil coche</t>
        </is>
      </c>
      <c r="B29" s="4" t="inlineStr">
        <is>
          <t>2026-09-28</t>
        </is>
      </c>
      <c r="C29" s="4" t="inlineStr">
        <is>
          <t>Constructor Amazon Ads</t>
        </is>
      </c>
      <c r="D29" s="4" t="n">
        <v>1</v>
      </c>
      <c r="E29" s="4" t="inlineStr">
        <is>
          <t>volumen IS 0</t>
        </is>
      </c>
      <c r="F29" s="6" t="n">
        <v>0.34</v>
      </c>
      <c r="G29" s="4" t="n"/>
      <c r="H29" s="4" t="n"/>
      <c r="I29" s="7" t="n"/>
      <c r="J29" s="4" t="inlineStr">
        <is>
          <t>No</t>
        </is>
      </c>
      <c r="K29" s="8" t="n">
        <v>0.0259</v>
      </c>
      <c r="L29" s="6" t="n">
        <v>0.34</v>
      </c>
      <c r="M29" s="7" t="n">
        <v>1.169</v>
      </c>
      <c r="N29" s="4" t="inlineStr">
        <is>
          <t>No</t>
        </is>
      </c>
      <c r="O29" s="6" t="n">
        <v>0.09</v>
      </c>
      <c r="P29" s="4" t="inlineStr">
        <is>
          <t>ACOS predicho 117% &gt; 30%</t>
        </is>
      </c>
    </row>
    <row r="30">
      <c r="A30" s="4" t="inlineStr">
        <is>
          <t>sujeta móvil de pinza para espejo retrovisor</t>
        </is>
      </c>
      <c r="B30" s="4" t="inlineStr">
        <is>
          <t>—</t>
        </is>
      </c>
      <c r="C30" s="4" t="inlineStr">
        <is>
          <t>Recomendada ML</t>
        </is>
      </c>
      <c r="D30" s="4" t="n">
        <v>1</v>
      </c>
      <c r="E30" s="4" t="inlineStr"/>
      <c r="F30" s="6" t="n"/>
      <c r="G30" s="4" t="n"/>
      <c r="H30" s="4" t="n"/>
      <c r="I30" s="7" t="n"/>
      <c r="J30" s="4" t="inlineStr">
        <is>
          <t>No</t>
        </is>
      </c>
      <c r="K30" s="8" t="n">
        <v>0.0189</v>
      </c>
      <c r="L30" s="6" t="n">
        <v>0.29</v>
      </c>
      <c r="M30" s="7" t="n">
        <v>1.369</v>
      </c>
      <c r="N30" s="4" t="inlineStr">
        <is>
          <t>No</t>
        </is>
      </c>
      <c r="O30" s="6" t="n">
        <v>0.06</v>
      </c>
      <c r="P30" s="4" t="inlineStr">
        <is>
          <t>ACOS predicho 137% &gt; 30%</t>
        </is>
      </c>
    </row>
    <row r="31">
      <c r="A31" s="4" t="inlineStr">
        <is>
          <t>soporte teléfono salpicadero</t>
        </is>
      </c>
      <c r="B31" s="4" t="inlineStr">
        <is>
          <t>2026-09-28</t>
        </is>
      </c>
      <c r="C31" s="4" t="inlineStr">
        <is>
          <t>Constructor Amazon Ads</t>
        </is>
      </c>
      <c r="D31" s="4" t="n">
        <v>1</v>
      </c>
      <c r="E31" s="4" t="inlineStr">
        <is>
          <t>volumen IS 0</t>
        </is>
      </c>
      <c r="F31" s="6" t="n">
        <v>0.23</v>
      </c>
      <c r="G31" s="4" t="n"/>
      <c r="H31" s="4" t="n"/>
      <c r="I31" s="7" t="n"/>
      <c r="J31" s="4" t="inlineStr">
        <is>
          <t>No</t>
        </is>
      </c>
      <c r="K31" s="8" t="n">
        <v>0.0147</v>
      </c>
      <c r="L31" s="6" t="n">
        <v>0.23</v>
      </c>
      <c r="M31" s="7" t="n">
        <v>1.39</v>
      </c>
      <c r="N31" s="4" t="inlineStr">
        <is>
          <t>No</t>
        </is>
      </c>
      <c r="O31" s="6" t="n">
        <v>0.05</v>
      </c>
      <c r="P31" s="4" t="inlineStr">
        <is>
          <t>ACOS predicho 139% &gt; 30%</t>
        </is>
      </c>
    </row>
    <row r="32">
      <c r="A32" s="4" t="inlineStr">
        <is>
          <t>soporte smartphone coche</t>
        </is>
      </c>
      <c r="B32" s="4" t="inlineStr">
        <is>
          <t>2026-09-28</t>
        </is>
      </c>
      <c r="C32" s="4" t="inlineStr">
        <is>
          <t>Constructor Amazon Ads</t>
        </is>
      </c>
      <c r="D32" s="4" t="n">
        <v>1</v>
      </c>
      <c r="E32" s="4" t="inlineStr">
        <is>
          <t>volumen IS 0</t>
        </is>
      </c>
      <c r="F32" s="6" t="n">
        <v>0.32</v>
      </c>
      <c r="G32" s="4" t="n"/>
      <c r="H32" s="4" t="n"/>
      <c r="I32" s="7" t="n"/>
      <c r="J32" s="4" t="inlineStr">
        <is>
          <t>No</t>
        </is>
      </c>
      <c r="K32" s="8" t="n">
        <v>0.0176</v>
      </c>
      <c r="L32" s="6" t="n">
        <v>0.32</v>
      </c>
      <c r="M32" s="7" t="n">
        <v>1.616</v>
      </c>
      <c r="N32" s="4" t="inlineStr">
        <is>
          <t>No</t>
        </is>
      </c>
      <c r="O32" s="6" t="n">
        <v>0.06</v>
      </c>
      <c r="P32" s="4" t="inlineStr">
        <is>
          <t>ACOS predicho 162% &gt; 30%</t>
        </is>
      </c>
    </row>
    <row r="33">
      <c r="A33" s="4" t="inlineStr">
        <is>
          <t>soporte salpicadero</t>
        </is>
      </c>
      <c r="B33" s="4" t="inlineStr">
        <is>
          <t>2026-09-28</t>
        </is>
      </c>
      <c r="C33" s="4" t="inlineStr">
        <is>
          <t>Constructor Amazon Ads</t>
        </is>
      </c>
      <c r="D33" s="4" t="n">
        <v>1</v>
      </c>
      <c r="E33" s="4" t="inlineStr">
        <is>
          <t>volumen IS 0</t>
        </is>
      </c>
      <c r="F33" s="6" t="n">
        <v>0.29</v>
      </c>
      <c r="G33" s="4" t="n"/>
      <c r="H33" s="4" t="n"/>
      <c r="I33" s="7" t="n"/>
      <c r="J33" s="4" t="inlineStr">
        <is>
          <t>No</t>
        </is>
      </c>
      <c r="K33" s="8" t="n">
        <v>0.0156</v>
      </c>
      <c r="L33" s="6" t="n">
        <v>0.29</v>
      </c>
      <c r="M33" s="7" t="n">
        <v>1.649</v>
      </c>
      <c r="N33" s="4" t="inlineStr">
        <is>
          <t>No</t>
        </is>
      </c>
      <c r="O33" s="6" t="n">
        <v>0.05</v>
      </c>
      <c r="P33" s="4" t="inlineStr">
        <is>
          <t>ACOS predicho 165% &gt; 30%</t>
        </is>
      </c>
    </row>
    <row r="34">
      <c r="A34" s="4" t="inlineStr">
        <is>
          <t>soporte giratorio movil</t>
        </is>
      </c>
      <c r="B34" s="4" t="inlineStr">
        <is>
          <t>2026-09-28</t>
        </is>
      </c>
      <c r="C34" s="4" t="inlineStr">
        <is>
          <t>Constructor Amazon Ads</t>
        </is>
      </c>
      <c r="D34" s="4" t="n">
        <v>1</v>
      </c>
      <c r="E34" s="4" t="inlineStr">
        <is>
          <t>volumen IS 0</t>
        </is>
      </c>
      <c r="F34" s="6" t="n">
        <v>0.34</v>
      </c>
      <c r="G34" s="4" t="n"/>
      <c r="H34" s="4" t="n"/>
      <c r="I34" s="7" t="n"/>
      <c r="J34" s="4" t="inlineStr">
        <is>
          <t>No</t>
        </is>
      </c>
      <c r="K34" s="8" t="n">
        <v>0.0181</v>
      </c>
      <c r="L34" s="6" t="n">
        <v>0.34</v>
      </c>
      <c r="M34" s="7" t="n">
        <v>1.674</v>
      </c>
      <c r="N34" s="4" t="inlineStr">
        <is>
          <t>No</t>
        </is>
      </c>
      <c r="O34" s="6" t="n">
        <v>0.06</v>
      </c>
      <c r="P34" s="4" t="inlineStr">
        <is>
          <t>ACOS predicho 167% &gt; 30%</t>
        </is>
      </c>
    </row>
    <row r="35">
      <c r="A35" s="4" t="inlineStr">
        <is>
          <t>soporte ajustable para movil</t>
        </is>
      </c>
      <c r="B35" s="4" t="inlineStr">
        <is>
          <t>2026-09-28</t>
        </is>
      </c>
      <c r="C35" s="4" t="inlineStr">
        <is>
          <t>Constructor Amazon Ads</t>
        </is>
      </c>
      <c r="D35" s="4" t="n">
        <v>1</v>
      </c>
      <c r="E35" s="4" t="inlineStr">
        <is>
          <t>volumen IS 0</t>
        </is>
      </c>
      <c r="F35" s="6" t="n">
        <v>0.34</v>
      </c>
      <c r="G35" s="4" t="n"/>
      <c r="H35" s="4" t="n"/>
      <c r="I35" s="7" t="n"/>
      <c r="J35" s="4" t="inlineStr">
        <is>
          <t>No</t>
        </is>
      </c>
      <c r="K35" s="8" t="n">
        <v>0.0181</v>
      </c>
      <c r="L35" s="6" t="n">
        <v>0.34</v>
      </c>
      <c r="M35" s="7" t="n">
        <v>1.674</v>
      </c>
      <c r="N35" s="4" t="inlineStr">
        <is>
          <t>No</t>
        </is>
      </c>
      <c r="O35" s="6" t="n">
        <v>0.06</v>
      </c>
      <c r="P35" s="4" t="inlineStr">
        <is>
          <t>ACOS predicho 167% &gt; 30%</t>
        </is>
      </c>
    </row>
    <row r="36">
      <c r="A36" s="4" t="inlineStr">
        <is>
          <t>soporte telefono movil</t>
        </is>
      </c>
      <c r="B36" s="4" t="inlineStr">
        <is>
          <t>2026-09-28</t>
        </is>
      </c>
      <c r="C36" s="4" t="inlineStr">
        <is>
          <t>Constructor Amazon Ads</t>
        </is>
      </c>
      <c r="D36" s="4" t="n">
        <v>1</v>
      </c>
      <c r="E36" s="4" t="inlineStr">
        <is>
          <t>volumen IS 0</t>
        </is>
      </c>
      <c r="F36" s="6" t="n">
        <v>0.33</v>
      </c>
      <c r="G36" s="4" t="n"/>
      <c r="H36" s="4" t="n"/>
      <c r="I36" s="7" t="n"/>
      <c r="J36" s="4" t="inlineStr">
        <is>
          <t>No</t>
        </is>
      </c>
      <c r="K36" s="8" t="n">
        <v>0.0166</v>
      </c>
      <c r="L36" s="6" t="n">
        <v>0.33</v>
      </c>
      <c r="M36" s="7" t="n">
        <v>1.773</v>
      </c>
      <c r="N36" s="4" t="inlineStr">
        <is>
          <t>No</t>
        </is>
      </c>
      <c r="O36" s="6" t="n">
        <v>0.06</v>
      </c>
      <c r="P36" s="4" t="inlineStr">
        <is>
          <t>ACOS predicho 177% &gt; 30%</t>
        </is>
      </c>
    </row>
    <row r="37">
      <c r="A37" s="4" t="inlineStr">
        <is>
          <t>soporte iphone coche</t>
        </is>
      </c>
      <c r="B37" s="4" t="inlineStr">
        <is>
          <t>2026-09-28</t>
        </is>
      </c>
      <c r="C37" s="4" t="inlineStr">
        <is>
          <t>Constructor Amazon Ads</t>
        </is>
      </c>
      <c r="D37" s="4" t="n">
        <v>1</v>
      </c>
      <c r="E37" s="4" t="inlineStr">
        <is>
          <t>volumen IS 0</t>
        </is>
      </c>
      <c r="F37" s="6" t="n">
        <v>0.4</v>
      </c>
      <c r="G37" s="4" t="n"/>
      <c r="H37" s="4" t="n"/>
      <c r="I37" s="7" t="n"/>
      <c r="J37" s="4" t="inlineStr">
        <is>
          <t>No</t>
        </is>
      </c>
      <c r="K37" s="8" t="n">
        <v>0.0176</v>
      </c>
      <c r="L37" s="6" t="n">
        <v>0.4</v>
      </c>
      <c r="M37" s="7" t="n">
        <v>2.02</v>
      </c>
      <c r="N37" s="4" t="inlineStr">
        <is>
          <t>No</t>
        </is>
      </c>
      <c r="O37" s="6" t="n">
        <v>0.06</v>
      </c>
      <c r="P37" s="4" t="inlineStr">
        <is>
          <t>ACOS predicho 202% &gt; 30%</t>
        </is>
      </c>
    </row>
    <row r="38">
      <c r="A38" s="4" t="inlineStr">
        <is>
          <t>portamovil para el coche</t>
        </is>
      </c>
      <c r="B38" s="4" t="inlineStr">
        <is>
          <t>2026-09-28</t>
        </is>
      </c>
      <c r="C38" s="4" t="inlineStr">
        <is>
          <t>Constructor Amazon Ads</t>
        </is>
      </c>
      <c r="D38" s="4" t="n">
        <v>1</v>
      </c>
      <c r="E38" s="4" t="inlineStr">
        <is>
          <t>volumen IS 0</t>
        </is>
      </c>
      <c r="F38" s="6" t="n">
        <v>0.34</v>
      </c>
      <c r="G38" s="4" t="n"/>
      <c r="H38" s="4" t="n"/>
      <c r="I38" s="7" t="n"/>
      <c r="J38" s="4" t="inlineStr">
        <is>
          <t>No</t>
        </is>
      </c>
      <c r="K38" s="8" t="n">
        <v>0.0137</v>
      </c>
      <c r="L38" s="6" t="n">
        <v>0.34</v>
      </c>
      <c r="M38" s="7" t="n">
        <v>2.205</v>
      </c>
      <c r="N38" s="4" t="inlineStr">
        <is>
          <t>No</t>
        </is>
      </c>
      <c r="O38" s="6" t="n">
        <v>0.05</v>
      </c>
      <c r="P38" s="4" t="inlineStr">
        <is>
          <t>ACOS predicho 220% &gt; 30%</t>
        </is>
      </c>
    </row>
    <row r="39">
      <c r="A39" s="4" t="inlineStr">
        <is>
          <t>porta celular para coche</t>
        </is>
      </c>
      <c r="B39" s="4" t="inlineStr">
        <is>
          <t>2026-09-28</t>
        </is>
      </c>
      <c r="C39" s="4" t="inlineStr">
        <is>
          <t>Constructor Amazon Ads</t>
        </is>
      </c>
      <c r="D39" s="4" t="n">
        <v>1</v>
      </c>
      <c r="E39" s="4" t="inlineStr">
        <is>
          <t>volumen IS 0</t>
        </is>
      </c>
      <c r="F39" s="6" t="n">
        <v>0.35</v>
      </c>
      <c r="G39" s="4" t="n"/>
      <c r="H39" s="4" t="n"/>
      <c r="I39" s="7" t="n"/>
      <c r="J39" s="4" t="inlineStr">
        <is>
          <t>No</t>
        </is>
      </c>
      <c r="K39" s="8" t="n">
        <v>0.0141</v>
      </c>
      <c r="L39" s="6" t="n">
        <v>0.35</v>
      </c>
      <c r="M39" s="7" t="n">
        <v>2.211</v>
      </c>
      <c r="N39" s="4" t="inlineStr">
        <is>
          <t>No</t>
        </is>
      </c>
      <c r="O39" s="6" t="n">
        <v>0.05</v>
      </c>
      <c r="P39" s="4" t="inlineStr">
        <is>
          <t>ACOS predicho 221% &gt; 30%</t>
        </is>
      </c>
    </row>
    <row r="40">
      <c r="A40" s="4" t="inlineStr">
        <is>
          <t>sujeta telefono coche</t>
        </is>
      </c>
      <c r="B40" s="4" t="inlineStr">
        <is>
          <t>2026-09-28</t>
        </is>
      </c>
      <c r="C40" s="4" t="inlineStr">
        <is>
          <t>Constructor Amazon Ads</t>
        </is>
      </c>
      <c r="D40" s="4" t="n">
        <v>1</v>
      </c>
      <c r="E40" s="4" t="inlineStr">
        <is>
          <t>volumen IS 0</t>
        </is>
      </c>
      <c r="F40" s="6" t="n">
        <v>0.34</v>
      </c>
      <c r="G40" s="4" t="n"/>
      <c r="H40" s="4" t="n"/>
      <c r="I40" s="7" t="n"/>
      <c r="J40" s="4" t="inlineStr">
        <is>
          <t>No</t>
        </is>
      </c>
      <c r="K40" s="8" t="n">
        <v>0.0114</v>
      </c>
      <c r="L40" s="6" t="n">
        <v>0.34</v>
      </c>
      <c r="M40" s="7" t="n">
        <v>2.649</v>
      </c>
      <c r="N40" s="4" t="inlineStr">
        <is>
          <t>No</t>
        </is>
      </c>
      <c r="O40" s="6" t="n">
        <v>0.04</v>
      </c>
      <c r="P40" s="4" t="inlineStr">
        <is>
          <t>ACOS predicho 265% &gt; 30%</t>
        </is>
      </c>
    </row>
    <row r="41">
      <c r="A41" s="4" t="inlineStr">
        <is>
          <t>soporte movil coche espejo retrovisor</t>
        </is>
      </c>
      <c r="B41" s="4" t="inlineStr">
        <is>
          <t>2026-09-28</t>
        </is>
      </c>
      <c r="C41" s="4" t="inlineStr">
        <is>
          <t>Autocompletado Amazon</t>
        </is>
      </c>
      <c r="D41" s="4" t="n">
        <v>1</v>
      </c>
      <c r="E41" s="4" t="inlineStr">
        <is>
          <t>volumen bajo</t>
        </is>
      </c>
      <c r="F41" s="6" t="n"/>
      <c r="G41" s="4" t="n"/>
      <c r="H41" s="4" t="n"/>
      <c r="I41" s="7" t="n"/>
      <c r="J41" s="4" t="inlineStr">
        <is>
          <t>No</t>
        </is>
      </c>
      <c r="K41" s="8" t="n">
        <v>0.0357</v>
      </c>
      <c r="L41" s="6" t="n">
        <v>1.07</v>
      </c>
      <c r="M41" s="7" t="n">
        <v>2.667</v>
      </c>
      <c r="N41" s="4" t="inlineStr">
        <is>
          <t>No</t>
        </is>
      </c>
      <c r="O41" s="6" t="n">
        <v>0.12</v>
      </c>
      <c r="P41" s="4" t="inlineStr">
        <is>
          <t>ACOS predicho 267% &gt; 30%</t>
        </is>
      </c>
    </row>
    <row r="42">
      <c r="A42" s="4" t="inlineStr">
        <is>
          <t>soporte movil coche sin iman</t>
        </is>
      </c>
      <c r="B42" s="4" t="inlineStr">
        <is>
          <t>2026-09-28</t>
        </is>
      </c>
      <c r="C42" s="4" t="inlineStr">
        <is>
          <t>RMIQ (IA)</t>
        </is>
      </c>
      <c r="D42" s="4" t="n">
        <v>1</v>
      </c>
      <c r="E42" s="4" t="inlineStr">
        <is>
          <t>volumen desconocido</t>
        </is>
      </c>
      <c r="F42" s="6" t="n"/>
      <c r="G42" s="4" t="n"/>
      <c r="H42" s="4" t="n"/>
      <c r="I42" s="7" t="n"/>
      <c r="J42" s="4" t="inlineStr">
        <is>
          <t>No</t>
        </is>
      </c>
      <c r="K42" s="8" t="n">
        <v>0.0357</v>
      </c>
      <c r="L42" s="6" t="n">
        <v>1.07</v>
      </c>
      <c r="M42" s="7" t="n">
        <v>2.667</v>
      </c>
      <c r="N42" s="4" t="inlineStr">
        <is>
          <t>No</t>
        </is>
      </c>
      <c r="O42" s="6" t="n">
        <v>0.12</v>
      </c>
      <c r="P42" s="4" t="inlineStr">
        <is>
          <t>ACOS predicho 267% &gt; 30%</t>
        </is>
      </c>
    </row>
    <row r="43">
      <c r="A43" s="4" t="inlineStr">
        <is>
          <t>soporte movil coche sin adhesivo</t>
        </is>
      </c>
      <c r="B43" s="4" t="inlineStr">
        <is>
          <t>2026-09-28</t>
        </is>
      </c>
      <c r="C43" s="4" t="inlineStr">
        <is>
          <t>RMIQ (IA)</t>
        </is>
      </c>
      <c r="D43" s="4" t="n">
        <v>1</v>
      </c>
      <c r="E43" s="4" t="inlineStr">
        <is>
          <t>volumen desconocido</t>
        </is>
      </c>
      <c r="F43" s="6" t="n"/>
      <c r="G43" s="4" t="n"/>
      <c r="H43" s="4" t="n"/>
      <c r="I43" s="7" t="n"/>
      <c r="J43" s="4" t="inlineStr">
        <is>
          <t>No</t>
        </is>
      </c>
      <c r="K43" s="8" t="n">
        <v>0.0357</v>
      </c>
      <c r="L43" s="6" t="n">
        <v>1.07</v>
      </c>
      <c r="M43" s="7" t="n">
        <v>2.667</v>
      </c>
      <c r="N43" s="4" t="inlineStr">
        <is>
          <t>No</t>
        </is>
      </c>
      <c r="O43" s="6" t="n">
        <v>0.12</v>
      </c>
      <c r="P43" s="4" t="inlineStr">
        <is>
          <t>ACOS predicho 267% &gt; 30%</t>
        </is>
      </c>
    </row>
    <row r="44">
      <c r="A44" s="4" t="inlineStr">
        <is>
          <t>soporte movil coche parasol ajustable</t>
        </is>
      </c>
      <c r="B44" s="4" t="inlineStr">
        <is>
          <t>2026-09-28</t>
        </is>
      </c>
      <c r="C44" s="4" t="inlineStr">
        <is>
          <t>RMIQ (IA)</t>
        </is>
      </c>
      <c r="D44" s="4" t="n">
        <v>1</v>
      </c>
      <c r="E44" s="4" t="inlineStr">
        <is>
          <t>volumen desconocido</t>
        </is>
      </c>
      <c r="F44" s="6" t="n"/>
      <c r="G44" s="4" t="n"/>
      <c r="H44" s="4" t="n"/>
      <c r="I44" s="7" t="n"/>
      <c r="J44" s="4" t="inlineStr">
        <is>
          <t>No</t>
        </is>
      </c>
      <c r="K44" s="8" t="n">
        <v>0.0357</v>
      </c>
      <c r="L44" s="6" t="n">
        <v>1.07</v>
      </c>
      <c r="M44" s="7" t="n">
        <v>2.667</v>
      </c>
      <c r="N44" s="4" t="inlineStr">
        <is>
          <t>No</t>
        </is>
      </c>
      <c r="O44" s="6" t="n">
        <v>0.12</v>
      </c>
      <c r="P44" s="4" t="inlineStr">
        <is>
          <t>ACOS predicho 267% &gt; 30%</t>
        </is>
      </c>
    </row>
    <row r="45">
      <c r="A45" s="4" t="inlineStr">
        <is>
          <t>soporte movil coche sin imanes</t>
        </is>
      </c>
      <c r="B45" s="4" t="inlineStr">
        <is>
          <t>2026-09-28</t>
        </is>
      </c>
      <c r="C45" s="4" t="inlineStr">
        <is>
          <t>RMIQ (IA)</t>
        </is>
      </c>
      <c r="D45" s="4" t="n">
        <v>1</v>
      </c>
      <c r="E45" s="4" t="inlineStr">
        <is>
          <t>volumen desconocido</t>
        </is>
      </c>
      <c r="F45" s="6" t="n"/>
      <c r="G45" s="4" t="n"/>
      <c r="H45" s="4" t="n"/>
      <c r="I45" s="7" t="n"/>
      <c r="J45" s="4" t="inlineStr">
        <is>
          <t>No</t>
        </is>
      </c>
      <c r="K45" s="8" t="n">
        <v>0.0357</v>
      </c>
      <c r="L45" s="6" t="n">
        <v>1.07</v>
      </c>
      <c r="M45" s="7" t="n">
        <v>2.667</v>
      </c>
      <c r="N45" s="4" t="inlineStr">
        <is>
          <t>No</t>
        </is>
      </c>
      <c r="O45" s="6" t="n">
        <v>0.12</v>
      </c>
      <c r="P45" s="4" t="inlineStr">
        <is>
          <t>ACOS predicho 267% &gt; 30%</t>
        </is>
      </c>
    </row>
    <row r="46">
      <c r="A46" s="4" t="inlineStr">
        <is>
          <t>soporte movil coche resistente al calor</t>
        </is>
      </c>
      <c r="B46" s="4" t="inlineStr">
        <is>
          <t>2026-09-28</t>
        </is>
      </c>
      <c r="C46" s="4" t="inlineStr">
        <is>
          <t>Reseñas competencia</t>
        </is>
      </c>
      <c r="D46" s="4" t="n">
        <v>1</v>
      </c>
      <c r="E46" s="4" t="inlineStr"/>
      <c r="F46" s="6" t="n"/>
      <c r="G46" s="4" t="n"/>
      <c r="H46" s="4" t="n"/>
      <c r="I46" s="7" t="n"/>
      <c r="J46" s="4" t="inlineStr">
        <is>
          <t>No</t>
        </is>
      </c>
      <c r="K46" s="8" t="n">
        <v>0.0357</v>
      </c>
      <c r="L46" s="6" t="n">
        <v>1.07</v>
      </c>
      <c r="M46" s="7" t="n">
        <v>2.667</v>
      </c>
      <c r="N46" s="4" t="inlineStr">
        <is>
          <t>No</t>
        </is>
      </c>
      <c r="O46" s="6" t="n">
        <v>0.12</v>
      </c>
      <c r="P46" s="4" t="inlineStr">
        <is>
          <t>ACOS predicho 267% &gt; 30%</t>
        </is>
      </c>
    </row>
    <row r="47">
      <c r="A47" s="4" t="inlineStr">
        <is>
          <t>soporte movil coche consola central</t>
        </is>
      </c>
      <c r="B47" s="4" t="inlineStr">
        <is>
          <t>2026-09-28</t>
        </is>
      </c>
      <c r="C47" s="4" t="inlineStr">
        <is>
          <t>Reseñas competencia</t>
        </is>
      </c>
      <c r="D47" s="4" t="n">
        <v>1</v>
      </c>
      <c r="E47" s="4" t="inlineStr"/>
      <c r="F47" s="6" t="n"/>
      <c r="G47" s="4" t="n"/>
      <c r="H47" s="4" t="n"/>
      <c r="I47" s="7" t="n"/>
      <c r="J47" s="4" t="inlineStr">
        <is>
          <t>No</t>
        </is>
      </c>
      <c r="K47" s="8" t="n">
        <v>0.0357</v>
      </c>
      <c r="L47" s="6" t="n">
        <v>1.07</v>
      </c>
      <c r="M47" s="7" t="n">
        <v>2.667</v>
      </c>
      <c r="N47" s="4" t="inlineStr">
        <is>
          <t>No</t>
        </is>
      </c>
      <c r="O47" s="6" t="n">
        <v>0.12</v>
      </c>
      <c r="P47" s="4" t="inlineStr">
        <is>
          <t>ACOS predicho 267% &gt; 30%</t>
        </is>
      </c>
    </row>
    <row r="48">
      <c r="A48" s="4" t="inlineStr">
        <is>
          <t>soporte movil coche vertical y horizontal</t>
        </is>
      </c>
      <c r="B48" s="4" t="inlineStr">
        <is>
          <t>2026-09-28</t>
        </is>
      </c>
      <c r="C48" s="4" t="inlineStr">
        <is>
          <t>Reseñas competencia</t>
        </is>
      </c>
      <c r="D48" s="4" t="n">
        <v>1</v>
      </c>
      <c r="E48" s="4" t="inlineStr"/>
      <c r="F48" s="6" t="n"/>
      <c r="G48" s="4" t="n"/>
      <c r="H48" s="4" t="n"/>
      <c r="I48" s="7" t="n"/>
      <c r="J48" s="4" t="inlineStr">
        <is>
          <t>No</t>
        </is>
      </c>
      <c r="K48" s="8" t="n">
        <v>0.0357</v>
      </c>
      <c r="L48" s="6" t="n">
        <v>1.07</v>
      </c>
      <c r="M48" s="7" t="n">
        <v>2.667</v>
      </c>
      <c r="N48" s="4" t="inlineStr">
        <is>
          <t>No</t>
        </is>
      </c>
      <c r="O48" s="6" t="n">
        <v>0.12</v>
      </c>
      <c r="P48" s="4" t="inlineStr">
        <is>
          <t>ACOS predicho 267% &gt; 30%</t>
        </is>
      </c>
    </row>
    <row r="49">
      <c r="A49" s="4" t="inlineStr">
        <is>
          <t>soporte movil coche giro 360</t>
        </is>
      </c>
      <c r="B49" s="4" t="inlineStr">
        <is>
          <t>2026-09-28</t>
        </is>
      </c>
      <c r="C49" s="4" t="inlineStr">
        <is>
          <t>RMIQ (IA)</t>
        </is>
      </c>
      <c r="D49" s="4" t="n">
        <v>1</v>
      </c>
      <c r="E49" s="4" t="inlineStr">
        <is>
          <t>volumen desconocido</t>
        </is>
      </c>
      <c r="F49" s="6" t="n"/>
      <c r="G49" s="4" t="n"/>
      <c r="H49" s="4" t="n"/>
      <c r="I49" s="7" t="n"/>
      <c r="J49" s="4" t="inlineStr">
        <is>
          <t>No</t>
        </is>
      </c>
      <c r="K49" s="8" t="n">
        <v>0.0352</v>
      </c>
      <c r="L49" s="6" t="n">
        <v>1.07</v>
      </c>
      <c r="M49" s="7" t="n">
        <v>2.702</v>
      </c>
      <c r="N49" s="4" t="inlineStr">
        <is>
          <t>No</t>
        </is>
      </c>
      <c r="O49" s="6" t="n">
        <v>0.12</v>
      </c>
      <c r="P49" s="4" t="inlineStr">
        <is>
          <t>ACOS predicho 270% &gt; 30%</t>
        </is>
      </c>
    </row>
    <row r="50">
      <c r="A50" s="4" t="inlineStr">
        <is>
          <t>soporte movil coche con pinzas</t>
        </is>
      </c>
      <c r="B50" s="4" t="inlineStr">
        <is>
          <t>2026-09-28</t>
        </is>
      </c>
      <c r="C50" s="4" t="inlineStr">
        <is>
          <t>Términos de búsqueda propios, Autocompletado Amazon</t>
        </is>
      </c>
      <c r="D50" s="4" t="n">
        <v>2</v>
      </c>
      <c r="E50" s="4" t="inlineStr">
        <is>
          <t>volumen alto</t>
        </is>
      </c>
      <c r="F50" s="6" t="n"/>
      <c r="G50" s="4" t="n"/>
      <c r="H50" s="4" t="n"/>
      <c r="I50" s="7" t="n"/>
      <c r="J50" s="4" t="inlineStr">
        <is>
          <t>No</t>
        </is>
      </c>
      <c r="K50" s="8" t="n">
        <v>0.0348</v>
      </c>
      <c r="L50" s="6" t="n">
        <v>1.07</v>
      </c>
      <c r="M50" s="7" t="n">
        <v>2.736</v>
      </c>
      <c r="N50" s="4" t="inlineStr">
        <is>
          <t>No</t>
        </is>
      </c>
      <c r="O50" s="6" t="n">
        <v>0.12</v>
      </c>
      <c r="P50" s="4" t="inlineStr">
        <is>
          <t>ACOS predicho 274% &gt; 30%</t>
        </is>
      </c>
    </row>
    <row r="51">
      <c r="A51" s="4" t="inlineStr">
        <is>
          <t>soporte movil coche dunlop</t>
        </is>
      </c>
      <c r="B51" s="4" t="inlineStr">
        <is>
          <t>2026-09-28</t>
        </is>
      </c>
      <c r="C51" s="4" t="inlineStr">
        <is>
          <t>Constructor Amazon Ads</t>
        </is>
      </c>
      <c r="D51" s="4" t="n">
        <v>1</v>
      </c>
      <c r="E51" s="4" t="inlineStr">
        <is>
          <t>volumen IS 0</t>
        </is>
      </c>
      <c r="F51" s="6" t="n"/>
      <c r="G51" s="4" t="n"/>
      <c r="H51" s="4" t="n"/>
      <c r="I51" s="7" t="n"/>
      <c r="J51" s="4" t="inlineStr">
        <is>
          <t>No</t>
        </is>
      </c>
      <c r="K51" s="8" t="n">
        <v>0.0348</v>
      </c>
      <c r="L51" s="6" t="n">
        <v>1.07</v>
      </c>
      <c r="M51" s="7" t="n">
        <v>2.736</v>
      </c>
      <c r="N51" s="4" t="inlineStr">
        <is>
          <t>No</t>
        </is>
      </c>
      <c r="O51" s="6" t="n">
        <v>0.12</v>
      </c>
      <c r="P51" s="4" t="inlineStr">
        <is>
          <t>ACOS predicho 274% &gt; 30%</t>
        </is>
      </c>
    </row>
    <row r="52">
      <c r="A52" s="4" t="inlineStr">
        <is>
          <t>soporte movil coche antideslizante</t>
        </is>
      </c>
      <c r="B52" s="4" t="inlineStr">
        <is>
          <t>2026-09-28</t>
        </is>
      </c>
      <c r="C52" s="4" t="inlineStr">
        <is>
          <t>RMIQ (IA)</t>
        </is>
      </c>
      <c r="D52" s="4" t="n">
        <v>1</v>
      </c>
      <c r="E52" s="4" t="inlineStr">
        <is>
          <t>volumen desconocido</t>
        </is>
      </c>
      <c r="F52" s="6" t="n"/>
      <c r="G52" s="4" t="n"/>
      <c r="H52" s="4" t="n"/>
      <c r="I52" s="7" t="n"/>
      <c r="J52" s="4" t="inlineStr">
        <is>
          <t>No</t>
        </is>
      </c>
      <c r="K52" s="8" t="n">
        <v>0.0348</v>
      </c>
      <c r="L52" s="6" t="n">
        <v>1.07</v>
      </c>
      <c r="M52" s="7" t="n">
        <v>2.736</v>
      </c>
      <c r="N52" s="4" t="inlineStr">
        <is>
          <t>No</t>
        </is>
      </c>
      <c r="O52" s="6" t="n">
        <v>0.12</v>
      </c>
      <c r="P52" s="4" t="inlineStr">
        <is>
          <t>ACOS predicho 274% &gt; 30%</t>
        </is>
      </c>
    </row>
    <row r="53">
      <c r="A53" s="4" t="inlineStr">
        <is>
          <t>soporte movil coche estable</t>
        </is>
      </c>
      <c r="B53" s="4" t="inlineStr">
        <is>
          <t>2026-09-28</t>
        </is>
      </c>
      <c r="C53" s="4" t="inlineStr">
        <is>
          <t>RMIQ (IA)</t>
        </is>
      </c>
      <c r="D53" s="4" t="n">
        <v>1</v>
      </c>
      <c r="E53" s="4" t="inlineStr">
        <is>
          <t>volumen desconocido</t>
        </is>
      </c>
      <c r="F53" s="6" t="n"/>
      <c r="G53" s="4" t="n"/>
      <c r="H53" s="4" t="n"/>
      <c r="I53" s="7" t="n"/>
      <c r="J53" s="4" t="inlineStr">
        <is>
          <t>No</t>
        </is>
      </c>
      <c r="K53" s="8" t="n">
        <v>0.0348</v>
      </c>
      <c r="L53" s="6" t="n">
        <v>1.07</v>
      </c>
      <c r="M53" s="7" t="n">
        <v>2.736</v>
      </c>
      <c r="N53" s="4" t="inlineStr">
        <is>
          <t>No</t>
        </is>
      </c>
      <c r="O53" s="6" t="n">
        <v>0.12</v>
      </c>
      <c r="P53" s="4" t="inlineStr">
        <is>
          <t>ACOS predicho 274% &gt; 30%</t>
        </is>
      </c>
    </row>
    <row r="54">
      <c r="A54" s="4" t="inlineStr">
        <is>
          <t>soporte movil coche ajustable</t>
        </is>
      </c>
      <c r="B54" s="4" t="inlineStr">
        <is>
          <t>2026-09-28</t>
        </is>
      </c>
      <c r="C54" s="4" t="inlineStr">
        <is>
          <t>RMIQ (IA)</t>
        </is>
      </c>
      <c r="D54" s="4" t="n">
        <v>1</v>
      </c>
      <c r="E54" s="4" t="inlineStr">
        <is>
          <t>volumen desconocido</t>
        </is>
      </c>
      <c r="F54" s="6" t="n"/>
      <c r="G54" s="4" t="n"/>
      <c r="H54" s="4" t="n"/>
      <c r="I54" s="7" t="n"/>
      <c r="J54" s="4" t="inlineStr">
        <is>
          <t>No</t>
        </is>
      </c>
      <c r="K54" s="8" t="n">
        <v>0.0348</v>
      </c>
      <c r="L54" s="6" t="n">
        <v>1.07</v>
      </c>
      <c r="M54" s="7" t="n">
        <v>2.736</v>
      </c>
      <c r="N54" s="4" t="inlineStr">
        <is>
          <t>No</t>
        </is>
      </c>
      <c r="O54" s="6" t="n">
        <v>0.12</v>
      </c>
      <c r="P54" s="4" t="inlineStr">
        <is>
          <t>ACOS predicho 274% &gt; 30%</t>
        </is>
      </c>
    </row>
    <row r="55">
      <c r="A55" s="4" t="inlineStr">
        <is>
          <t>soporte movil coche multiusos</t>
        </is>
      </c>
      <c r="B55" s="4" t="inlineStr">
        <is>
          <t>2026-09-28</t>
        </is>
      </c>
      <c r="C55" s="4" t="inlineStr">
        <is>
          <t>RMIQ (IA)</t>
        </is>
      </c>
      <c r="D55" s="4" t="n">
        <v>1</v>
      </c>
      <c r="E55" s="4" t="inlineStr">
        <is>
          <t>volumen desconocido</t>
        </is>
      </c>
      <c r="F55" s="6" t="n"/>
      <c r="G55" s="4" t="n"/>
      <c r="H55" s="4" t="n"/>
      <c r="I55" s="7" t="n"/>
      <c r="J55" s="4" t="inlineStr">
        <is>
          <t>No</t>
        </is>
      </c>
      <c r="K55" s="8" t="n">
        <v>0.0348</v>
      </c>
      <c r="L55" s="6" t="n">
        <v>1.07</v>
      </c>
      <c r="M55" s="7" t="n">
        <v>2.736</v>
      </c>
      <c r="N55" s="4" t="inlineStr">
        <is>
          <t>No</t>
        </is>
      </c>
      <c r="O55" s="6" t="n">
        <v>0.12</v>
      </c>
      <c r="P55" s="4" t="inlineStr">
        <is>
          <t>ACOS predicho 274% &gt; 30%</t>
        </is>
      </c>
    </row>
    <row r="56">
      <c r="A56" s="4" t="inlineStr">
        <is>
          <t>soporte movil coche homologado</t>
        </is>
      </c>
      <c r="B56" s="4" t="inlineStr">
        <is>
          <t>2026-09-28</t>
        </is>
      </c>
      <c r="C56" s="4" t="inlineStr">
        <is>
          <t>Google Trends</t>
        </is>
      </c>
      <c r="D56" s="4" t="n">
        <v>1</v>
      </c>
      <c r="E56" s="4" t="inlineStr"/>
      <c r="F56" s="6" t="n"/>
      <c r="G56" s="4" t="n"/>
      <c r="H56" s="4" t="n"/>
      <c r="I56" s="7" t="n"/>
      <c r="J56" s="4" t="inlineStr">
        <is>
          <t>No</t>
        </is>
      </c>
      <c r="K56" s="8" t="n">
        <v>0.0348</v>
      </c>
      <c r="L56" s="6" t="n">
        <v>1.07</v>
      </c>
      <c r="M56" s="7" t="n">
        <v>2.736</v>
      </c>
      <c r="N56" s="4" t="inlineStr">
        <is>
          <t>No</t>
        </is>
      </c>
      <c r="O56" s="6" t="n">
        <v>0.12</v>
      </c>
      <c r="P56" s="4" t="inlineStr">
        <is>
          <t>ACOS predicho 274% &gt; 30%</t>
        </is>
      </c>
    </row>
    <row r="57">
      <c r="A57" s="4" t="inlineStr">
        <is>
          <t>soporte movil coche dgt</t>
        </is>
      </c>
      <c r="B57" s="4" t="inlineStr">
        <is>
          <t>2026-09-28</t>
        </is>
      </c>
      <c r="C57" s="4" t="inlineStr">
        <is>
          <t>Google Trends</t>
        </is>
      </c>
      <c r="D57" s="4" t="n">
        <v>1</v>
      </c>
      <c r="E57" s="4" t="inlineStr"/>
      <c r="F57" s="6" t="n"/>
      <c r="G57" s="4" t="n"/>
      <c r="H57" s="4" t="n"/>
      <c r="I57" s="7" t="n"/>
      <c r="J57" s="4" t="inlineStr">
        <is>
          <t>No</t>
        </is>
      </c>
      <c r="K57" s="8" t="n">
        <v>0.0348</v>
      </c>
      <c r="L57" s="6" t="n">
        <v>1.07</v>
      </c>
      <c r="M57" s="7" t="n">
        <v>2.736</v>
      </c>
      <c r="N57" s="4" t="inlineStr">
        <is>
          <t>No</t>
        </is>
      </c>
      <c r="O57" s="6" t="n">
        <v>0.12</v>
      </c>
      <c r="P57" s="4" t="inlineStr">
        <is>
          <t>ACOS predicho 274% &gt; 30%</t>
        </is>
      </c>
    </row>
    <row r="58">
      <c r="A58" s="4" t="inlineStr">
        <is>
          <t>soporte movil coche salpicadero rugoso</t>
        </is>
      </c>
      <c r="B58" s="4" t="inlineStr">
        <is>
          <t>2026-09-28</t>
        </is>
      </c>
      <c r="C58" s="4" t="inlineStr">
        <is>
          <t>Autocompletado Amazon</t>
        </is>
      </c>
      <c r="D58" s="4" t="n">
        <v>1</v>
      </c>
      <c r="E58" s="4" t="inlineStr">
        <is>
          <t>volumen alto</t>
        </is>
      </c>
      <c r="F58" s="6" t="n"/>
      <c r="G58" s="4" t="n"/>
      <c r="H58" s="4" t="n"/>
      <c r="I58" s="7" t="n"/>
      <c r="J58" s="4" t="inlineStr">
        <is>
          <t>No</t>
        </is>
      </c>
      <c r="K58" s="8" t="n">
        <v>0.0344</v>
      </c>
      <c r="L58" s="6" t="n">
        <v>1.07</v>
      </c>
      <c r="M58" s="7" t="n">
        <v>2.769</v>
      </c>
      <c r="N58" s="4" t="inlineStr">
        <is>
          <t>No</t>
        </is>
      </c>
      <c r="O58" s="6" t="n">
        <v>0.12</v>
      </c>
      <c r="P58" s="4" t="inlineStr">
        <is>
          <t>ACOS predicho 277% &gt; 30%</t>
        </is>
      </c>
    </row>
    <row r="59">
      <c r="A59" s="4" t="inlineStr">
        <is>
          <t>soporte movil coche salpicadero curvo</t>
        </is>
      </c>
      <c r="B59" s="4" t="inlineStr">
        <is>
          <t>2026-09-28</t>
        </is>
      </c>
      <c r="C59" s="4" t="inlineStr">
        <is>
          <t>Autocompletado Amazon</t>
        </is>
      </c>
      <c r="D59" s="4" t="n">
        <v>1</v>
      </c>
      <c r="E59" s="4" t="inlineStr">
        <is>
          <t>volumen medio</t>
        </is>
      </c>
      <c r="F59" s="6" t="n"/>
      <c r="G59" s="4" t="n"/>
      <c r="H59" s="4" t="n"/>
      <c r="I59" s="7" t="n"/>
      <c r="J59" s="4" t="inlineStr">
        <is>
          <t>No</t>
        </is>
      </c>
      <c r="K59" s="8" t="n">
        <v>0.0344</v>
      </c>
      <c r="L59" s="6" t="n">
        <v>1.07</v>
      </c>
      <c r="M59" s="7" t="n">
        <v>2.769</v>
      </c>
      <c r="N59" s="4" t="inlineStr">
        <is>
          <t>No</t>
        </is>
      </c>
      <c r="O59" s="6" t="n">
        <v>0.12</v>
      </c>
      <c r="P59" s="4" t="inlineStr">
        <is>
          <t>ACOS predicho 277% &gt; 30%</t>
        </is>
      </c>
    </row>
    <row r="60">
      <c r="A60" s="4" t="inlineStr">
        <is>
          <t>soporte movil coche salpicadero giratorio</t>
        </is>
      </c>
      <c r="B60" s="4" t="inlineStr">
        <is>
          <t>2026-09-28</t>
        </is>
      </c>
      <c r="C60" s="4" t="inlineStr">
        <is>
          <t>Autocompletado Amazon</t>
        </is>
      </c>
      <c r="D60" s="4" t="n">
        <v>1</v>
      </c>
      <c r="E60" s="4" t="inlineStr">
        <is>
          <t>volumen alto</t>
        </is>
      </c>
      <c r="F60" s="6" t="n"/>
      <c r="G60" s="4" t="n"/>
      <c r="H60" s="4" t="n"/>
      <c r="I60" s="7" t="n"/>
      <c r="J60" s="4" t="inlineStr">
        <is>
          <t>No</t>
        </is>
      </c>
      <c r="K60" s="8" t="n">
        <v>0.0344</v>
      </c>
      <c r="L60" s="6" t="n">
        <v>1.07</v>
      </c>
      <c r="M60" s="7" t="n">
        <v>2.769</v>
      </c>
      <c r="N60" s="4" t="inlineStr">
        <is>
          <t>No</t>
        </is>
      </c>
      <c r="O60" s="6" t="n">
        <v>0.12</v>
      </c>
      <c r="P60" s="4" t="inlineStr">
        <is>
          <t>ACOS predicho 277% &gt; 30%</t>
        </is>
      </c>
    </row>
    <row r="61">
      <c r="A61" s="4" t="inlineStr">
        <is>
          <t>soporte movil parasol coche</t>
        </is>
      </c>
      <c r="B61" s="4" t="inlineStr">
        <is>
          <t>2026-09-28</t>
        </is>
      </c>
      <c r="C61" s="4" t="inlineStr">
        <is>
          <t>Autocompletado Amazon, Recomendada ML</t>
        </is>
      </c>
      <c r="D61" s="4" t="n">
        <v>2</v>
      </c>
      <c r="E61" s="4" t="inlineStr">
        <is>
          <t>volumen alto</t>
        </is>
      </c>
      <c r="F61" s="6" t="n"/>
      <c r="G61" s="4" t="n"/>
      <c r="H61" s="4" t="n"/>
      <c r="I61" s="7" t="n"/>
      <c r="J61" s="4" t="inlineStr">
        <is>
          <t>No</t>
        </is>
      </c>
      <c r="K61" s="8" t="n">
        <v>0.0273</v>
      </c>
      <c r="L61" s="6" t="n">
        <v>1.07</v>
      </c>
      <c r="M61" s="7" t="n">
        <v>3.482</v>
      </c>
      <c r="N61" s="4" t="inlineStr">
        <is>
          <t>No</t>
        </is>
      </c>
      <c r="O61" s="6" t="n">
        <v>0.09</v>
      </c>
      <c r="P61" s="4" t="inlineStr">
        <is>
          <t>ACOS predicho 348% &gt; 30%</t>
        </is>
      </c>
    </row>
    <row r="62">
      <c r="A62" s="4" t="inlineStr">
        <is>
          <t>soporte movil retrovisor coche</t>
        </is>
      </c>
      <c r="B62" s="4" t="inlineStr">
        <is>
          <t>2026-09-28</t>
        </is>
      </c>
      <c r="C62" s="4" t="inlineStr">
        <is>
          <t>Autocompletado Amazon</t>
        </is>
      </c>
      <c r="D62" s="4" t="n">
        <v>1</v>
      </c>
      <c r="E62" s="4" t="inlineStr">
        <is>
          <t>volumen alto</t>
        </is>
      </c>
      <c r="F62" s="6" t="n"/>
      <c r="G62" s="4" t="n"/>
      <c r="H62" s="4" t="n"/>
      <c r="I62" s="7" t="n"/>
      <c r="J62" s="4" t="inlineStr">
        <is>
          <t>No</t>
        </is>
      </c>
      <c r="K62" s="8" t="n">
        <v>0.0273</v>
      </c>
      <c r="L62" s="6" t="n">
        <v>1.07</v>
      </c>
      <c r="M62" s="7" t="n">
        <v>3.482</v>
      </c>
      <c r="N62" s="4" t="inlineStr">
        <is>
          <t>No</t>
        </is>
      </c>
      <c r="O62" s="6" t="n">
        <v>0.09</v>
      </c>
      <c r="P62" s="4" t="inlineStr">
        <is>
          <t>ACOS predicho 348% &gt; 30%</t>
        </is>
      </c>
    </row>
    <row r="63">
      <c r="A63" s="4" t="inlineStr">
        <is>
          <t>soporte movil guantera coche</t>
        </is>
      </c>
      <c r="B63" s="4" t="inlineStr">
        <is>
          <t>2026-09-28</t>
        </is>
      </c>
      <c r="C63" s="4" t="inlineStr">
        <is>
          <t>Reseñas competencia</t>
        </is>
      </c>
      <c r="D63" s="4" t="n">
        <v>1</v>
      </c>
      <c r="E63" s="4" t="inlineStr"/>
      <c r="F63" s="6" t="n"/>
      <c r="G63" s="4" t="n"/>
      <c r="H63" s="4" t="n"/>
      <c r="I63" s="7" t="n"/>
      <c r="J63" s="4" t="inlineStr">
        <is>
          <t>No</t>
        </is>
      </c>
      <c r="K63" s="8" t="n">
        <v>0.0273</v>
      </c>
      <c r="L63" s="6" t="n">
        <v>1.07</v>
      </c>
      <c r="M63" s="7" t="n">
        <v>3.482</v>
      </c>
      <c r="N63" s="4" t="inlineStr">
        <is>
          <t>No</t>
        </is>
      </c>
      <c r="O63" s="6" t="n">
        <v>0.09</v>
      </c>
      <c r="P63" s="4" t="inlineStr">
        <is>
          <t>ACOS predicho 348% &gt; 30%</t>
        </is>
      </c>
    </row>
    <row r="64">
      <c r="A64" s="4" t="inlineStr">
        <is>
          <t>soporte movil salpicadero no se cae</t>
        </is>
      </c>
      <c r="B64" s="4" t="inlineStr">
        <is>
          <t>2026-09-28</t>
        </is>
      </c>
      <c r="C64" s="4" t="inlineStr">
        <is>
          <t>Reseñas competencia</t>
        </is>
      </c>
      <c r="D64" s="4" t="n">
        <v>1</v>
      </c>
      <c r="E64" s="4" t="inlineStr"/>
      <c r="F64" s="6" t="n"/>
      <c r="G64" s="4" t="n"/>
      <c r="H64" s="4" t="n"/>
      <c r="I64" s="7" t="n"/>
      <c r="J64" s="4" t="inlineStr">
        <is>
          <t>No</t>
        </is>
      </c>
      <c r="K64" s="8" t="n">
        <v>0.0263</v>
      </c>
      <c r="L64" s="6" t="n">
        <v>1.07</v>
      </c>
      <c r="M64" s="7" t="n">
        <v>3.625</v>
      </c>
      <c r="N64" s="4" t="inlineStr">
        <is>
          <t>No</t>
        </is>
      </c>
      <c r="O64" s="6" t="n">
        <v>0.09</v>
      </c>
      <c r="P64" s="4" t="inlineStr">
        <is>
          <t>ACOS predicho 362% &gt; 30%</t>
        </is>
      </c>
    </row>
    <row r="65">
      <c r="A65" s="4" t="inlineStr">
        <is>
          <t>soporte movil salpicadero encima del volante</t>
        </is>
      </c>
      <c r="B65" s="4" t="inlineStr">
        <is>
          <t>2026-09-28</t>
        </is>
      </c>
      <c r="C65" s="4" t="inlineStr">
        <is>
          <t>Reseñas competencia</t>
        </is>
      </c>
      <c r="D65" s="4" t="n">
        <v>1</v>
      </c>
      <c r="E65" s="4" t="inlineStr"/>
      <c r="F65" s="6" t="n"/>
      <c r="G65" s="4" t="n"/>
      <c r="H65" s="4" t="n"/>
      <c r="I65" s="7" t="n"/>
      <c r="J65" s="4" t="inlineStr">
        <is>
          <t>No</t>
        </is>
      </c>
      <c r="K65" s="8" t="n">
        <v>0.0256</v>
      </c>
      <c r="L65" s="6" t="n">
        <v>1.07</v>
      </c>
      <c r="M65" s="7" t="n">
        <v>3.72</v>
      </c>
      <c r="N65" s="4" t="inlineStr">
        <is>
          <t>No</t>
        </is>
      </c>
      <c r="O65" s="6" t="n">
        <v>0.09</v>
      </c>
      <c r="P65" s="4" t="inlineStr">
        <is>
          <t>ACOS predicho 372% &gt; 30%</t>
        </is>
      </c>
    </row>
    <row r="66">
      <c r="A66" s="4" t="inlineStr">
        <is>
          <t>soporte movil espejo retrovisor</t>
        </is>
      </c>
      <c r="B66" s="4" t="inlineStr">
        <is>
          <t>2026-09-28</t>
        </is>
      </c>
      <c r="C66" s="4" t="inlineStr">
        <is>
          <t>Autocompletado Amazon</t>
        </is>
      </c>
      <c r="D66" s="4" t="n">
        <v>1</v>
      </c>
      <c r="E66" s="4" t="inlineStr">
        <is>
          <t>volumen bajo</t>
        </is>
      </c>
      <c r="F66" s="6" t="n"/>
      <c r="G66" s="4" t="n"/>
      <c r="H66" s="4" t="n"/>
      <c r="I66" s="7" t="n"/>
      <c r="J66" s="4" t="inlineStr">
        <is>
          <t>No</t>
        </is>
      </c>
      <c r="K66" s="8" t="n">
        <v>0.025</v>
      </c>
      <c r="L66" s="6" t="n">
        <v>1.07</v>
      </c>
      <c r="M66" s="7" t="n">
        <v>3.807</v>
      </c>
      <c r="N66" s="4" t="inlineStr">
        <is>
          <t>No</t>
        </is>
      </c>
      <c r="O66" s="6" t="n">
        <v>0.08</v>
      </c>
      <c r="P66" s="4" t="inlineStr">
        <is>
          <t>ACOS predicho 381% &gt; 30%</t>
        </is>
      </c>
    </row>
    <row r="67">
      <c r="A67" s="4" t="inlineStr">
        <is>
          <t>soporte movil retrovisor ajustable</t>
        </is>
      </c>
      <c r="B67" s="4" t="inlineStr">
        <is>
          <t>2026-09-28</t>
        </is>
      </c>
      <c r="C67" s="4" t="inlineStr">
        <is>
          <t>RMIQ (IA)</t>
        </is>
      </c>
      <c r="D67" s="4" t="n">
        <v>1</v>
      </c>
      <c r="E67" s="4" t="inlineStr">
        <is>
          <t>volumen desconocido</t>
        </is>
      </c>
      <c r="F67" s="6" t="n"/>
      <c r="G67" s="4" t="n"/>
      <c r="H67" s="4" t="n"/>
      <c r="I67" s="7" t="n"/>
      <c r="J67" s="4" t="inlineStr">
        <is>
          <t>No</t>
        </is>
      </c>
      <c r="K67" s="8" t="n">
        <v>0.025</v>
      </c>
      <c r="L67" s="6" t="n">
        <v>1.07</v>
      </c>
      <c r="M67" s="7" t="n">
        <v>3.807</v>
      </c>
      <c r="N67" s="4" t="inlineStr">
        <is>
          <t>No</t>
        </is>
      </c>
      <c r="O67" s="6" t="n">
        <v>0.08</v>
      </c>
      <c r="P67" s="4" t="inlineStr">
        <is>
          <t>ACOS predicho 381% &gt; 30%</t>
        </is>
      </c>
    </row>
    <row r="68">
      <c r="A68" s="4" t="inlineStr">
        <is>
          <t>soporte movil cuadro de instrumentos</t>
        </is>
      </c>
      <c r="B68" s="4" t="inlineStr">
        <is>
          <t>2026-09-28</t>
        </is>
      </c>
      <c r="C68" s="4" t="inlineStr">
        <is>
          <t>Reseñas competencia</t>
        </is>
      </c>
      <c r="D68" s="4" t="n">
        <v>1</v>
      </c>
      <c r="E68" s="4" t="inlineStr"/>
      <c r="F68" s="6" t="n"/>
      <c r="G68" s="4" t="n"/>
      <c r="H68" s="4" t="n"/>
      <c r="I68" s="7" t="n"/>
      <c r="J68" s="4" t="inlineStr">
        <is>
          <t>No</t>
        </is>
      </c>
      <c r="K68" s="8" t="n">
        <v>0.025</v>
      </c>
      <c r="L68" s="6" t="n">
        <v>1.07</v>
      </c>
      <c r="M68" s="7" t="n">
        <v>3.807</v>
      </c>
      <c r="N68" s="4" t="inlineStr">
        <is>
          <t>No</t>
        </is>
      </c>
      <c r="O68" s="6" t="n">
        <v>0.08</v>
      </c>
      <c r="P68" s="4" t="inlineStr">
        <is>
          <t>ACOS predicho 381% &gt; 30%</t>
        </is>
      </c>
    </row>
    <row r="69">
      <c r="A69" s="4" t="inlineStr">
        <is>
          <t>soporte movil salpicadero curvo</t>
        </is>
      </c>
      <c r="B69" s="4" t="inlineStr">
        <is>
          <t>2026-09-28</t>
        </is>
      </c>
      <c r="C69" s="4" t="inlineStr">
        <is>
          <t>Autocompletado Amazon</t>
        </is>
      </c>
      <c r="D69" s="4" t="n">
        <v>1</v>
      </c>
      <c r="E69" s="4" t="inlineStr">
        <is>
          <t>volumen alto</t>
        </is>
      </c>
      <c r="F69" s="6" t="n"/>
      <c r="G69" s="4" t="n"/>
      <c r="H69" s="4" t="n"/>
      <c r="I69" s="7" t="n"/>
      <c r="J69" s="4" t="inlineStr">
        <is>
          <t>No</t>
        </is>
      </c>
      <c r="K69" s="8" t="n">
        <v>0.0249</v>
      </c>
      <c r="L69" s="6" t="n">
        <v>1.07</v>
      </c>
      <c r="M69" s="7" t="n">
        <v>3.818</v>
      </c>
      <c r="N69" s="4" t="inlineStr">
        <is>
          <t>No</t>
        </is>
      </c>
      <c r="O69" s="6" t="n">
        <v>0.08</v>
      </c>
      <c r="P69" s="4" t="inlineStr">
        <is>
          <t>ACOS predicho 382% &gt; 30%</t>
        </is>
      </c>
    </row>
    <row r="70">
      <c r="A70" s="4" t="inlineStr">
        <is>
          <t>soporte movil tapa salpicadero</t>
        </is>
      </c>
      <c r="B70" s="4" t="inlineStr">
        <is>
          <t>2026-09-28</t>
        </is>
      </c>
      <c r="C70" s="4" t="inlineStr">
        <is>
          <t>Reseñas competencia</t>
        </is>
      </c>
      <c r="D70" s="4" t="n">
        <v>1</v>
      </c>
      <c r="E70" s="4" t="inlineStr"/>
      <c r="F70" s="6" t="n"/>
      <c r="G70" s="4" t="n"/>
      <c r="H70" s="4" t="n"/>
      <c r="I70" s="7" t="n"/>
      <c r="J70" s="4" t="inlineStr">
        <is>
          <t>No</t>
        </is>
      </c>
      <c r="K70" s="8" t="n">
        <v>0.0249</v>
      </c>
      <c r="L70" s="6" t="n">
        <v>1.07</v>
      </c>
      <c r="M70" s="7" t="n">
        <v>3.818</v>
      </c>
      <c r="N70" s="4" t="inlineStr">
        <is>
          <t>No</t>
        </is>
      </c>
      <c r="O70" s="6" t="n">
        <v>0.08</v>
      </c>
      <c r="P70" s="4" t="inlineStr">
        <is>
          <t>ACOS predicho 382% &gt; 30%</t>
        </is>
      </c>
    </row>
    <row r="71">
      <c r="A71" s="4" t="inlineStr">
        <is>
          <t>soporte movil retrovisor</t>
        </is>
      </c>
      <c r="B71" s="4" t="inlineStr">
        <is>
          <t>2026-09-28</t>
        </is>
      </c>
      <c r="C71" s="4" t="inlineStr">
        <is>
          <t>Autocompletado Amazon</t>
        </is>
      </c>
      <c r="D71" s="4" t="n">
        <v>1</v>
      </c>
      <c r="E71" s="4" t="inlineStr">
        <is>
          <t>volumen alto</t>
        </is>
      </c>
      <c r="F71" s="6" t="n"/>
      <c r="G71" s="4" t="n"/>
      <c r="H71" s="4" t="n"/>
      <c r="I71" s="7" t="n"/>
      <c r="J71" s="4" t="inlineStr">
        <is>
          <t>No</t>
        </is>
      </c>
      <c r="K71" s="8" t="n">
        <v>0.0244</v>
      </c>
      <c r="L71" s="6" t="n">
        <v>1.07</v>
      </c>
      <c r="M71" s="7" t="n">
        <v>3.907</v>
      </c>
      <c r="N71" s="4" t="inlineStr">
        <is>
          <t>No</t>
        </is>
      </c>
      <c r="O71" s="6" t="n">
        <v>0.08</v>
      </c>
      <c r="P71" s="4" t="inlineStr">
        <is>
          <t>ACOS predicho 391% &gt; 30%</t>
        </is>
      </c>
    </row>
    <row r="72">
      <c r="A72" s="4" t="inlineStr">
        <is>
          <t>soporte movil woolcar</t>
        </is>
      </c>
      <c r="B72" s="4" t="inlineStr">
        <is>
          <t>2026-09-28</t>
        </is>
      </c>
      <c r="C72" s="4" t="inlineStr">
        <is>
          <t>Constructor Amazon Ads</t>
        </is>
      </c>
      <c r="D72" s="4" t="n">
        <v>1</v>
      </c>
      <c r="E72" s="4" t="inlineStr">
        <is>
          <t>volumen IS 0</t>
        </is>
      </c>
      <c r="F72" s="6" t="n"/>
      <c r="G72" s="4" t="n"/>
      <c r="H72" s="4" t="n"/>
      <c r="I72" s="7" t="n"/>
      <c r="J72" s="4" t="inlineStr">
        <is>
          <t>No</t>
        </is>
      </c>
      <c r="K72" s="8" t="n">
        <v>0.0244</v>
      </c>
      <c r="L72" s="6" t="n">
        <v>1.07</v>
      </c>
      <c r="M72" s="7" t="n">
        <v>3.907</v>
      </c>
      <c r="N72" s="4" t="inlineStr">
        <is>
          <t>No</t>
        </is>
      </c>
      <c r="O72" s="6" t="n">
        <v>0.08</v>
      </c>
      <c r="P72" s="4" t="inlineStr">
        <is>
          <t>ACOS predicho 391% &gt; 30%</t>
        </is>
      </c>
    </row>
    <row r="73">
      <c r="A73" s="4" t="inlineStr">
        <is>
          <t>soporte movil universal</t>
        </is>
      </c>
      <c r="B73" s="4" t="inlineStr">
        <is>
          <t>2026-09-28</t>
        </is>
      </c>
      <c r="C73" s="4" t="inlineStr">
        <is>
          <t>RMIQ (IA)</t>
        </is>
      </c>
      <c r="D73" s="4" t="n">
        <v>1</v>
      </c>
      <c r="E73" s="4" t="inlineStr">
        <is>
          <t>volumen desconocido</t>
        </is>
      </c>
      <c r="F73" s="6" t="n"/>
      <c r="G73" s="4" t="n"/>
      <c r="H73" s="4" t="n"/>
      <c r="I73" s="7" t="n"/>
      <c r="J73" s="4" t="inlineStr">
        <is>
          <t>No</t>
        </is>
      </c>
      <c r="K73" s="8" t="n">
        <v>0.0244</v>
      </c>
      <c r="L73" s="6" t="n">
        <v>1.07</v>
      </c>
      <c r="M73" s="7" t="n">
        <v>3.907</v>
      </c>
      <c r="N73" s="4" t="inlineStr">
        <is>
          <t>No</t>
        </is>
      </c>
      <c r="O73" s="6" t="n">
        <v>0.08</v>
      </c>
      <c r="P73" s="4" t="inlineStr">
        <is>
          <t>ACOS predicho 391% &gt; 30%</t>
        </is>
      </c>
    </row>
    <row r="74">
      <c r="A74" s="4" t="inlineStr">
        <is>
          <t>soporte movil parasol</t>
        </is>
      </c>
      <c r="B74" s="4" t="inlineStr">
        <is>
          <t>2026-09-28</t>
        </is>
      </c>
      <c r="C74" s="4" t="inlineStr">
        <is>
          <t>RMIQ (IA)</t>
        </is>
      </c>
      <c r="D74" s="4" t="n">
        <v>1</v>
      </c>
      <c r="E74" s="4" t="inlineStr">
        <is>
          <t>volumen desconocido</t>
        </is>
      </c>
      <c r="F74" s="6" t="n"/>
      <c r="G74" s="4" t="n"/>
      <c r="H74" s="4" t="n"/>
      <c r="I74" s="7" t="n"/>
      <c r="J74" s="4" t="inlineStr">
        <is>
          <t>No</t>
        </is>
      </c>
      <c r="K74" s="8" t="n">
        <v>0.0244</v>
      </c>
      <c r="L74" s="6" t="n">
        <v>1.07</v>
      </c>
      <c r="M74" s="7" t="n">
        <v>3.907</v>
      </c>
      <c r="N74" s="4" t="inlineStr">
        <is>
          <t>No</t>
        </is>
      </c>
      <c r="O74" s="6" t="n">
        <v>0.08</v>
      </c>
      <c r="P74" s="4" t="inlineStr">
        <is>
          <t>ACOS predicho 391% &gt; 30%</t>
        </is>
      </c>
    </row>
    <row r="75">
      <c r="A75" s="4" t="inlineStr">
        <is>
          <t>soporte coche pda</t>
        </is>
      </c>
      <c r="B75" s="4" t="inlineStr">
        <is>
          <t>2026-09-28</t>
        </is>
      </c>
      <c r="C75" s="4" t="inlineStr">
        <is>
          <t>Constructor Amazon Ads</t>
        </is>
      </c>
      <c r="D75" s="4" t="n">
        <v>1</v>
      </c>
      <c r="E75" s="4" t="inlineStr">
        <is>
          <t>volumen IS 0</t>
        </is>
      </c>
      <c r="F75" s="6" t="n"/>
      <c r="G75" s="4" t="n"/>
      <c r="H75" s="4" t="n"/>
      <c r="I75" s="7" t="n"/>
      <c r="J75" s="4" t="inlineStr">
        <is>
          <t>No</t>
        </is>
      </c>
      <c r="K75" s="8" t="n">
        <v>0.0171</v>
      </c>
      <c r="L75" s="6" t="n">
        <v>1.07</v>
      </c>
      <c r="M75" s="7" t="n">
        <v>5.584</v>
      </c>
      <c r="N75" s="4" t="inlineStr">
        <is>
          <t>No</t>
        </is>
      </c>
      <c r="O75" s="6" t="n">
        <v>0.06</v>
      </c>
      <c r="P75" s="4" t="inlineStr">
        <is>
          <t>ACOS predicho 558% &gt; 30%</t>
        </is>
      </c>
    </row>
    <row r="76">
      <c r="A76" s="4" t="inlineStr">
        <is>
          <t>soporte telefono movil salpicadero</t>
        </is>
      </c>
      <c r="B76" s="4" t="inlineStr">
        <is>
          <t>2026-09-28</t>
        </is>
      </c>
      <c r="C76" s="4" t="inlineStr">
        <is>
          <t>Autocompletado Amazon</t>
        </is>
      </c>
      <c r="D76" s="4" t="n">
        <v>1</v>
      </c>
      <c r="E76" s="4" t="inlineStr">
        <is>
          <t>volumen alto</t>
        </is>
      </c>
      <c r="F76" s="6" t="n"/>
      <c r="G76" s="4" t="n"/>
      <c r="H76" s="4" t="n"/>
      <c r="I76" s="7" t="n"/>
      <c r="J76" s="4" t="inlineStr">
        <is>
          <t>No</t>
        </is>
      </c>
      <c r="K76" s="8" t="n">
        <v>0.017</v>
      </c>
      <c r="L76" s="6" t="n">
        <v>1.07</v>
      </c>
      <c r="M76" s="7" t="n">
        <v>5.615</v>
      </c>
      <c r="N76" s="4" t="inlineStr">
        <is>
          <t>No</t>
        </is>
      </c>
      <c r="O76" s="6" t="n">
        <v>0.06</v>
      </c>
      <c r="P76" s="4" t="inlineStr">
        <is>
          <t>ACOS predicho 562% &gt; 30%</t>
        </is>
      </c>
    </row>
    <row r="77">
      <c r="A77" s="4" t="inlineStr">
        <is>
          <t>soporte movil clip</t>
        </is>
      </c>
      <c r="B77" s="4" t="inlineStr">
        <is>
          <t>2026-09-28</t>
        </is>
      </c>
      <c r="C77" s="4" t="inlineStr">
        <is>
          <t>Constructor Amazon Ads</t>
        </is>
      </c>
      <c r="D77" s="4" t="n">
        <v>1</v>
      </c>
      <c r="E77" s="4" t="inlineStr">
        <is>
          <t>volumen IS 0</t>
        </is>
      </c>
      <c r="F77" s="6" t="n">
        <v>0.46</v>
      </c>
      <c r="G77" s="4" t="n"/>
      <c r="H77" s="4" t="n"/>
      <c r="I77" s="7" t="n"/>
      <c r="J77" s="4" t="inlineStr">
        <is>
          <t>No</t>
        </is>
      </c>
      <c r="K77" s="8" t="n">
        <v>0.0244</v>
      </c>
      <c r="L77" s="6" t="n">
        <v>0.46</v>
      </c>
      <c r="M77" s="7" t="n"/>
      <c r="N77" s="4" t="inlineStr">
        <is>
          <t>No</t>
        </is>
      </c>
      <c r="O77" s="6" t="n"/>
      <c r="P77" s="4" t="inlineStr">
        <is>
          <t>lleva palabras de otro producto tuyo</t>
        </is>
      </c>
    </row>
    <row r="78">
      <c r="A78" s="4" t="inlineStr">
        <is>
          <t>soporte movil coche</t>
        </is>
      </c>
      <c r="B78" s="4" t="inlineStr">
        <is>
          <t>2026-09-28</t>
        </is>
      </c>
      <c r="C78" s="4" t="inlineStr">
        <is>
          <t>RMIQ (IA), Histórico (vendió)</t>
        </is>
      </c>
      <c r="D78" s="4" t="n">
        <v>2</v>
      </c>
      <c r="E78" s="4" t="inlineStr">
        <is>
          <t>volumen desconocido; 52 clics, 1 compras (Amplia); 24 clics, 1 compras (Frase)</t>
        </is>
      </c>
      <c r="F78" s="6" t="n"/>
      <c r="G78" s="4" t="n">
        <v>114</v>
      </c>
      <c r="H78" s="4" t="n">
        <v>2</v>
      </c>
      <c r="I78" s="7" t="n">
        <v>3.832875637504903</v>
      </c>
      <c r="J78" s="4" t="inlineStr">
        <is>
          <t>Sí</t>
        </is>
      </c>
      <c r="K78" s="8" t="n">
        <v>0.0339</v>
      </c>
      <c r="L78" s="6" t="n">
        <v>1.07</v>
      </c>
      <c r="M78" s="7" t="n"/>
      <c r="N78" s="4" t="inlineStr">
        <is>
          <t>No</t>
        </is>
      </c>
      <c r="O78" s="6" t="n"/>
      <c r="P78" s="4" t="inlineStr">
        <is>
          <t>ya está en tus campañas</t>
        </is>
      </c>
    </row>
    <row r="79">
      <c r="A79" s="4" t="inlineStr">
        <is>
          <t>soporte movil salpicadero</t>
        </is>
      </c>
      <c r="B79" s="4" t="inlineStr">
        <is>
          <t>2026-09-28</t>
        </is>
      </c>
      <c r="C79" s="4" t="inlineStr">
        <is>
          <t>RMIQ (IA)</t>
        </is>
      </c>
      <c r="D79" s="4" t="n">
        <v>1</v>
      </c>
      <c r="E79" s="4" t="inlineStr">
        <is>
          <t>volumen desconocido</t>
        </is>
      </c>
      <c r="F79" s="6" t="n"/>
      <c r="G79" s="4" t="n">
        <v>0</v>
      </c>
      <c r="H79" s="4" t="n">
        <v>0</v>
      </c>
      <c r="I79" s="7" t="n"/>
      <c r="J79" s="4" t="inlineStr">
        <is>
          <t>Sí</t>
        </is>
      </c>
      <c r="K79" s="8" t="n">
        <v>0.0243</v>
      </c>
      <c r="L79" s="6" t="n">
        <v>1.07</v>
      </c>
      <c r="M79" s="7" t="n"/>
      <c r="N79" s="4" t="inlineStr">
        <is>
          <t>No</t>
        </is>
      </c>
      <c r="O79" s="6" t="n"/>
      <c r="P79" s="4" t="inlineStr">
        <is>
          <t>ya está en tus campañas</t>
        </is>
      </c>
    </row>
    <row r="80">
      <c r="A80" s="4" t="inlineStr">
        <is>
          <t>soporte movil coche pinza</t>
        </is>
      </c>
      <c r="B80" s="4" t="inlineStr">
        <is>
          <t>2026-09-28</t>
        </is>
      </c>
      <c r="C80" s="4" t="inlineStr">
        <is>
          <t>Términos de búsqueda propios, RMIQ (IA), Histórico (vendió)</t>
        </is>
      </c>
      <c r="D80" s="4" t="n">
        <v>3</v>
      </c>
      <c r="E80" s="4" t="inlineStr">
        <is>
          <t>volumen desconocido; 205 clics, 20 compras (Frase); 24 clics, 6 compras (Frase); 31 clics, 3 compras (Amplia); 18 clics, 2 compras (Amplia);</t>
        </is>
      </c>
      <c r="F80" s="6" t="n"/>
      <c r="G80" s="4" t="n">
        <v>307</v>
      </c>
      <c r="H80" s="4" t="n">
        <v>34</v>
      </c>
      <c r="I80" s="7" t="n">
        <v>0.4131241609854966</v>
      </c>
      <c r="J80" s="4" t="inlineStr">
        <is>
          <t>Sí</t>
        </is>
      </c>
      <c r="K80" s="8" t="n">
        <v>0.1117</v>
      </c>
      <c r="L80" s="6" t="n">
        <v>0.29</v>
      </c>
      <c r="M80" s="7" t="n"/>
      <c r="N80" s="4" t="inlineStr">
        <is>
          <t>No</t>
        </is>
      </c>
      <c r="O80" s="6" t="n"/>
      <c r="P80" s="4" t="inlineStr">
        <is>
          <t>ya está en tus campañas</t>
        </is>
      </c>
    </row>
    <row r="81">
      <c r="A81" s="4" t="inlineStr">
        <is>
          <t>soporte telefono coche</t>
        </is>
      </c>
      <c r="B81" s="4" t="inlineStr">
        <is>
          <t>2026-09-28</t>
        </is>
      </c>
      <c r="C81" s="4" t="inlineStr">
        <is>
          <t>RMIQ (IA)</t>
        </is>
      </c>
      <c r="D81" s="4" t="n">
        <v>1</v>
      </c>
      <c r="E81" s="4" t="inlineStr">
        <is>
          <t>volumen desconocido</t>
        </is>
      </c>
      <c r="F81" s="6" t="n"/>
      <c r="G81" s="4" t="n">
        <v>3</v>
      </c>
      <c r="H81" s="4" t="n">
        <v>0</v>
      </c>
      <c r="I81" s="7" t="n"/>
      <c r="J81" s="4" t="inlineStr">
        <is>
          <t>Sí</t>
        </is>
      </c>
      <c r="K81" s="8" t="n">
        <v>0.0157</v>
      </c>
      <c r="L81" s="6" t="n">
        <v>1.07</v>
      </c>
      <c r="M81" s="7" t="n"/>
      <c r="N81" s="4" t="inlineStr">
        <is>
          <t>No</t>
        </is>
      </c>
      <c r="O81" s="6" t="n"/>
      <c r="P81" s="4" t="inlineStr">
        <is>
          <t>ya está en tus campañas</t>
        </is>
      </c>
    </row>
    <row r="82">
      <c r="A82" s="4" t="inlineStr">
        <is>
          <t>soporte movil salpicadero coche</t>
        </is>
      </c>
      <c r="B82" s="4" t="inlineStr">
        <is>
          <t>2026-09-28</t>
        </is>
      </c>
      <c r="C82" s="4" t="inlineStr">
        <is>
          <t>RMIQ (IA)</t>
        </is>
      </c>
      <c r="D82" s="4" t="n">
        <v>1</v>
      </c>
      <c r="E82" s="4" t="inlineStr">
        <is>
          <t>volumen desconocido</t>
        </is>
      </c>
      <c r="F82" s="6" t="n"/>
      <c r="G82" s="4" t="n">
        <v>1</v>
      </c>
      <c r="H82" s="4" t="n">
        <v>0</v>
      </c>
      <c r="I82" s="7" t="n"/>
      <c r="J82" s="4" t="inlineStr">
        <is>
          <t>Sí</t>
        </is>
      </c>
      <c r="K82" s="8" t="n">
        <v>0.0273</v>
      </c>
      <c r="L82" s="6" t="n">
        <v>1.07</v>
      </c>
      <c r="M82" s="7" t="n"/>
      <c r="N82" s="4" t="inlineStr">
        <is>
          <t>No</t>
        </is>
      </c>
      <c r="O82" s="6" t="n"/>
      <c r="P82" s="4" t="inlineStr">
        <is>
          <t>ya está en tus campañas</t>
        </is>
      </c>
    </row>
    <row r="83">
      <c r="A83" s="4" t="inlineStr">
        <is>
          <t>soporte movil coche facil instalacion</t>
        </is>
      </c>
      <c r="B83" s="4" t="inlineStr">
        <is>
          <t>2026-09-28</t>
        </is>
      </c>
      <c r="C83" s="4" t="inlineStr">
        <is>
          <t>RMIQ (IA)</t>
        </is>
      </c>
      <c r="D83" s="4" t="n">
        <v>1</v>
      </c>
      <c r="E83" s="4" t="inlineStr">
        <is>
          <t>volumen desconocido</t>
        </is>
      </c>
      <c r="F83" s="6" t="n"/>
      <c r="G83" s="4" t="n"/>
      <c r="H83" s="4" t="n"/>
      <c r="I83" s="7" t="n"/>
      <c r="J83" s="4" t="inlineStr">
        <is>
          <t>Sí</t>
        </is>
      </c>
      <c r="K83" s="8" t="n">
        <v>0.0357</v>
      </c>
      <c r="L83" s="6" t="n">
        <v>1.07</v>
      </c>
      <c r="M83" s="7" t="n"/>
      <c r="N83" s="4" t="inlineStr">
        <is>
          <t>No</t>
        </is>
      </c>
      <c r="O83" s="6" t="n"/>
      <c r="P83" s="4" t="inlineStr">
        <is>
          <t>ya está en tus campañas</t>
        </is>
      </c>
    </row>
    <row r="84">
      <c r="A84" s="4" t="inlineStr">
        <is>
          <t>soporte movil coche sin ventosa</t>
        </is>
      </c>
      <c r="B84" s="4" t="inlineStr">
        <is>
          <t>2026-09-28</t>
        </is>
      </c>
      <c r="C84" s="4" t="inlineStr">
        <is>
          <t>RMIQ (IA)</t>
        </is>
      </c>
      <c r="D84" s="4" t="n">
        <v>1</v>
      </c>
      <c r="E84" s="4" t="inlineStr">
        <is>
          <t>volumen desconocido</t>
        </is>
      </c>
      <c r="F84" s="6" t="n"/>
      <c r="G84" s="4" t="n"/>
      <c r="H84" s="4" t="n"/>
      <c r="I84" s="7" t="n"/>
      <c r="J84" s="4" t="inlineStr">
        <is>
          <t>Sí</t>
        </is>
      </c>
      <c r="K84" s="8" t="n">
        <v>0.0357</v>
      </c>
      <c r="L84" s="6" t="n">
        <v>1.07</v>
      </c>
      <c r="M84" s="7" t="n"/>
      <c r="N84" s="4" t="inlineStr">
        <is>
          <t>No</t>
        </is>
      </c>
      <c r="O84" s="6" t="n"/>
      <c r="P84" s="4" t="inlineStr">
        <is>
          <t>ya está en tus campañas</t>
        </is>
      </c>
    </row>
    <row r="85">
      <c r="A85" s="4" t="inlineStr">
        <is>
          <t>sujeta móvil para coche pinza</t>
        </is>
      </c>
      <c r="B85" s="4" t="inlineStr">
        <is>
          <t>2026-09-28</t>
        </is>
      </c>
      <c r="C85" s="4" t="inlineStr">
        <is>
          <t>Términos de búsqueda propios, Recomendada ML</t>
        </is>
      </c>
      <c r="D85" s="4" t="n">
        <v>2</v>
      </c>
      <c r="E85" s="4" t="inlineStr">
        <is>
          <t>volumen 1 clics / 0 compras</t>
        </is>
      </c>
      <c r="F85" s="6" t="n"/>
      <c r="G85" s="4" t="n">
        <v>4</v>
      </c>
      <c r="H85" s="4" t="n">
        <v>0</v>
      </c>
      <c r="I85" s="7" t="n"/>
      <c r="J85" s="4" t="inlineStr">
        <is>
          <t>Sí</t>
        </is>
      </c>
      <c r="K85" s="8" t="n">
        <v>0.0541</v>
      </c>
      <c r="L85" s="6" t="n">
        <v>0.29</v>
      </c>
      <c r="M85" s="7" t="n"/>
      <c r="N85" s="4" t="inlineStr">
        <is>
          <t>No</t>
        </is>
      </c>
      <c r="O85" s="6" t="n"/>
      <c r="P85" s="4" t="inlineStr">
        <is>
          <t>ya está en tus campañas</t>
        </is>
      </c>
    </row>
    <row r="86">
      <c r="A86" s="4" t="inlineStr">
        <is>
          <t>soporte móvil para coche de pinza para salpicadero</t>
        </is>
      </c>
      <c r="B86" s="4" t="inlineStr">
        <is>
          <t>—</t>
        </is>
      </c>
      <c r="C86" s="4" t="inlineStr">
        <is>
          <t>Histórico (vendió), Recomendada ML</t>
        </is>
      </c>
      <c r="D86" s="4" t="n">
        <v>2</v>
      </c>
      <c r="E86" s="4" t="inlineStr">
        <is>
          <t>9 clics, 1 compras (Amplia)</t>
        </is>
      </c>
      <c r="F86" s="6" t="n"/>
      <c r="G86" s="4" t="n">
        <v>9</v>
      </c>
      <c r="H86" s="4" t="n">
        <v>1</v>
      </c>
      <c r="I86" s="7" t="n">
        <v>0.300288739172281</v>
      </c>
      <c r="J86" s="4" t="inlineStr">
        <is>
          <t>Sí</t>
        </is>
      </c>
      <c r="K86" s="8" t="n">
        <v>0.1175</v>
      </c>
      <c r="L86" s="6" t="n">
        <v>0.29</v>
      </c>
      <c r="M86" s="7" t="n"/>
      <c r="N86" s="4" t="inlineStr">
        <is>
          <t>No</t>
        </is>
      </c>
      <c r="O86" s="6" t="n"/>
      <c r="P86" s="4" t="inlineStr">
        <is>
          <t>ya está en tus campañas</t>
        </is>
      </c>
    </row>
    <row r="87">
      <c r="A87" s="4" t="inlineStr">
        <is>
          <t>soporte móvil coche pinza para espejo retrovisor</t>
        </is>
      </c>
      <c r="B87" s="4" t="inlineStr">
        <is>
          <t>—</t>
        </is>
      </c>
      <c r="C87" s="4" t="inlineStr">
        <is>
          <t>Recomendada ML</t>
        </is>
      </c>
      <c r="D87" s="4" t="n">
        <v>1</v>
      </c>
      <c r="E87" s="4" t="inlineStr"/>
      <c r="F87" s="6" t="n"/>
      <c r="G87" s="4" t="n"/>
      <c r="H87" s="4" t="n"/>
      <c r="I87" s="7" t="n"/>
      <c r="J87" s="4" t="inlineStr">
        <is>
          <t>Sí</t>
        </is>
      </c>
      <c r="K87" s="8" t="n">
        <v>0.1171</v>
      </c>
      <c r="L87" s="6" t="n">
        <v>0.29</v>
      </c>
      <c r="M87" s="7" t="n"/>
      <c r="N87" s="4" t="inlineStr">
        <is>
          <t>No</t>
        </is>
      </c>
      <c r="O87" s="6" t="n"/>
      <c r="P87" s="4" t="inlineStr">
        <is>
          <t>ya está en tus campañas</t>
        </is>
      </c>
    </row>
  </sheetData>
  <autoFilter ref="A1:P87"/>
  <conditionalFormatting sqref="A2:P87">
    <cfRule type="expression" priority="1" dxfId="0">
      <formula>$N2="Sí"</formula>
    </cfRule>
    <cfRule type="expression" priority="2" dxfId="1">
      <formula>AND($N2="No",$M2&lt;&gt;"",$M2&lt;=0.35)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3" customWidth="1" min="4" max="4"/>
    <col width="3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4" customWidth="1" min="16" max="16"/>
  </cols>
  <sheetData>
    <row r="1">
      <c r="A1" s="3" t="inlineStr">
        <is>
          <t>Frase</t>
        </is>
      </c>
      <c r="B1" s="3" t="inlineStr">
        <is>
          <t>Primera vez</t>
        </is>
      </c>
      <c r="C1" s="3" t="inlineStr">
        <is>
          <t>Fuentes</t>
        </is>
      </c>
      <c r="D1" s="3" t="inlineStr">
        <is>
          <t>Nº fuentes</t>
        </is>
      </c>
      <c r="E1" s="3" t="inlineStr">
        <is>
          <t>Señal de volumen</t>
        </is>
      </c>
      <c r="F1" s="3" t="inlineStr">
        <is>
          <t>Puja sugerida Amazon (€)</t>
        </is>
      </c>
      <c r="G1" s="3" t="inlineStr">
        <is>
          <t>Histórico clics</t>
        </is>
      </c>
      <c r="H1" s="3" t="inlineStr">
        <is>
          <t>Histórico compras</t>
        </is>
      </c>
      <c r="I1" s="3" t="inlineStr">
        <is>
          <t>Histórico ACOS</t>
        </is>
      </c>
      <c r="J1" s="3" t="inlineStr">
        <is>
          <t>En campañas</t>
        </is>
      </c>
      <c r="K1" s="3" t="inlineStr">
        <is>
          <t>P(compra|clic) modelo</t>
        </is>
      </c>
      <c r="L1" s="3" t="inlineStr">
        <is>
          <t>CPC estimado (€)</t>
        </is>
      </c>
      <c r="M1" s="3" t="inlineStr">
        <is>
          <t>ACOS predicho</t>
        </is>
      </c>
      <c r="N1" s="3" t="inlineStr">
        <is>
          <t>¿Pasa filtro?</t>
        </is>
      </c>
      <c r="O1" s="3" t="inlineStr">
        <is>
          <t>Puja propuesta (€)</t>
        </is>
      </c>
      <c r="P1" s="3" t="inlineStr">
        <is>
          <t>Motivo</t>
        </is>
      </c>
    </row>
    <row r="2">
      <c r="A2" s="4" t="inlineStr">
        <is>
          <t>soporte telefono para rejilla ventilacion redonda</t>
        </is>
      </c>
      <c r="B2" s="4" t="inlineStr">
        <is>
          <t>2026-09-28</t>
        </is>
      </c>
      <c r="C2" s="4" t="inlineStr">
        <is>
          <t>Términos de búsqueda propios</t>
        </is>
      </c>
      <c r="D2" s="4" t="n">
        <v>1</v>
      </c>
      <c r="E2" s="4" t="inlineStr">
        <is>
          <t>volumen 1 clics / 0 compras</t>
        </is>
      </c>
      <c r="F2" s="6" t="n"/>
      <c r="G2" s="4" t="n"/>
      <c r="H2" s="4" t="n"/>
      <c r="I2" s="7" t="n"/>
      <c r="J2" s="4" t="inlineStr">
        <is>
          <t>No</t>
        </is>
      </c>
      <c r="K2" s="8" t="n">
        <v>0.1123</v>
      </c>
      <c r="L2" s="6" t="n">
        <v>0.31</v>
      </c>
      <c r="M2" s="7" t="n">
        <v>0.194</v>
      </c>
      <c r="N2" s="4" t="inlineStr">
        <is>
          <t>Sí</t>
        </is>
      </c>
      <c r="O2" s="6" t="n">
        <v>0.48</v>
      </c>
      <c r="P2" s="4" t="inlineStr">
        <is>
          <t>entra si hay hueco en un grupo del producto</t>
        </is>
      </c>
    </row>
    <row r="3">
      <c r="A3" s="4" t="inlineStr">
        <is>
          <t>soporte telefono rejilla ventilación coche</t>
        </is>
      </c>
      <c r="B3" s="4" t="inlineStr">
        <is>
          <t>2026-09-28</t>
        </is>
      </c>
      <c r="C3" s="4" t="inlineStr">
        <is>
          <t>Autocompletado Amazon</t>
        </is>
      </c>
      <c r="D3" s="4" t="n">
        <v>1</v>
      </c>
      <c r="E3" s="4" t="inlineStr">
        <is>
          <t>volumen alto</t>
        </is>
      </c>
      <c r="F3" s="6" t="n"/>
      <c r="G3" s="4" t="n"/>
      <c r="H3" s="4" t="n"/>
      <c r="I3" s="7" t="n"/>
      <c r="J3" s="4" t="inlineStr">
        <is>
          <t>No</t>
        </is>
      </c>
      <c r="K3" s="8" t="n">
        <v>0.1051</v>
      </c>
      <c r="L3" s="6" t="n">
        <v>0.31</v>
      </c>
      <c r="M3" s="7" t="n">
        <v>0.207</v>
      </c>
      <c r="N3" s="4" t="inlineStr">
        <is>
          <t>Sí</t>
        </is>
      </c>
      <c r="O3" s="6" t="n">
        <v>0.45</v>
      </c>
      <c r="P3" s="4" t="inlineStr">
        <is>
          <t>entra si hay hueco en un grupo del producto</t>
        </is>
      </c>
    </row>
    <row r="4">
      <c r="A4" s="4" t="inlineStr">
        <is>
          <t>soporte telefono para rejilla aire</t>
        </is>
      </c>
      <c r="B4" s="4" t="inlineStr">
        <is>
          <t>2026-09-28</t>
        </is>
      </c>
      <c r="C4" s="4" t="inlineStr">
        <is>
          <t>Términos de búsqueda propios</t>
        </is>
      </c>
      <c r="D4" s="4" t="n">
        <v>1</v>
      </c>
      <c r="E4" s="4" t="inlineStr">
        <is>
          <t>volumen 1 clics / 0 compras</t>
        </is>
      </c>
      <c r="F4" s="6" t="n"/>
      <c r="G4" s="4" t="n"/>
      <c r="H4" s="4" t="n"/>
      <c r="I4" s="7" t="n"/>
      <c r="J4" s="4" t="inlineStr">
        <is>
          <t>No</t>
        </is>
      </c>
      <c r="K4" s="8" t="n">
        <v>0.0883</v>
      </c>
      <c r="L4" s="6" t="n">
        <v>0.31</v>
      </c>
      <c r="M4" s="7" t="n">
        <v>0.246</v>
      </c>
      <c r="N4" s="4" t="inlineStr">
        <is>
          <t>Sí</t>
        </is>
      </c>
      <c r="O4" s="6" t="n">
        <v>0.38</v>
      </c>
      <c r="P4" s="4" t="inlineStr">
        <is>
          <t>entra si hay hueco en un grupo del producto</t>
        </is>
      </c>
    </row>
    <row r="5">
      <c r="A5" s="4" t="inlineStr">
        <is>
          <t>soporte telefono coche rejilla</t>
        </is>
      </c>
      <c r="B5" s="4" t="inlineStr">
        <is>
          <t>2026-09-28</t>
        </is>
      </c>
      <c r="C5" s="4" t="inlineStr">
        <is>
          <t>Términos de búsqueda propios, Autocompletado Amazon</t>
        </is>
      </c>
      <c r="D5" s="4" t="n">
        <v>2</v>
      </c>
      <c r="E5" s="4" t="inlineStr">
        <is>
          <t>volumen alto</t>
        </is>
      </c>
      <c r="F5" s="6" t="n"/>
      <c r="G5" s="4" t="n"/>
      <c r="H5" s="4" t="n"/>
      <c r="I5" s="7" t="n"/>
      <c r="J5" s="4" t="inlineStr">
        <is>
          <t>No</t>
        </is>
      </c>
      <c r="K5" s="8" t="n">
        <v>0.06859999999999999</v>
      </c>
      <c r="L5" s="6" t="n">
        <v>0.31</v>
      </c>
      <c r="M5" s="7" t="n">
        <v>0.317</v>
      </c>
      <c r="N5" s="4" t="inlineStr">
        <is>
          <t>No</t>
        </is>
      </c>
      <c r="O5" s="6" t="n">
        <v>0.29</v>
      </c>
      <c r="P5" s="4" t="inlineStr">
        <is>
          <t>ACOS predicho 32% &gt; 30%</t>
        </is>
      </c>
    </row>
    <row r="6">
      <c r="A6" s="4" t="inlineStr">
        <is>
          <t>soporte telefono coche rejilla redonda</t>
        </is>
      </c>
      <c r="B6" s="4" t="inlineStr">
        <is>
          <t>2026-09-28</t>
        </is>
      </c>
      <c r="C6" s="4" t="inlineStr">
        <is>
          <t>Autocompletado Amazon</t>
        </is>
      </c>
      <c r="D6" s="4" t="n">
        <v>1</v>
      </c>
      <c r="E6" s="4" t="inlineStr">
        <is>
          <t>volumen alto</t>
        </is>
      </c>
      <c r="F6" s="6" t="n"/>
      <c r="G6" s="4" t="n"/>
      <c r="H6" s="4" t="n"/>
      <c r="I6" s="7" t="n"/>
      <c r="J6" s="4" t="inlineStr">
        <is>
          <t>No</t>
        </is>
      </c>
      <c r="K6" s="8" t="n">
        <v>0.06560000000000001</v>
      </c>
      <c r="L6" s="6" t="n">
        <v>0.31</v>
      </c>
      <c r="M6" s="7" t="n">
        <v>0.331</v>
      </c>
      <c r="N6" s="4" t="inlineStr">
        <is>
          <t>No</t>
        </is>
      </c>
      <c r="O6" s="6" t="n">
        <v>0.28</v>
      </c>
      <c r="P6" s="4" t="inlineStr">
        <is>
          <t>ACOS predicho 33% &gt; 30%</t>
        </is>
      </c>
    </row>
    <row r="7">
      <c r="A7" s="4" t="inlineStr">
        <is>
          <t>soporte movil coche ventilación redonda</t>
        </is>
      </c>
      <c r="B7" s="4" t="inlineStr">
        <is>
          <t>2026-09-28</t>
        </is>
      </c>
      <c r="C7" s="4" t="inlineStr">
        <is>
          <t>Autocompletado Amazon</t>
        </is>
      </c>
      <c r="D7" s="4" t="n">
        <v>1</v>
      </c>
      <c r="E7" s="4" t="inlineStr">
        <is>
          <t>volumen medio</t>
        </is>
      </c>
      <c r="F7" s="6" t="n"/>
      <c r="G7" s="4" t="n"/>
      <c r="H7" s="4" t="n"/>
      <c r="I7" s="7" t="n"/>
      <c r="J7" s="4" t="inlineStr">
        <is>
          <t>No</t>
        </is>
      </c>
      <c r="K7" s="8" t="n">
        <v>0.0624</v>
      </c>
      <c r="L7" s="6" t="n">
        <v>0.31</v>
      </c>
      <c r="M7" s="7" t="n">
        <v>0.348</v>
      </c>
      <c r="N7" s="4" t="inlineStr">
        <is>
          <t>No</t>
        </is>
      </c>
      <c r="O7" s="6" t="n">
        <v>0.27</v>
      </c>
      <c r="P7" s="4" t="inlineStr">
        <is>
          <t>ACOS predicho 35% &gt; 30%</t>
        </is>
      </c>
    </row>
    <row r="8">
      <c r="A8" s="4" t="inlineStr">
        <is>
          <t>soporte movil coche ventilacion vertical</t>
        </is>
      </c>
      <c r="B8" s="4" t="inlineStr">
        <is>
          <t>2026-09-28</t>
        </is>
      </c>
      <c r="C8" s="4" t="inlineStr">
        <is>
          <t>Autocompletado Amazon</t>
        </is>
      </c>
      <c r="D8" s="4" t="n">
        <v>1</v>
      </c>
      <c r="E8" s="4" t="inlineStr">
        <is>
          <t>volumen alto</t>
        </is>
      </c>
      <c r="F8" s="6" t="n"/>
      <c r="G8" s="4" t="n"/>
      <c r="H8" s="4" t="n"/>
      <c r="I8" s="7" t="n"/>
      <c r="J8" s="4" t="inlineStr">
        <is>
          <t>No</t>
        </is>
      </c>
      <c r="K8" s="8" t="n">
        <v>0.0624</v>
      </c>
      <c r="L8" s="6" t="n">
        <v>0.31</v>
      </c>
      <c r="M8" s="7" t="n">
        <v>0.348</v>
      </c>
      <c r="N8" s="4" t="inlineStr">
        <is>
          <t>No</t>
        </is>
      </c>
      <c r="O8" s="6" t="n">
        <v>0.27</v>
      </c>
      <c r="P8" s="4" t="inlineStr">
        <is>
          <t>ACOS predicho 35% &gt; 30%</t>
        </is>
      </c>
    </row>
    <row r="9">
      <c r="A9" s="4" t="inlineStr">
        <is>
          <t>soporte movil ventilacion</t>
        </is>
      </c>
      <c r="B9" s="4" t="inlineStr">
        <is>
          <t>2026-09-28</t>
        </is>
      </c>
      <c r="C9" s="4" t="inlineStr">
        <is>
          <t>Autocompletado Amazon</t>
        </is>
      </c>
      <c r="D9" s="4" t="n">
        <v>1</v>
      </c>
      <c r="E9" s="4" t="inlineStr">
        <is>
          <t>volumen alto</t>
        </is>
      </c>
      <c r="F9" s="6" t="n"/>
      <c r="G9" s="4" t="n"/>
      <c r="H9" s="4" t="n"/>
      <c r="I9" s="7" t="n"/>
      <c r="J9" s="4" t="inlineStr">
        <is>
          <t>No</t>
        </is>
      </c>
      <c r="K9" s="8" t="n">
        <v>0.0562</v>
      </c>
      <c r="L9" s="6" t="n">
        <v>0.31</v>
      </c>
      <c r="M9" s="7" t="n">
        <v>0.387</v>
      </c>
      <c r="N9" s="4" t="inlineStr">
        <is>
          <t>No</t>
        </is>
      </c>
      <c r="O9" s="6" t="n">
        <v>0.24</v>
      </c>
      <c r="P9" s="4" t="inlineStr">
        <is>
          <t>ACOS predicho 39% &gt; 30%</t>
        </is>
      </c>
    </row>
    <row r="10">
      <c r="A10" s="4" t="inlineStr">
        <is>
          <t>porta móvil de rejilla ajustable 360</t>
        </is>
      </c>
      <c r="B10" s="4" t="inlineStr">
        <is>
          <t>—</t>
        </is>
      </c>
      <c r="C10" s="4" t="inlineStr">
        <is>
          <t>Recomendada ML</t>
        </is>
      </c>
      <c r="D10" s="4" t="n">
        <v>1</v>
      </c>
      <c r="E10" s="4" t="inlineStr"/>
      <c r="F10" s="6" t="n"/>
      <c r="G10" s="4" t="n"/>
      <c r="H10" s="4" t="n"/>
      <c r="I10" s="7" t="n"/>
      <c r="J10" s="4" t="inlineStr">
        <is>
          <t>No</t>
        </is>
      </c>
      <c r="K10" s="8" t="n">
        <v>0.0546</v>
      </c>
      <c r="L10" s="6" t="n">
        <v>0.31</v>
      </c>
      <c r="M10" s="7" t="n">
        <v>0.398</v>
      </c>
      <c r="N10" s="4" t="inlineStr">
        <is>
          <t>No</t>
        </is>
      </c>
      <c r="O10" s="6" t="n">
        <v>0.23</v>
      </c>
      <c r="P10" s="4" t="inlineStr">
        <is>
          <t>ACOS predicho 40% &gt; 30%</t>
        </is>
      </c>
    </row>
    <row r="11">
      <c r="A11" s="4" t="inlineStr">
        <is>
          <t>soporte movil ventilacion redonda</t>
        </is>
      </c>
      <c r="B11" s="4" t="inlineStr">
        <is>
          <t>2026-09-28</t>
        </is>
      </c>
      <c r="C11" s="4" t="inlineStr">
        <is>
          <t>Autocompletado Amazon</t>
        </is>
      </c>
      <c r="D11" s="4" t="n">
        <v>1</v>
      </c>
      <c r="E11" s="4" t="inlineStr">
        <is>
          <t>volumen alto</t>
        </is>
      </c>
      <c r="F11" s="6" t="n"/>
      <c r="G11" s="4" t="n"/>
      <c r="H11" s="4" t="n"/>
      <c r="I11" s="7" t="n"/>
      <c r="J11" s="4" t="inlineStr">
        <is>
          <t>No</t>
        </is>
      </c>
      <c r="K11" s="8" t="n">
        <v>0.0537</v>
      </c>
      <c r="L11" s="6" t="n">
        <v>0.31</v>
      </c>
      <c r="M11" s="7" t="n">
        <v>0.405</v>
      </c>
      <c r="N11" s="4" t="inlineStr">
        <is>
          <t>No</t>
        </is>
      </c>
      <c r="O11" s="6" t="n">
        <v>0.23</v>
      </c>
      <c r="P11" s="4" t="inlineStr">
        <is>
          <t>ACOS predicho 41% &gt; 30%</t>
        </is>
      </c>
    </row>
    <row r="12">
      <c r="A12" s="4" t="inlineStr">
        <is>
          <t>soporte movil rejilla ventilacion redonda</t>
        </is>
      </c>
      <c r="B12" s="4" t="inlineStr">
        <is>
          <t>2026-09-28</t>
        </is>
      </c>
      <c r="C12" s="4" t="inlineStr">
        <is>
          <t>Autocompletado Amazon</t>
        </is>
      </c>
      <c r="D12" s="4" t="n">
        <v>1</v>
      </c>
      <c r="E12" s="4" t="inlineStr">
        <is>
          <t>volumen bajo</t>
        </is>
      </c>
      <c r="F12" s="6" t="n"/>
      <c r="G12" s="4" t="n"/>
      <c r="H12" s="4" t="n"/>
      <c r="I12" s="7" t="n"/>
      <c r="J12" s="4" t="inlineStr">
        <is>
          <t>No</t>
        </is>
      </c>
      <c r="K12" s="8" t="n">
        <v>0.053</v>
      </c>
      <c r="L12" s="6" t="n">
        <v>0.31</v>
      </c>
      <c r="M12" s="7" t="n">
        <v>0.41</v>
      </c>
      <c r="N12" s="4" t="inlineStr">
        <is>
          <t>No</t>
        </is>
      </c>
      <c r="O12" s="6" t="n">
        <v>0.23</v>
      </c>
      <c r="P12" s="4" t="inlineStr">
        <is>
          <t>ACOS predicho 41% &gt; 30%</t>
        </is>
      </c>
    </row>
    <row r="13">
      <c r="A13" s="4" t="inlineStr">
        <is>
          <t>soporte de telefono para coche rejilla de aire iphone</t>
        </is>
      </c>
      <c r="B13" s="4" t="inlineStr">
        <is>
          <t>2026-09-28</t>
        </is>
      </c>
      <c r="C13" s="4" t="inlineStr">
        <is>
          <t>Autocompletado Amazon</t>
        </is>
      </c>
      <c r="D13" s="4" t="n">
        <v>1</v>
      </c>
      <c r="E13" s="4" t="inlineStr">
        <is>
          <t>volumen medio</t>
        </is>
      </c>
      <c r="F13" s="6" t="n"/>
      <c r="G13" s="4" t="n"/>
      <c r="H13" s="4" t="n"/>
      <c r="I13" s="7" t="n"/>
      <c r="J13" s="4" t="inlineStr">
        <is>
          <t>No</t>
        </is>
      </c>
      <c r="K13" s="8" t="n">
        <v>0.0517</v>
      </c>
      <c r="L13" s="6" t="n">
        <v>0.31</v>
      </c>
      <c r="M13" s="7" t="n">
        <v>0.42</v>
      </c>
      <c r="N13" s="4" t="inlineStr">
        <is>
          <t>No</t>
        </is>
      </c>
      <c r="O13" s="6" t="n">
        <v>0.22</v>
      </c>
      <c r="P13" s="4" t="inlineStr">
        <is>
          <t>ACOS predicho 42% &gt; 30%</t>
        </is>
      </c>
    </row>
    <row r="14">
      <c r="A14" s="4" t="inlineStr">
        <is>
          <t>soporte movil rejilla redonda</t>
        </is>
      </c>
      <c r="B14" s="4" t="inlineStr">
        <is>
          <t>2026-09-28</t>
        </is>
      </c>
      <c r="C14" s="4" t="inlineStr">
        <is>
          <t>Autocompletado Amazon, Reseñas competencia</t>
        </is>
      </c>
      <c r="D14" s="4" t="n">
        <v>2</v>
      </c>
      <c r="E14" s="4" t="inlineStr">
        <is>
          <t>volumen alto</t>
        </is>
      </c>
      <c r="F14" s="6" t="n"/>
      <c r="G14" s="4" t="n"/>
      <c r="H14" s="4" t="n"/>
      <c r="I14" s="7" t="n"/>
      <c r="J14" s="4" t="inlineStr">
        <is>
          <t>No</t>
        </is>
      </c>
      <c r="K14" s="8" t="n">
        <v>0.05</v>
      </c>
      <c r="L14" s="6" t="n">
        <v>0.31</v>
      </c>
      <c r="M14" s="7" t="n">
        <v>0.435</v>
      </c>
      <c r="N14" s="4" t="inlineStr">
        <is>
          <t>No</t>
        </is>
      </c>
      <c r="O14" s="6" t="n">
        <v>0.21</v>
      </c>
      <c r="P14" s="4" t="inlineStr">
        <is>
          <t>ACOS predicho 43% &gt; 30%</t>
        </is>
      </c>
    </row>
    <row r="15">
      <c r="A15" s="4" t="inlineStr">
        <is>
          <t>soporte movil rejilla circular</t>
        </is>
      </c>
      <c r="B15" s="4" t="inlineStr">
        <is>
          <t>2026-09-28</t>
        </is>
      </c>
      <c r="C15" s="4" t="inlineStr">
        <is>
          <t>Autocompletado Amazon</t>
        </is>
      </c>
      <c r="D15" s="4" t="n">
        <v>1</v>
      </c>
      <c r="E15" s="4" t="inlineStr">
        <is>
          <t>volumen medio</t>
        </is>
      </c>
      <c r="F15" s="6" t="n"/>
      <c r="G15" s="4" t="n"/>
      <c r="H15" s="4" t="n"/>
      <c r="I15" s="7" t="n"/>
      <c r="J15" s="4" t="inlineStr">
        <is>
          <t>No</t>
        </is>
      </c>
      <c r="K15" s="8" t="n">
        <v>0.05</v>
      </c>
      <c r="L15" s="6" t="n">
        <v>0.31</v>
      </c>
      <c r="M15" s="7" t="n">
        <v>0.435</v>
      </c>
      <c r="N15" s="4" t="inlineStr">
        <is>
          <t>No</t>
        </is>
      </c>
      <c r="O15" s="6" t="n">
        <v>0.21</v>
      </c>
      <c r="P15" s="4" t="inlineStr">
        <is>
          <t>ACOS predicho 43% &gt; 30%</t>
        </is>
      </c>
    </row>
    <row r="16">
      <c r="A16" s="4" t="inlineStr">
        <is>
          <t>soporte movil rejilla vertical</t>
        </is>
      </c>
      <c r="B16" s="4" t="inlineStr">
        <is>
          <t>2026-09-28</t>
        </is>
      </c>
      <c r="C16" s="4" t="inlineStr">
        <is>
          <t>Autocompletado Amazon</t>
        </is>
      </c>
      <c r="D16" s="4" t="n">
        <v>1</v>
      </c>
      <c r="E16" s="4" t="inlineStr">
        <is>
          <t>volumen bajo</t>
        </is>
      </c>
      <c r="F16" s="6" t="n"/>
      <c r="G16" s="4" t="n"/>
      <c r="H16" s="4" t="n"/>
      <c r="I16" s="7" t="n"/>
      <c r="J16" s="4" t="inlineStr">
        <is>
          <t>No</t>
        </is>
      </c>
      <c r="K16" s="8" t="n">
        <v>0.05</v>
      </c>
      <c r="L16" s="6" t="n">
        <v>0.31</v>
      </c>
      <c r="M16" s="7" t="n">
        <v>0.435</v>
      </c>
      <c r="N16" s="4" t="inlineStr">
        <is>
          <t>No</t>
        </is>
      </c>
      <c r="O16" s="6" t="n">
        <v>0.21</v>
      </c>
      <c r="P16" s="4" t="inlineStr">
        <is>
          <t>ACOS predicho 43% &gt; 30%</t>
        </is>
      </c>
    </row>
    <row r="17">
      <c r="A17" s="4" t="inlineStr">
        <is>
          <t>soporte movil coche doble gancho</t>
        </is>
      </c>
      <c r="B17" s="4" t="inlineStr">
        <is>
          <t>2026-09-28</t>
        </is>
      </c>
      <c r="C17" s="4" t="inlineStr">
        <is>
          <t>Autocompletado Amazon, Reseñas competencia</t>
        </is>
      </c>
      <c r="D17" s="4" t="n">
        <v>2</v>
      </c>
      <c r="E17" s="4" t="inlineStr">
        <is>
          <t>volumen bajo</t>
        </is>
      </c>
      <c r="F17" s="6" t="n"/>
      <c r="G17" s="4" t="n"/>
      <c r="H17" s="4" t="n"/>
      <c r="I17" s="7" t="n"/>
      <c r="J17" s="4" t="inlineStr">
        <is>
          <t>No</t>
        </is>
      </c>
      <c r="K17" s="8" t="n">
        <v>0.0471</v>
      </c>
      <c r="L17" s="6" t="n">
        <v>0.31</v>
      </c>
      <c r="M17" s="7" t="n">
        <v>0.462</v>
      </c>
      <c r="N17" s="4" t="inlineStr">
        <is>
          <t>No</t>
        </is>
      </c>
      <c r="O17" s="6" t="n">
        <v>0.2</v>
      </c>
      <c r="P17" s="4" t="inlineStr">
        <is>
          <t>ACOS predicho 46% &gt; 30%</t>
        </is>
      </c>
    </row>
    <row r="18">
      <c r="A18" s="4" t="inlineStr">
        <is>
          <t>soporte movil coche clip gancho</t>
        </is>
      </c>
      <c r="B18" s="4" t="inlineStr">
        <is>
          <t>2026-09-28</t>
        </is>
      </c>
      <c r="C18" s="4" t="inlineStr">
        <is>
          <t>RMIQ (IA)</t>
        </is>
      </c>
      <c r="D18" s="4" t="n">
        <v>1</v>
      </c>
      <c r="E18" s="4" t="inlineStr">
        <is>
          <t>volumen desconocido</t>
        </is>
      </c>
      <c r="F18" s="6" t="n"/>
      <c r="G18" s="4" t="n"/>
      <c r="H18" s="4" t="n"/>
      <c r="I18" s="7" t="n"/>
      <c r="J18" s="4" t="inlineStr">
        <is>
          <t>No</t>
        </is>
      </c>
      <c r="K18" s="8" t="n">
        <v>0.0471</v>
      </c>
      <c r="L18" s="6" t="n">
        <v>0.31</v>
      </c>
      <c r="M18" s="7" t="n">
        <v>0.462</v>
      </c>
      <c r="N18" s="4" t="inlineStr">
        <is>
          <t>No</t>
        </is>
      </c>
      <c r="O18" s="6" t="n">
        <v>0.2</v>
      </c>
      <c r="P18" s="4" t="inlineStr">
        <is>
          <t>ACOS predicho 46% &gt; 30%</t>
        </is>
      </c>
    </row>
    <row r="19">
      <c r="A19" s="4" t="inlineStr">
        <is>
          <t>soporte movil rejilla no se cae</t>
        </is>
      </c>
      <c r="B19" s="4" t="inlineStr">
        <is>
          <t>2026-09-28</t>
        </is>
      </c>
      <c r="C19" s="4" t="inlineStr">
        <is>
          <t>Reseñas competencia</t>
        </is>
      </c>
      <c r="D19" s="4" t="n">
        <v>1</v>
      </c>
      <c r="E19" s="4" t="inlineStr"/>
      <c r="F19" s="6" t="n"/>
      <c r="G19" s="4" t="n"/>
      <c r="H19" s="4" t="n"/>
      <c r="I19" s="7" t="n"/>
      <c r="J19" s="4" t="inlineStr">
        <is>
          <t>No</t>
        </is>
      </c>
      <c r="K19" s="8" t="n">
        <v>0.0456</v>
      </c>
      <c r="L19" s="6" t="n">
        <v>0.31</v>
      </c>
      <c r="M19" s="7" t="n">
        <v>0.477</v>
      </c>
      <c r="N19" s="4" t="inlineStr">
        <is>
          <t>No</t>
        </is>
      </c>
      <c r="O19" s="6" t="n">
        <v>0.2</v>
      </c>
      <c r="P19" s="4" t="inlineStr">
        <is>
          <t>ACOS predicho 48% &gt; 30%</t>
        </is>
      </c>
    </row>
    <row r="20">
      <c r="A20" s="4" t="inlineStr">
        <is>
          <t>soporte movil rejilla coche universal</t>
        </is>
      </c>
      <c r="B20" s="4" t="inlineStr">
        <is>
          <t>2026-09-28</t>
        </is>
      </c>
      <c r="C20" s="4" t="inlineStr">
        <is>
          <t>Autocompletado Amazon</t>
        </is>
      </c>
      <c r="D20" s="4" t="n">
        <v>1</v>
      </c>
      <c r="E20" s="4" t="inlineStr">
        <is>
          <t>volumen bajo</t>
        </is>
      </c>
      <c r="F20" s="6" t="n"/>
      <c r="G20" s="4" t="n"/>
      <c r="H20" s="4" t="n"/>
      <c r="I20" s="7" t="n"/>
      <c r="J20" s="4" t="inlineStr">
        <is>
          <t>No</t>
        </is>
      </c>
      <c r="K20" s="8" t="n">
        <v>0.0445</v>
      </c>
      <c r="L20" s="6" t="n">
        <v>0.31</v>
      </c>
      <c r="M20" s="7" t="n">
        <v>0.488</v>
      </c>
      <c r="N20" s="4" t="inlineStr">
        <is>
          <t>No</t>
        </is>
      </c>
      <c r="O20" s="6" t="n">
        <v>0.19</v>
      </c>
      <c r="P20" s="4" t="inlineStr">
        <is>
          <t>ACOS predicho 49% &gt; 30%</t>
        </is>
      </c>
    </row>
    <row r="21">
      <c r="A21" s="4" t="inlineStr">
        <is>
          <t>soporte movil coche rejilla redonda</t>
        </is>
      </c>
      <c r="B21" s="4" t="inlineStr">
        <is>
          <t>2026-09-28</t>
        </is>
      </c>
      <c r="C21" s="4" t="inlineStr">
        <is>
          <t>Autocompletado Amazon</t>
        </is>
      </c>
      <c r="D21" s="4" t="n">
        <v>1</v>
      </c>
      <c r="E21" s="4" t="inlineStr">
        <is>
          <t>volumen alto</t>
        </is>
      </c>
      <c r="F21" s="6" t="n"/>
      <c r="G21" s="4" t="n"/>
      <c r="H21" s="4" t="n"/>
      <c r="I21" s="7" t="n"/>
      <c r="J21" s="4" t="inlineStr">
        <is>
          <t>No</t>
        </is>
      </c>
      <c r="K21" s="8" t="n">
        <v>0.0439</v>
      </c>
      <c r="L21" s="6" t="n">
        <v>0.31</v>
      </c>
      <c r="M21" s="7" t="n">
        <v>0.495</v>
      </c>
      <c r="N21" s="4" t="inlineStr">
        <is>
          <t>No</t>
        </is>
      </c>
      <c r="O21" s="6" t="n">
        <v>0.19</v>
      </c>
      <c r="P21" s="4" t="inlineStr">
        <is>
          <t>ACOS predicho 49% &gt; 30%</t>
        </is>
      </c>
    </row>
    <row r="22">
      <c r="A22" s="4" t="inlineStr">
        <is>
          <t>soporte movil coche rejilla vertical</t>
        </is>
      </c>
      <c r="B22" s="4" t="inlineStr">
        <is>
          <t>2026-09-28</t>
        </is>
      </c>
      <c r="C22" s="4" t="inlineStr">
        <is>
          <t>Autocompletado Amazon</t>
        </is>
      </c>
      <c r="D22" s="4" t="n">
        <v>1</v>
      </c>
      <c r="E22" s="4" t="inlineStr">
        <is>
          <t>volumen alto</t>
        </is>
      </c>
      <c r="F22" s="6" t="n"/>
      <c r="G22" s="4" t="n"/>
      <c r="H22" s="4" t="n"/>
      <c r="I22" s="7" t="n"/>
      <c r="J22" s="4" t="inlineStr">
        <is>
          <t>No</t>
        </is>
      </c>
      <c r="K22" s="8" t="n">
        <v>0.0439</v>
      </c>
      <c r="L22" s="6" t="n">
        <v>0.31</v>
      </c>
      <c r="M22" s="7" t="n">
        <v>0.495</v>
      </c>
      <c r="N22" s="4" t="inlineStr">
        <is>
          <t>No</t>
        </is>
      </c>
      <c r="O22" s="6" t="n">
        <v>0.19</v>
      </c>
      <c r="P22" s="4" t="inlineStr">
        <is>
          <t>ACOS predicho 49% &gt; 30%</t>
        </is>
      </c>
    </row>
    <row r="23">
      <c r="A23" s="4" t="inlineStr">
        <is>
          <t>soporte movil coche rejilla circular</t>
        </is>
      </c>
      <c r="B23" s="4" t="inlineStr">
        <is>
          <t>2026-09-28</t>
        </is>
      </c>
      <c r="C23" s="4" t="inlineStr">
        <is>
          <t>Autocompletado Amazon</t>
        </is>
      </c>
      <c r="D23" s="4" t="n">
        <v>1</v>
      </c>
      <c r="E23" s="4" t="inlineStr">
        <is>
          <t>volumen bajo</t>
        </is>
      </c>
      <c r="F23" s="6" t="n"/>
      <c r="G23" s="4" t="n"/>
      <c r="H23" s="4" t="n"/>
      <c r="I23" s="7" t="n"/>
      <c r="J23" s="4" t="inlineStr">
        <is>
          <t>No</t>
        </is>
      </c>
      <c r="K23" s="8" t="n">
        <v>0.0439</v>
      </c>
      <c r="L23" s="6" t="n">
        <v>0.31</v>
      </c>
      <c r="M23" s="7" t="n">
        <v>0.495</v>
      </c>
      <c r="N23" s="4" t="inlineStr">
        <is>
          <t>No</t>
        </is>
      </c>
      <c r="O23" s="6" t="n">
        <v>0.19</v>
      </c>
      <c r="P23" s="4" t="inlineStr">
        <is>
          <t>ACOS predicho 49% &gt; 30%</t>
        </is>
      </c>
    </row>
    <row r="24">
      <c r="A24" s="4" t="inlineStr">
        <is>
          <t>soporte movil coche rejilla horizontal</t>
        </is>
      </c>
      <c r="B24" s="4" t="inlineStr">
        <is>
          <t>2026-09-28</t>
        </is>
      </c>
      <c r="C24" s="4" t="inlineStr">
        <is>
          <t>Autocompletado Amazon</t>
        </is>
      </c>
      <c r="D24" s="4" t="n">
        <v>1</v>
      </c>
      <c r="E24" s="4" t="inlineStr">
        <is>
          <t>volumen bajo</t>
        </is>
      </c>
      <c r="F24" s="6" t="n"/>
      <c r="G24" s="4" t="n"/>
      <c r="H24" s="4" t="n"/>
      <c r="I24" s="7" t="n"/>
      <c r="J24" s="4" t="inlineStr">
        <is>
          <t>No</t>
        </is>
      </c>
      <c r="K24" s="8" t="n">
        <v>0.0439</v>
      </c>
      <c r="L24" s="6" t="n">
        <v>0.31</v>
      </c>
      <c r="M24" s="7" t="n">
        <v>0.495</v>
      </c>
      <c r="N24" s="4" t="inlineStr">
        <is>
          <t>No</t>
        </is>
      </c>
      <c r="O24" s="6" t="n">
        <v>0.19</v>
      </c>
      <c r="P24" s="4" t="inlineStr">
        <is>
          <t>ACOS predicho 49% &gt; 30%</t>
        </is>
      </c>
    </row>
    <row r="25">
      <c r="A25" s="4" t="inlineStr">
        <is>
          <t>soporte movil coche gancho metalico</t>
        </is>
      </c>
      <c r="B25" s="4" t="inlineStr">
        <is>
          <t>2026-09-28</t>
        </is>
      </c>
      <c r="C25" s="4" t="inlineStr">
        <is>
          <t>Autocompletado Amazon</t>
        </is>
      </c>
      <c r="D25" s="4" t="n">
        <v>1</v>
      </c>
      <c r="E25" s="4" t="inlineStr">
        <is>
          <t>volumen alto</t>
        </is>
      </c>
      <c r="F25" s="6" t="n"/>
      <c r="G25" s="4" t="n"/>
      <c r="H25" s="4" t="n"/>
      <c r="I25" s="7" t="n"/>
      <c r="J25" s="4" t="inlineStr">
        <is>
          <t>No</t>
        </is>
      </c>
      <c r="K25" s="8" t="n">
        <v>0.0437</v>
      </c>
      <c r="L25" s="6" t="n">
        <v>0.31</v>
      </c>
      <c r="M25" s="7" t="n">
        <v>0.497</v>
      </c>
      <c r="N25" s="4" t="inlineStr">
        <is>
          <t>No</t>
        </is>
      </c>
      <c r="O25" s="6" t="n">
        <v>0.19</v>
      </c>
      <c r="P25" s="4" t="inlineStr">
        <is>
          <t>ACOS predicho 50% &gt; 30%</t>
        </is>
      </c>
    </row>
    <row r="26">
      <c r="A26" s="4" t="inlineStr">
        <is>
          <t>sujeta movil coche rejilla</t>
        </is>
      </c>
      <c r="B26" s="4" t="inlineStr">
        <is>
          <t>2026-09-28</t>
        </is>
      </c>
      <c r="C26" s="4" t="inlineStr">
        <is>
          <t>Autocompletado Amazon</t>
        </is>
      </c>
      <c r="D26" s="4" t="n">
        <v>1</v>
      </c>
      <c r="E26" s="4" t="inlineStr">
        <is>
          <t>volumen alto</t>
        </is>
      </c>
      <c r="F26" s="6" t="n"/>
      <c r="G26" s="4" t="n"/>
      <c r="H26" s="4" t="n"/>
      <c r="I26" s="7" t="n"/>
      <c r="J26" s="4" t="inlineStr">
        <is>
          <t>No</t>
        </is>
      </c>
      <c r="K26" s="8" t="n">
        <v>0.0433</v>
      </c>
      <c r="L26" s="6" t="n">
        <v>0.31</v>
      </c>
      <c r="M26" s="7" t="n">
        <v>0.502</v>
      </c>
      <c r="N26" s="4" t="inlineStr">
        <is>
          <t>No</t>
        </is>
      </c>
      <c r="O26" s="6" t="n">
        <v>0.19</v>
      </c>
      <c r="P26" s="4" t="inlineStr">
        <is>
          <t>ACOS predicho 50% &gt; 30%</t>
        </is>
      </c>
    </row>
    <row r="27">
      <c r="A27" s="4" t="inlineStr">
        <is>
          <t>soporte móvil rejilla coche ajustable 360</t>
        </is>
      </c>
      <c r="B27" s="4" t="inlineStr">
        <is>
          <t>—</t>
        </is>
      </c>
      <c r="C27" s="4" t="inlineStr">
        <is>
          <t>Recomendada ML</t>
        </is>
      </c>
      <c r="D27" s="4" t="n">
        <v>1</v>
      </c>
      <c r="E27" s="4" t="inlineStr"/>
      <c r="F27" s="6" t="n"/>
      <c r="G27" s="4" t="n"/>
      <c r="H27" s="4" t="n"/>
      <c r="I27" s="7" t="n"/>
      <c r="J27" s="4" t="inlineStr">
        <is>
          <t>No</t>
        </is>
      </c>
      <c r="K27" s="8" t="n">
        <v>0.0425</v>
      </c>
      <c r="L27" s="6" t="n">
        <v>0.31</v>
      </c>
      <c r="M27" s="7" t="n">
        <v>0.511</v>
      </c>
      <c r="N27" s="4" t="inlineStr">
        <is>
          <t>No</t>
        </is>
      </c>
      <c r="O27" s="6" t="n">
        <v>0.18</v>
      </c>
      <c r="P27" s="4" t="inlineStr">
        <is>
          <t>ACOS predicho 51% &gt; 30%</t>
        </is>
      </c>
    </row>
    <row r="28">
      <c r="A28" s="4" t="inlineStr">
        <is>
          <t>soporte movil coche salida de aire</t>
        </is>
      </c>
      <c r="B28" s="4" t="inlineStr">
        <is>
          <t>2026-09-28</t>
        </is>
      </c>
      <c r="C28" s="4" t="inlineStr">
        <is>
          <t>Reseñas competencia</t>
        </is>
      </c>
      <c r="D28" s="4" t="n">
        <v>1</v>
      </c>
      <c r="E28" s="4" t="inlineStr"/>
      <c r="F28" s="6" t="n"/>
      <c r="G28" s="4" t="n"/>
      <c r="H28" s="4" t="n"/>
      <c r="I28" s="7" t="n"/>
      <c r="J28" s="4" t="inlineStr">
        <is>
          <t>No</t>
        </is>
      </c>
      <c r="K28" s="8" t="n">
        <v>0.0417</v>
      </c>
      <c r="L28" s="6" t="n">
        <v>0.31</v>
      </c>
      <c r="M28" s="7" t="n">
        <v>0.521</v>
      </c>
      <c r="N28" s="4" t="inlineStr">
        <is>
          <t>No</t>
        </is>
      </c>
      <c r="O28" s="6" t="n">
        <v>0.18</v>
      </c>
      <c r="P28" s="4" t="inlineStr">
        <is>
          <t>ACOS predicho 52% &gt; 30%</t>
        </is>
      </c>
    </row>
    <row r="29">
      <c r="A29" s="4" t="inlineStr">
        <is>
          <t>soporte movil rejilla aire</t>
        </is>
      </c>
      <c r="B29" s="4" t="inlineStr">
        <is>
          <t>2026-09-28</t>
        </is>
      </c>
      <c r="C29" s="4" t="inlineStr">
        <is>
          <t>Autocompletado Amazon</t>
        </is>
      </c>
      <c r="D29" s="4" t="n">
        <v>1</v>
      </c>
      <c r="E29" s="4" t="inlineStr">
        <is>
          <t>volumen medio</t>
        </is>
      </c>
      <c r="F29" s="6" t="n"/>
      <c r="G29" s="4" t="n"/>
      <c r="H29" s="4" t="n"/>
      <c r="I29" s="7" t="n"/>
      <c r="J29" s="4" t="inlineStr">
        <is>
          <t>No</t>
        </is>
      </c>
      <c r="K29" s="8" t="n">
        <v>0.0411</v>
      </c>
      <c r="L29" s="6" t="n">
        <v>0.31</v>
      </c>
      <c r="M29" s="7" t="n">
        <v>0.529</v>
      </c>
      <c r="N29" s="4" t="inlineStr">
        <is>
          <t>No</t>
        </is>
      </c>
      <c r="O29" s="6" t="n">
        <v>0.18</v>
      </c>
      <c r="P29" s="4" t="inlineStr">
        <is>
          <t>ACOS predicho 53% &gt; 30%</t>
        </is>
      </c>
    </row>
    <row r="30">
      <c r="A30" s="4" t="inlineStr">
        <is>
          <t>soporte movil coche rejilla gancho metalico</t>
        </is>
      </c>
      <c r="B30" s="4" t="inlineStr">
        <is>
          <t>2026-09-28</t>
        </is>
      </c>
      <c r="C30" s="4" t="inlineStr">
        <is>
          <t>Autocompletado Amazon</t>
        </is>
      </c>
      <c r="D30" s="4" t="n">
        <v>1</v>
      </c>
      <c r="E30" s="4" t="inlineStr">
        <is>
          <t>volumen medio</t>
        </is>
      </c>
      <c r="F30" s="6" t="n"/>
      <c r="G30" s="4" t="n"/>
      <c r="H30" s="4" t="n"/>
      <c r="I30" s="7" t="n"/>
      <c r="J30" s="4" t="inlineStr">
        <is>
          <t>No</t>
        </is>
      </c>
      <c r="K30" s="8" t="n">
        <v>0.0389</v>
      </c>
      <c r="L30" s="6" t="n">
        <v>0.31</v>
      </c>
      <c r="M30" s="7" t="n">
        <v>0.5580000000000001</v>
      </c>
      <c r="N30" s="4" t="inlineStr">
        <is>
          <t>No</t>
        </is>
      </c>
      <c r="O30" s="6" t="n">
        <v>0.17</v>
      </c>
      <c r="P30" s="4" t="inlineStr">
        <is>
          <t>ACOS predicho 56% &gt; 30%</t>
        </is>
      </c>
    </row>
    <row r="31">
      <c r="A31" s="4" t="inlineStr">
        <is>
          <t>soporte movil coche rejilla circular gancho</t>
        </is>
      </c>
      <c r="B31" s="4" t="inlineStr">
        <is>
          <t>2026-09-28</t>
        </is>
      </c>
      <c r="C31" s="4" t="inlineStr">
        <is>
          <t>Autocompletado Amazon</t>
        </is>
      </c>
      <c r="D31" s="4" t="n">
        <v>1</v>
      </c>
      <c r="E31" s="4" t="inlineStr">
        <is>
          <t>volumen alto</t>
        </is>
      </c>
      <c r="F31" s="6" t="n"/>
      <c r="G31" s="4" t="n"/>
      <c r="H31" s="4" t="n"/>
      <c r="I31" s="7" t="n"/>
      <c r="J31" s="4" t="inlineStr">
        <is>
          <t>No</t>
        </is>
      </c>
      <c r="K31" s="8" t="n">
        <v>0.0389</v>
      </c>
      <c r="L31" s="6" t="n">
        <v>0.31</v>
      </c>
      <c r="M31" s="7" t="n">
        <v>0.5580000000000001</v>
      </c>
      <c r="N31" s="4" t="inlineStr">
        <is>
          <t>No</t>
        </is>
      </c>
      <c r="O31" s="6" t="n">
        <v>0.17</v>
      </c>
      <c r="P31" s="4" t="inlineStr">
        <is>
          <t>ACOS predicho 56% &gt; 30%</t>
        </is>
      </c>
    </row>
    <row r="32">
      <c r="A32" s="4" t="inlineStr">
        <is>
          <t>soporte telefono ventilador coche</t>
        </is>
      </c>
      <c r="B32" s="4" t="inlineStr">
        <is>
          <t>2026-09-28</t>
        </is>
      </c>
      <c r="C32" s="4" t="inlineStr">
        <is>
          <t>Reseñas competencia</t>
        </is>
      </c>
      <c r="D32" s="4" t="n">
        <v>1</v>
      </c>
      <c r="E32" s="4" t="inlineStr"/>
      <c r="F32" s="6" t="n"/>
      <c r="G32" s="4" t="n"/>
      <c r="H32" s="4" t="n"/>
      <c r="I32" s="7" t="n"/>
      <c r="J32" s="4" t="inlineStr">
        <is>
          <t>No</t>
        </is>
      </c>
      <c r="K32" s="8" t="n">
        <v>0.0383</v>
      </c>
      <c r="L32" s="6" t="n">
        <v>0.32</v>
      </c>
      <c r="M32" s="7" t="n">
        <v>0.586</v>
      </c>
      <c r="N32" s="4" t="inlineStr">
        <is>
          <t>No</t>
        </is>
      </c>
      <c r="O32" s="6" t="n">
        <v>0.16</v>
      </c>
      <c r="P32" s="4" t="inlineStr">
        <is>
          <t>ACOS predicho 59% &gt; 30%</t>
        </is>
      </c>
    </row>
    <row r="33">
      <c r="A33" s="4" t="inlineStr">
        <is>
          <t>soporte movil rejilla aire acondicionado</t>
        </is>
      </c>
      <c r="B33" s="4" t="inlineStr">
        <is>
          <t>2026-09-28</t>
        </is>
      </c>
      <c r="C33" s="4" t="inlineStr">
        <is>
          <t>Reseñas competencia</t>
        </is>
      </c>
      <c r="D33" s="4" t="n">
        <v>1</v>
      </c>
      <c r="E33" s="4" t="inlineStr"/>
      <c r="F33" s="6" t="n"/>
      <c r="G33" s="4" t="n"/>
      <c r="H33" s="4" t="n"/>
      <c r="I33" s="7" t="n"/>
      <c r="J33" s="4" t="inlineStr">
        <is>
          <t>No</t>
        </is>
      </c>
      <c r="K33" s="8" t="n">
        <v>0.0364</v>
      </c>
      <c r="L33" s="6" t="n">
        <v>0.31</v>
      </c>
      <c r="M33" s="7" t="n">
        <v>0.598</v>
      </c>
      <c r="N33" s="4" t="inlineStr">
        <is>
          <t>No</t>
        </is>
      </c>
      <c r="O33" s="6" t="n">
        <v>0.16</v>
      </c>
      <c r="P33" s="4" t="inlineStr">
        <is>
          <t>ACOS predicho 60% &gt; 30%</t>
        </is>
      </c>
    </row>
    <row r="34">
      <c r="A34" s="4" t="inlineStr">
        <is>
          <t>soporte movil coche rejilla aire</t>
        </is>
      </c>
      <c r="B34" s="4" t="inlineStr">
        <is>
          <t>2026-09-28</t>
        </is>
      </c>
      <c r="C34" s="4" t="inlineStr">
        <is>
          <t>Autocompletado Amazon</t>
        </is>
      </c>
      <c r="D34" s="4" t="n">
        <v>1</v>
      </c>
      <c r="E34" s="4" t="inlineStr">
        <is>
          <t>volumen medio</t>
        </is>
      </c>
      <c r="F34" s="6" t="n"/>
      <c r="G34" s="4" t="n"/>
      <c r="H34" s="4" t="n"/>
      <c r="I34" s="7" t="n"/>
      <c r="J34" s="4" t="inlineStr">
        <is>
          <t>No</t>
        </is>
      </c>
      <c r="K34" s="8" t="n">
        <v>0.0361</v>
      </c>
      <c r="L34" s="6" t="n">
        <v>0.31</v>
      </c>
      <c r="M34" s="7" t="n">
        <v>0.602</v>
      </c>
      <c r="N34" s="4" t="inlineStr">
        <is>
          <t>No</t>
        </is>
      </c>
      <c r="O34" s="6" t="n">
        <v>0.15</v>
      </c>
      <c r="P34" s="4" t="inlineStr">
        <is>
          <t>ACOS predicho 60% &gt; 30%</t>
        </is>
      </c>
    </row>
    <row r="35">
      <c r="A35" s="4" t="inlineStr">
        <is>
          <t>soporte movil toma de aire coche</t>
        </is>
      </c>
      <c r="B35" s="4" t="inlineStr">
        <is>
          <t>2026-09-28</t>
        </is>
      </c>
      <c r="C35" s="4" t="inlineStr">
        <is>
          <t>Reseñas competencia</t>
        </is>
      </c>
      <c r="D35" s="4" t="n">
        <v>1</v>
      </c>
      <c r="E35" s="4" t="inlineStr"/>
      <c r="F35" s="6" t="n"/>
      <c r="G35" s="4" t="n"/>
      <c r="H35" s="4" t="n"/>
      <c r="I35" s="7" t="n"/>
      <c r="J35" s="4" t="inlineStr">
        <is>
          <t>No</t>
        </is>
      </c>
      <c r="K35" s="8" t="n">
        <v>0.0354</v>
      </c>
      <c r="L35" s="6" t="n">
        <v>0.31</v>
      </c>
      <c r="M35" s="7" t="n">
        <v>0.615</v>
      </c>
      <c r="N35" s="4" t="inlineStr">
        <is>
          <t>No</t>
        </is>
      </c>
      <c r="O35" s="6" t="n">
        <v>0.15</v>
      </c>
      <c r="P35" s="4" t="inlineStr">
        <is>
          <t>ACOS predicho 61% &gt; 30%</t>
        </is>
      </c>
    </row>
    <row r="36">
      <c r="A36" s="4" t="inlineStr">
        <is>
          <t>soporte movil coche para rejilla redonda de aire</t>
        </is>
      </c>
      <c r="B36" s="4" t="inlineStr">
        <is>
          <t>2026-09-28</t>
        </is>
      </c>
      <c r="C36" s="4" t="inlineStr">
        <is>
          <t>Autocompletado Amazon</t>
        </is>
      </c>
      <c r="D36" s="4" t="n">
        <v>1</v>
      </c>
      <c r="E36" s="4" t="inlineStr">
        <is>
          <t>volumen medio</t>
        </is>
      </c>
      <c r="F36" s="6" t="n"/>
      <c r="G36" s="4" t="n"/>
      <c r="H36" s="4" t="n"/>
      <c r="I36" s="7" t="n"/>
      <c r="J36" s="4" t="inlineStr">
        <is>
          <t>No</t>
        </is>
      </c>
      <c r="K36" s="8" t="n">
        <v>0.0345</v>
      </c>
      <c r="L36" s="6" t="n">
        <v>0.31</v>
      </c>
      <c r="M36" s="7" t="n">
        <v>0.63</v>
      </c>
      <c r="N36" s="4" t="inlineStr">
        <is>
          <t>No</t>
        </is>
      </c>
      <c r="O36" s="6" t="n">
        <v>0.15</v>
      </c>
      <c r="P36" s="4" t="inlineStr">
        <is>
          <t>ACOS predicho 63% &gt; 30%</t>
        </is>
      </c>
    </row>
    <row r="37">
      <c r="A37" s="4" t="inlineStr">
        <is>
          <t>soporte movil coche aire redondo</t>
        </is>
      </c>
      <c r="B37" s="4" t="inlineStr">
        <is>
          <t>2026-09-28</t>
        </is>
      </c>
      <c r="C37" s="4" t="inlineStr">
        <is>
          <t>Autocompletado Amazon</t>
        </is>
      </c>
      <c r="D37" s="4" t="n">
        <v>1</v>
      </c>
      <c r="E37" s="4" t="inlineStr">
        <is>
          <t>volumen alto</t>
        </is>
      </c>
      <c r="F37" s="6" t="n"/>
      <c r="G37" s="4" t="n"/>
      <c r="H37" s="4" t="n"/>
      <c r="I37" s="7" t="n"/>
      <c r="J37" s="4" t="inlineStr">
        <is>
          <t>No</t>
        </is>
      </c>
      <c r="K37" s="8" t="n">
        <v>0.0343</v>
      </c>
      <c r="L37" s="6" t="n">
        <v>0.31</v>
      </c>
      <c r="M37" s="7" t="n">
        <v>0.634</v>
      </c>
      <c r="N37" s="4" t="inlineStr">
        <is>
          <t>No</t>
        </is>
      </c>
      <c r="O37" s="6" t="n">
        <v>0.15</v>
      </c>
      <c r="P37" s="4" t="inlineStr">
        <is>
          <t>ACOS predicho 63% &gt; 30%</t>
        </is>
      </c>
    </row>
    <row r="38">
      <c r="A38" s="4" t="inlineStr">
        <is>
          <t>soporte movil clip</t>
        </is>
      </c>
      <c r="B38" s="4" t="inlineStr">
        <is>
          <t>2026-09-28</t>
        </is>
      </c>
      <c r="C38" s="4" t="inlineStr">
        <is>
          <t>Constructor Amazon Ads</t>
        </is>
      </c>
      <c r="D38" s="4" t="n">
        <v>1</v>
      </c>
      <c r="E38" s="4" t="inlineStr">
        <is>
          <t>volumen IS 0</t>
        </is>
      </c>
      <c r="F38" s="6" t="n">
        <v>0.46</v>
      </c>
      <c r="G38" s="4" t="n"/>
      <c r="H38" s="4" t="n"/>
      <c r="I38" s="7" t="n"/>
      <c r="J38" s="4" t="inlineStr">
        <is>
          <t>No</t>
        </is>
      </c>
      <c r="K38" s="8" t="n">
        <v>0.0506</v>
      </c>
      <c r="L38" s="6" t="n">
        <v>0.46</v>
      </c>
      <c r="M38" s="7" t="n">
        <v>0.637</v>
      </c>
      <c r="N38" s="4" t="inlineStr">
        <is>
          <t>No</t>
        </is>
      </c>
      <c r="O38" s="6" t="n">
        <v>0.22</v>
      </c>
      <c r="P38" s="4" t="inlineStr">
        <is>
          <t>ACOS predicho 64% &gt; 30%</t>
        </is>
      </c>
    </row>
    <row r="39">
      <c r="A39" s="4" t="inlineStr">
        <is>
          <t>soporte movil coche fijo</t>
        </is>
      </c>
      <c r="B39" s="4" t="inlineStr">
        <is>
          <t>2026-09-28</t>
        </is>
      </c>
      <c r="C39" s="4" t="inlineStr">
        <is>
          <t>Constructor Amazon Ads</t>
        </is>
      </c>
      <c r="D39" s="4" t="n">
        <v>1</v>
      </c>
      <c r="E39" s="4" t="inlineStr">
        <is>
          <t>volumen IS 0</t>
        </is>
      </c>
      <c r="F39" s="6" t="n">
        <v>0.24</v>
      </c>
      <c r="G39" s="4" t="n"/>
      <c r="H39" s="4" t="n"/>
      <c r="I39" s="7" t="n"/>
      <c r="J39" s="4" t="inlineStr">
        <is>
          <t>No</t>
        </is>
      </c>
      <c r="K39" s="8" t="n">
        <v>0.0254</v>
      </c>
      <c r="L39" s="6" t="n">
        <v>0.24</v>
      </c>
      <c r="M39" s="7" t="n">
        <v>0.662</v>
      </c>
      <c r="N39" s="4" t="inlineStr">
        <is>
          <t>No</t>
        </is>
      </c>
      <c r="O39" s="6" t="n">
        <v>0.11</v>
      </c>
      <c r="P39" s="4" t="inlineStr">
        <is>
          <t>ACOS predicho 66% &gt; 30%</t>
        </is>
      </c>
    </row>
    <row r="40">
      <c r="A40" s="4" t="inlineStr">
        <is>
          <t>soporte movil 360</t>
        </is>
      </c>
      <c r="B40" s="4" t="inlineStr">
        <is>
          <t>2026-09-28</t>
        </is>
      </c>
      <c r="C40" s="4" t="inlineStr">
        <is>
          <t>Constructor Amazon Ads</t>
        </is>
      </c>
      <c r="D40" s="4" t="n">
        <v>1</v>
      </c>
      <c r="E40" s="4" t="inlineStr">
        <is>
          <t>volumen IS 0</t>
        </is>
      </c>
      <c r="F40" s="6" t="n">
        <v>0.24</v>
      </c>
      <c r="G40" s="4" t="n"/>
      <c r="H40" s="4" t="n"/>
      <c r="I40" s="7" t="n"/>
      <c r="J40" s="4" t="inlineStr">
        <is>
          <t>No</t>
        </is>
      </c>
      <c r="K40" s="8" t="n">
        <v>0.0242</v>
      </c>
      <c r="L40" s="6" t="n">
        <v>0.24</v>
      </c>
      <c r="M40" s="7" t="n">
        <v>0.696</v>
      </c>
      <c r="N40" s="4" t="inlineStr">
        <is>
          <t>No</t>
        </is>
      </c>
      <c r="O40" s="6" t="n">
        <v>0.1</v>
      </c>
      <c r="P40" s="4" t="inlineStr">
        <is>
          <t>ACOS predicho 70% &gt; 30%</t>
        </is>
      </c>
    </row>
    <row r="41">
      <c r="A41" s="4" t="inlineStr">
        <is>
          <t>soporte movil coche aire acondicionado vertical</t>
        </is>
      </c>
      <c r="B41" s="4" t="inlineStr">
        <is>
          <t>2026-09-28</t>
        </is>
      </c>
      <c r="C41" s="4" t="inlineStr">
        <is>
          <t>Autocompletado Amazon</t>
        </is>
      </c>
      <c r="D41" s="4" t="n">
        <v>1</v>
      </c>
      <c r="E41" s="4" t="inlineStr">
        <is>
          <t>volumen medio</t>
        </is>
      </c>
      <c r="F41" s="6" t="n"/>
      <c r="G41" s="4" t="n"/>
      <c r="H41" s="4" t="n"/>
      <c r="I41" s="7" t="n"/>
      <c r="J41" s="4" t="inlineStr">
        <is>
          <t>No</t>
        </is>
      </c>
      <c r="K41" s="8" t="n">
        <v>0.0303</v>
      </c>
      <c r="L41" s="6" t="n">
        <v>0.31</v>
      </c>
      <c r="M41" s="7" t="n">
        <v>0.717</v>
      </c>
      <c r="N41" s="4" t="inlineStr">
        <is>
          <t>No</t>
        </is>
      </c>
      <c r="O41" s="6" t="n">
        <v>0.13</v>
      </c>
      <c r="P41" s="4" t="inlineStr">
        <is>
          <t>ACOS predicho 72% &gt; 30%</t>
        </is>
      </c>
    </row>
    <row r="42">
      <c r="A42" s="4" t="inlineStr">
        <is>
          <t>soporte movil 360 grados</t>
        </is>
      </c>
      <c r="B42" s="4" t="inlineStr">
        <is>
          <t>2026-09-28</t>
        </is>
      </c>
      <c r="C42" s="4" t="inlineStr">
        <is>
          <t>Constructor Amazon Ads</t>
        </is>
      </c>
      <c r="D42" s="4" t="n">
        <v>1</v>
      </c>
      <c r="E42" s="4" t="inlineStr">
        <is>
          <t>volumen IS 0</t>
        </is>
      </c>
      <c r="F42" s="6" t="n">
        <v>0.24</v>
      </c>
      <c r="G42" s="4" t="n"/>
      <c r="H42" s="4" t="n"/>
      <c r="I42" s="7" t="n"/>
      <c r="J42" s="4" t="inlineStr">
        <is>
          <t>No</t>
        </is>
      </c>
      <c r="K42" s="8" t="n">
        <v>0.0231</v>
      </c>
      <c r="L42" s="6" t="n">
        <v>0.24</v>
      </c>
      <c r="M42" s="7" t="n">
        <v>0.729</v>
      </c>
      <c r="N42" s="4" t="inlineStr">
        <is>
          <t>No</t>
        </is>
      </c>
      <c r="O42" s="6" t="n">
        <v>0.1</v>
      </c>
      <c r="P42" s="4" t="inlineStr">
        <is>
          <t>ACOS predicho 73% &gt; 30%</t>
        </is>
      </c>
    </row>
    <row r="43">
      <c r="A43" s="4" t="inlineStr">
        <is>
          <t>porta telefono para coche</t>
        </is>
      </c>
      <c r="B43" s="4" t="inlineStr">
        <is>
          <t>2026-09-28</t>
        </is>
      </c>
      <c r="C43" s="4" t="inlineStr">
        <is>
          <t>Constructor Amazon Ads</t>
        </is>
      </c>
      <c r="D43" s="4" t="n">
        <v>1</v>
      </c>
      <c r="E43" s="4" t="inlineStr">
        <is>
          <t>volumen IS 0</t>
        </is>
      </c>
      <c r="F43" s="6" t="n">
        <v>0.34</v>
      </c>
      <c r="G43" s="4" t="n"/>
      <c r="H43" s="4" t="n"/>
      <c r="I43" s="7" t="n"/>
      <c r="J43" s="4" t="inlineStr">
        <is>
          <t>No</t>
        </is>
      </c>
      <c r="K43" s="8" t="n">
        <v>0.032</v>
      </c>
      <c r="L43" s="6" t="n">
        <v>0.34</v>
      </c>
      <c r="M43" s="7" t="n">
        <v>0.744</v>
      </c>
      <c r="N43" s="4" t="inlineStr">
        <is>
          <t>No</t>
        </is>
      </c>
      <c r="O43" s="6" t="n">
        <v>0.14</v>
      </c>
      <c r="P43" s="4" t="inlineStr">
        <is>
          <t>ACOS predicho 74% &gt; 30%</t>
        </is>
      </c>
    </row>
    <row r="44">
      <c r="A44" s="4" t="inlineStr">
        <is>
          <t>soporte movil coche fashion</t>
        </is>
      </c>
      <c r="B44" s="4" t="inlineStr">
        <is>
          <t>2026-09-28</t>
        </is>
      </c>
      <c r="C44" s="4" t="inlineStr">
        <is>
          <t>Constructor Amazon Ads</t>
        </is>
      </c>
      <c r="D44" s="4" t="n">
        <v>1</v>
      </c>
      <c r="E44" s="4" t="inlineStr">
        <is>
          <t>volumen IS 0</t>
        </is>
      </c>
      <c r="F44" s="6" t="n">
        <v>0.28</v>
      </c>
      <c r="G44" s="4" t="n"/>
      <c r="H44" s="4" t="n"/>
      <c r="I44" s="7" t="n"/>
      <c r="J44" s="4" t="inlineStr">
        <is>
          <t>No</t>
        </is>
      </c>
      <c r="K44" s="8" t="n">
        <v>0.0254</v>
      </c>
      <c r="L44" s="6" t="n">
        <v>0.28</v>
      </c>
      <c r="M44" s="7" t="n">
        <v>0.772</v>
      </c>
      <c r="N44" s="4" t="inlineStr">
        <is>
          <t>No</t>
        </is>
      </c>
      <c r="O44" s="6" t="n">
        <v>0.11</v>
      </c>
      <c r="P44" s="4" t="inlineStr">
        <is>
          <t>ACOS predicho 77% &gt; 30%</t>
        </is>
      </c>
    </row>
    <row r="45">
      <c r="A45" s="4" t="inlineStr">
        <is>
          <t>sujeta telefono coche</t>
        </is>
      </c>
      <c r="B45" s="4" t="inlineStr">
        <is>
          <t>2026-09-28</t>
        </is>
      </c>
      <c r="C45" s="4" t="inlineStr">
        <is>
          <t>Constructor Amazon Ads</t>
        </is>
      </c>
      <c r="D45" s="4" t="n">
        <v>1</v>
      </c>
      <c r="E45" s="4" t="inlineStr">
        <is>
          <t>volumen IS 0</t>
        </is>
      </c>
      <c r="F45" s="6" t="n">
        <v>0.34</v>
      </c>
      <c r="G45" s="4" t="n"/>
      <c r="H45" s="4" t="n"/>
      <c r="I45" s="7" t="n"/>
      <c r="J45" s="4" t="inlineStr">
        <is>
          <t>No</t>
        </is>
      </c>
      <c r="K45" s="8" t="n">
        <v>0.0307</v>
      </c>
      <c r="L45" s="6" t="n">
        <v>0.34</v>
      </c>
      <c r="M45" s="7" t="n">
        <v>0.778</v>
      </c>
      <c r="N45" s="4" t="inlineStr">
        <is>
          <t>No</t>
        </is>
      </c>
      <c r="O45" s="6" t="n">
        <v>0.13</v>
      </c>
      <c r="P45" s="4" t="inlineStr">
        <is>
          <t>ACOS predicho 78% &gt; 30%</t>
        </is>
      </c>
    </row>
    <row r="46">
      <c r="A46" s="4" t="inlineStr">
        <is>
          <t>soporte movil coche grande</t>
        </is>
      </c>
      <c r="B46" s="4" t="inlineStr">
        <is>
          <t>2026-09-28</t>
        </is>
      </c>
      <c r="C46" s="4" t="inlineStr">
        <is>
          <t>Constructor Amazon Ads</t>
        </is>
      </c>
      <c r="D46" s="4" t="n">
        <v>1</v>
      </c>
      <c r="E46" s="4" t="inlineStr">
        <is>
          <t>volumen IS 0</t>
        </is>
      </c>
      <c r="F46" s="6" t="n">
        <v>0.29</v>
      </c>
      <c r="G46" s="4" t="n"/>
      <c r="H46" s="4" t="n"/>
      <c r="I46" s="7" t="n"/>
      <c r="J46" s="4" t="inlineStr">
        <is>
          <t>No</t>
        </is>
      </c>
      <c r="K46" s="8" t="n">
        <v>0.0254</v>
      </c>
      <c r="L46" s="6" t="n">
        <v>0.29</v>
      </c>
      <c r="M46" s="7" t="n">
        <v>0.8</v>
      </c>
      <c r="N46" s="4" t="inlineStr">
        <is>
          <t>No</t>
        </is>
      </c>
      <c r="O46" s="6" t="n">
        <v>0.11</v>
      </c>
      <c r="P46" s="4" t="inlineStr">
        <is>
          <t>ACOS predicho 80% &gt; 30%</t>
        </is>
      </c>
    </row>
    <row r="47">
      <c r="A47" s="4" t="inlineStr">
        <is>
          <t>soporte movil coche 360</t>
        </is>
      </c>
      <c r="B47" s="4" t="inlineStr">
        <is>
          <t>2026-09-28</t>
        </is>
      </c>
      <c r="C47" s="4" t="inlineStr">
        <is>
          <t>Constructor Amazon Ads</t>
        </is>
      </c>
      <c r="D47" s="4" t="n">
        <v>1</v>
      </c>
      <c r="E47" s="4" t="inlineStr">
        <is>
          <t>volumen IS 0</t>
        </is>
      </c>
      <c r="F47" s="6" t="n">
        <v>0.29</v>
      </c>
      <c r="G47" s="4" t="n"/>
      <c r="H47" s="4" t="n"/>
      <c r="I47" s="7" t="n"/>
      <c r="J47" s="4" t="inlineStr">
        <is>
          <t>No</t>
        </is>
      </c>
      <c r="K47" s="8" t="n">
        <v>0.0254</v>
      </c>
      <c r="L47" s="6" t="n">
        <v>0.29</v>
      </c>
      <c r="M47" s="7" t="n">
        <v>0.8</v>
      </c>
      <c r="N47" s="4" t="inlineStr">
        <is>
          <t>No</t>
        </is>
      </c>
      <c r="O47" s="6" t="n">
        <v>0.11</v>
      </c>
      <c r="P47" s="4" t="inlineStr">
        <is>
          <t>ACOS predicho 80% &gt; 30%</t>
        </is>
      </c>
    </row>
    <row r="48">
      <c r="A48" s="4" t="inlineStr">
        <is>
          <t>soporte movil coche aireador</t>
        </is>
      </c>
      <c r="B48" s="4" t="inlineStr">
        <is>
          <t>2026-09-28</t>
        </is>
      </c>
      <c r="C48" s="4" t="inlineStr">
        <is>
          <t>Autocompletado Amazon</t>
        </is>
      </c>
      <c r="D48" s="4" t="n">
        <v>1</v>
      </c>
      <c r="E48" s="4" t="inlineStr">
        <is>
          <t>volumen medio</t>
        </is>
      </c>
      <c r="F48" s="6" t="n"/>
      <c r="G48" s="4" t="n"/>
      <c r="H48" s="4" t="n"/>
      <c r="I48" s="7" t="n"/>
      <c r="J48" s="4" t="inlineStr">
        <is>
          <t>No</t>
        </is>
      </c>
      <c r="K48" s="8" t="n">
        <v>0.0254</v>
      </c>
      <c r="L48" s="6" t="n">
        <v>0.32</v>
      </c>
      <c r="M48" s="7" t="n">
        <v>0.883</v>
      </c>
      <c r="N48" s="4" t="inlineStr">
        <is>
          <t>No</t>
        </is>
      </c>
      <c r="O48" s="6" t="n">
        <v>0.11</v>
      </c>
      <c r="P48" s="4" t="inlineStr">
        <is>
          <t>ACOS predicho 88% &gt; 30%</t>
        </is>
      </c>
    </row>
    <row r="49">
      <c r="A49" s="4" t="inlineStr">
        <is>
          <t>soporte movil coche eono</t>
        </is>
      </c>
      <c r="B49" s="4" t="inlineStr">
        <is>
          <t>2026-09-28</t>
        </is>
      </c>
      <c r="C49" s="4" t="inlineStr">
        <is>
          <t>Constructor Amazon Ads</t>
        </is>
      </c>
      <c r="D49" s="4" t="n">
        <v>1</v>
      </c>
      <c r="E49" s="4" t="inlineStr">
        <is>
          <t>volumen IS 0</t>
        </is>
      </c>
      <c r="F49" s="6" t="n"/>
      <c r="G49" s="4" t="n"/>
      <c r="H49" s="4" t="n"/>
      <c r="I49" s="7" t="n"/>
      <c r="J49" s="4" t="inlineStr">
        <is>
          <t>No</t>
        </is>
      </c>
      <c r="K49" s="8" t="n">
        <v>0.0254</v>
      </c>
      <c r="L49" s="6" t="n">
        <v>0.32</v>
      </c>
      <c r="M49" s="7" t="n">
        <v>0.883</v>
      </c>
      <c r="N49" s="4" t="inlineStr">
        <is>
          <t>No</t>
        </is>
      </c>
      <c r="O49" s="6" t="n">
        <v>0.11</v>
      </c>
      <c r="P49" s="4" t="inlineStr">
        <is>
          <t>ACOS predicho 88% &gt; 30%</t>
        </is>
      </c>
    </row>
    <row r="50">
      <c r="A50" s="4" t="inlineStr">
        <is>
          <t>mejor soporte movil coche</t>
        </is>
      </c>
      <c r="B50" s="4" t="inlineStr">
        <is>
          <t>2026-09-28</t>
        </is>
      </c>
      <c r="C50" s="4" t="inlineStr">
        <is>
          <t>RMIQ (IA)</t>
        </is>
      </c>
      <c r="D50" s="4" t="n">
        <v>1</v>
      </c>
      <c r="E50" s="4" t="inlineStr">
        <is>
          <t>volumen desconocido</t>
        </is>
      </c>
      <c r="F50" s="6" t="n"/>
      <c r="G50" s="4" t="n"/>
      <c r="H50" s="4" t="n"/>
      <c r="I50" s="7" t="n"/>
      <c r="J50" s="4" t="inlineStr">
        <is>
          <t>No</t>
        </is>
      </c>
      <c r="K50" s="8" t="n">
        <v>0.0254</v>
      </c>
      <c r="L50" s="6" t="n">
        <v>0.32</v>
      </c>
      <c r="M50" s="7" t="n">
        <v>0.883</v>
      </c>
      <c r="N50" s="4" t="inlineStr">
        <is>
          <t>No</t>
        </is>
      </c>
      <c r="O50" s="6" t="n">
        <v>0.11</v>
      </c>
      <c r="P50" s="4" t="inlineStr">
        <is>
          <t>ACOS predicho 88% &gt; 30%</t>
        </is>
      </c>
    </row>
    <row r="51">
      <c r="A51" s="4" t="inlineStr">
        <is>
          <t>soporte movil coche seguro</t>
        </is>
      </c>
      <c r="B51" s="4" t="inlineStr">
        <is>
          <t>2026-09-28</t>
        </is>
      </c>
      <c r="C51" s="4" t="inlineStr">
        <is>
          <t>RMIQ (IA)</t>
        </is>
      </c>
      <c r="D51" s="4" t="n">
        <v>1</v>
      </c>
      <c r="E51" s="4" t="inlineStr">
        <is>
          <t>volumen desconocido</t>
        </is>
      </c>
      <c r="F51" s="6" t="n"/>
      <c r="G51" s="4" t="n"/>
      <c r="H51" s="4" t="n"/>
      <c r="I51" s="7" t="n"/>
      <c r="J51" s="4" t="inlineStr">
        <is>
          <t>No</t>
        </is>
      </c>
      <c r="K51" s="8" t="n">
        <v>0.0254</v>
      </c>
      <c r="L51" s="6" t="n">
        <v>0.32</v>
      </c>
      <c r="M51" s="7" t="n">
        <v>0.883</v>
      </c>
      <c r="N51" s="4" t="inlineStr">
        <is>
          <t>No</t>
        </is>
      </c>
      <c r="O51" s="6" t="n">
        <v>0.11</v>
      </c>
      <c r="P51" s="4" t="inlineStr">
        <is>
          <t>ACOS predicho 88% &gt; 30%</t>
        </is>
      </c>
    </row>
    <row r="52">
      <c r="A52" s="4" t="inlineStr">
        <is>
          <t>soporte movil coche antivibracion</t>
        </is>
      </c>
      <c r="B52" s="4" t="inlineStr">
        <is>
          <t>2026-09-28</t>
        </is>
      </c>
      <c r="C52" s="4" t="inlineStr">
        <is>
          <t>RMIQ (IA)</t>
        </is>
      </c>
      <c r="D52" s="4" t="n">
        <v>1</v>
      </c>
      <c r="E52" s="4" t="inlineStr">
        <is>
          <t>volumen desconocido</t>
        </is>
      </c>
      <c r="F52" s="6" t="n"/>
      <c r="G52" s="4" t="n"/>
      <c r="H52" s="4" t="n"/>
      <c r="I52" s="7" t="n"/>
      <c r="J52" s="4" t="inlineStr">
        <is>
          <t>No</t>
        </is>
      </c>
      <c r="K52" s="8" t="n">
        <v>0.0254</v>
      </c>
      <c r="L52" s="6" t="n">
        <v>0.32</v>
      </c>
      <c r="M52" s="7" t="n">
        <v>0.883</v>
      </c>
      <c r="N52" s="4" t="inlineStr">
        <is>
          <t>No</t>
        </is>
      </c>
      <c r="O52" s="6" t="n">
        <v>0.11</v>
      </c>
      <c r="P52" s="4" t="inlineStr">
        <is>
          <t>ACOS predicho 88% &gt; 30%</t>
        </is>
      </c>
    </row>
    <row r="53">
      <c r="A53" s="4" t="inlineStr">
        <is>
          <t>soporte movil coche para baches</t>
        </is>
      </c>
      <c r="B53" s="4" t="inlineStr">
        <is>
          <t>2026-09-28</t>
        </is>
      </c>
      <c r="C53" s="4" t="inlineStr">
        <is>
          <t>RMIQ (IA)</t>
        </is>
      </c>
      <c r="D53" s="4" t="n">
        <v>1</v>
      </c>
      <c r="E53" s="4" t="inlineStr">
        <is>
          <t>volumen desconocido</t>
        </is>
      </c>
      <c r="F53" s="6" t="n"/>
      <c r="G53" s="4" t="n"/>
      <c r="H53" s="4" t="n"/>
      <c r="I53" s="7" t="n"/>
      <c r="J53" s="4" t="inlineStr">
        <is>
          <t>No</t>
        </is>
      </c>
      <c r="K53" s="8" t="n">
        <v>0.0254</v>
      </c>
      <c r="L53" s="6" t="n">
        <v>0.32</v>
      </c>
      <c r="M53" s="7" t="n">
        <v>0.883</v>
      </c>
      <c r="N53" s="4" t="inlineStr">
        <is>
          <t>No</t>
        </is>
      </c>
      <c r="O53" s="6" t="n">
        <v>0.11</v>
      </c>
      <c r="P53" s="4" t="inlineStr">
        <is>
          <t>ACOS predicho 88% &gt; 30%</t>
        </is>
      </c>
    </row>
    <row r="54">
      <c r="A54" s="4" t="inlineStr">
        <is>
          <t>soporte movil coche con funda</t>
        </is>
      </c>
      <c r="B54" s="4" t="inlineStr">
        <is>
          <t>2026-09-28</t>
        </is>
      </c>
      <c r="C54" s="4" t="inlineStr">
        <is>
          <t>Reseñas competencia</t>
        </is>
      </c>
      <c r="D54" s="4" t="n">
        <v>1</v>
      </c>
      <c r="E54" s="4" t="inlineStr"/>
      <c r="F54" s="6" t="n"/>
      <c r="G54" s="4" t="n"/>
      <c r="H54" s="4" t="n"/>
      <c r="I54" s="7" t="n"/>
      <c r="J54" s="4" t="inlineStr">
        <is>
          <t>No</t>
        </is>
      </c>
      <c r="K54" s="8" t="n">
        <v>0.0254</v>
      </c>
      <c r="L54" s="6" t="n">
        <v>0.32</v>
      </c>
      <c r="M54" s="7" t="n">
        <v>0.883</v>
      </c>
      <c r="N54" s="4" t="inlineStr">
        <is>
          <t>No</t>
        </is>
      </c>
      <c r="O54" s="6" t="n">
        <v>0.11</v>
      </c>
      <c r="P54" s="4" t="inlineStr">
        <is>
          <t>ACOS predicho 88% &gt; 30%</t>
        </is>
      </c>
    </row>
    <row r="55">
      <c r="A55" s="4" t="inlineStr">
        <is>
          <t>soporte movil coche homologado</t>
        </is>
      </c>
      <c r="B55" s="4" t="inlineStr">
        <is>
          <t>2026-09-28</t>
        </is>
      </c>
      <c r="C55" s="4" t="inlineStr">
        <is>
          <t>Google Trends</t>
        </is>
      </c>
      <c r="D55" s="4" t="n">
        <v>1</v>
      </c>
      <c r="E55" s="4" t="inlineStr"/>
      <c r="F55" s="6" t="n"/>
      <c r="G55" s="4" t="n"/>
      <c r="H55" s="4" t="n"/>
      <c r="I55" s="7" t="n"/>
      <c r="J55" s="4" t="inlineStr">
        <is>
          <t>No</t>
        </is>
      </c>
      <c r="K55" s="8" t="n">
        <v>0.0254</v>
      </c>
      <c r="L55" s="6" t="n">
        <v>0.32</v>
      </c>
      <c r="M55" s="7" t="n">
        <v>0.883</v>
      </c>
      <c r="N55" s="4" t="inlineStr">
        <is>
          <t>No</t>
        </is>
      </c>
      <c r="O55" s="6" t="n">
        <v>0.11</v>
      </c>
      <c r="P55" s="4" t="inlineStr">
        <is>
          <t>ACOS predicho 88% &gt; 30%</t>
        </is>
      </c>
    </row>
    <row r="56">
      <c r="A56" s="4" t="inlineStr">
        <is>
          <t>soporte movil coche dgt</t>
        </is>
      </c>
      <c r="B56" s="4" t="inlineStr">
        <is>
          <t>2026-09-28</t>
        </is>
      </c>
      <c r="C56" s="4" t="inlineStr">
        <is>
          <t>Google Trends</t>
        </is>
      </c>
      <c r="D56" s="4" t="n">
        <v>1</v>
      </c>
      <c r="E56" s="4" t="inlineStr"/>
      <c r="F56" s="6" t="n"/>
      <c r="G56" s="4" t="n"/>
      <c r="H56" s="4" t="n"/>
      <c r="I56" s="7" t="n"/>
      <c r="J56" s="4" t="inlineStr">
        <is>
          <t>No</t>
        </is>
      </c>
      <c r="K56" s="8" t="n">
        <v>0.0254</v>
      </c>
      <c r="L56" s="6" t="n">
        <v>0.32</v>
      </c>
      <c r="M56" s="7" t="n">
        <v>0.883</v>
      </c>
      <c r="N56" s="4" t="inlineStr">
        <is>
          <t>No</t>
        </is>
      </c>
      <c r="O56" s="6" t="n">
        <v>0.11</v>
      </c>
      <c r="P56" s="4" t="inlineStr">
        <is>
          <t>ACOS predicho 88% &gt; 30%</t>
        </is>
      </c>
    </row>
    <row r="57">
      <c r="A57" s="4" t="inlineStr">
        <is>
          <t>soporte smartphone coche</t>
        </is>
      </c>
      <c r="B57" s="4" t="inlineStr">
        <is>
          <t>2026-09-28</t>
        </is>
      </c>
      <c r="C57" s="4" t="inlineStr">
        <is>
          <t>Constructor Amazon Ads</t>
        </is>
      </c>
      <c r="D57" s="4" t="n">
        <v>1</v>
      </c>
      <c r="E57" s="4" t="inlineStr">
        <is>
          <t>volumen IS 0</t>
        </is>
      </c>
      <c r="F57" s="6" t="n">
        <v>0.32</v>
      </c>
      <c r="G57" s="4" t="n"/>
      <c r="H57" s="4" t="n"/>
      <c r="I57" s="7" t="n"/>
      <c r="J57" s="4" t="inlineStr">
        <is>
          <t>No</t>
        </is>
      </c>
      <c r="K57" s="8" t="n">
        <v>0.0243</v>
      </c>
      <c r="L57" s="6" t="n">
        <v>0.32</v>
      </c>
      <c r="M57" s="7" t="n">
        <v>0.922</v>
      </c>
      <c r="N57" s="4" t="inlineStr">
        <is>
          <t>No</t>
        </is>
      </c>
      <c r="O57" s="6" t="n">
        <v>0.1</v>
      </c>
      <c r="P57" s="4" t="inlineStr">
        <is>
          <t>ACOS predicho 92% &gt; 30%</t>
        </is>
      </c>
    </row>
    <row r="58">
      <c r="A58" s="4" t="inlineStr">
        <is>
          <t>soporte movil coche aireador redondo</t>
        </is>
      </c>
      <c r="B58" s="4" t="inlineStr">
        <is>
          <t>2026-09-28</t>
        </is>
      </c>
      <c r="C58" s="4" t="inlineStr">
        <is>
          <t>Autocompletado Amazon</t>
        </is>
      </c>
      <c r="D58" s="4" t="n">
        <v>1</v>
      </c>
      <c r="E58" s="4" t="inlineStr">
        <is>
          <t>volumen bajo</t>
        </is>
      </c>
      <c r="F58" s="6" t="n"/>
      <c r="G58" s="4" t="n"/>
      <c r="H58" s="4" t="n"/>
      <c r="I58" s="7" t="n"/>
      <c r="J58" s="4" t="inlineStr">
        <is>
          <t>No</t>
        </is>
      </c>
      <c r="K58" s="8" t="n">
        <v>0.0242</v>
      </c>
      <c r="L58" s="6" t="n">
        <v>0.32</v>
      </c>
      <c r="M58" s="7" t="n">
        <v>0.925</v>
      </c>
      <c r="N58" s="4" t="inlineStr">
        <is>
          <t>No</t>
        </is>
      </c>
      <c r="O58" s="6" t="n">
        <v>0.1</v>
      </c>
      <c r="P58" s="4" t="inlineStr">
        <is>
          <t>ACOS predicho 93% &gt; 30%</t>
        </is>
      </c>
    </row>
    <row r="59">
      <c r="A59" s="4" t="inlineStr">
        <is>
          <t>soporte movil coche giro 360</t>
        </is>
      </c>
      <c r="B59" s="4" t="inlineStr">
        <is>
          <t>2026-09-28</t>
        </is>
      </c>
      <c r="C59" s="4" t="inlineStr">
        <is>
          <t>RMIQ (IA)</t>
        </is>
      </c>
      <c r="D59" s="4" t="n">
        <v>1</v>
      </c>
      <c r="E59" s="4" t="inlineStr">
        <is>
          <t>volumen desconocido</t>
        </is>
      </c>
      <c r="F59" s="6" t="n"/>
      <c r="G59" s="4" t="n"/>
      <c r="H59" s="4" t="n"/>
      <c r="I59" s="7" t="n"/>
      <c r="J59" s="4" t="inlineStr">
        <is>
          <t>No</t>
        </is>
      </c>
      <c r="K59" s="8" t="n">
        <v>0.0242</v>
      </c>
      <c r="L59" s="6" t="n">
        <v>0.32</v>
      </c>
      <c r="M59" s="7" t="n">
        <v>0.925</v>
      </c>
      <c r="N59" s="4" t="inlineStr">
        <is>
          <t>No</t>
        </is>
      </c>
      <c r="O59" s="6" t="n">
        <v>0.1</v>
      </c>
      <c r="P59" s="4" t="inlineStr">
        <is>
          <t>ACOS predicho 93% &gt; 30%</t>
        </is>
      </c>
    </row>
    <row r="60">
      <c r="A60" s="4" t="inlineStr">
        <is>
          <t>soporte movil coche agarre fuerte</t>
        </is>
      </c>
      <c r="B60" s="4" t="inlineStr">
        <is>
          <t>2026-09-28</t>
        </is>
      </c>
      <c r="C60" s="4" t="inlineStr">
        <is>
          <t>RMIQ (IA)</t>
        </is>
      </c>
      <c r="D60" s="4" t="n">
        <v>1</v>
      </c>
      <c r="E60" s="4" t="inlineStr">
        <is>
          <t>volumen desconocido</t>
        </is>
      </c>
      <c r="F60" s="6" t="n"/>
      <c r="G60" s="4" t="n"/>
      <c r="H60" s="4" t="n"/>
      <c r="I60" s="7" t="n"/>
      <c r="J60" s="4" t="inlineStr">
        <is>
          <t>No</t>
        </is>
      </c>
      <c r="K60" s="8" t="n">
        <v>0.0242</v>
      </c>
      <c r="L60" s="6" t="n">
        <v>0.32</v>
      </c>
      <c r="M60" s="7" t="n">
        <v>0.925</v>
      </c>
      <c r="N60" s="4" t="inlineStr">
        <is>
          <t>No</t>
        </is>
      </c>
      <c r="O60" s="6" t="n">
        <v>0.1</v>
      </c>
      <c r="P60" s="4" t="inlineStr">
        <is>
          <t>ACOS predicho 93% &gt; 30%</t>
        </is>
      </c>
    </row>
    <row r="61">
      <c r="A61" s="4" t="inlineStr">
        <is>
          <t>soporte movil coche alta resistencia</t>
        </is>
      </c>
      <c r="B61" s="4" t="inlineStr">
        <is>
          <t>2026-09-28</t>
        </is>
      </c>
      <c r="C61" s="4" t="inlineStr">
        <is>
          <t>RMIQ (IA)</t>
        </is>
      </c>
      <c r="D61" s="4" t="n">
        <v>1</v>
      </c>
      <c r="E61" s="4" t="inlineStr">
        <is>
          <t>volumen desconocido</t>
        </is>
      </c>
      <c r="F61" s="6" t="n"/>
      <c r="G61" s="4" t="n"/>
      <c r="H61" s="4" t="n"/>
      <c r="I61" s="7" t="n"/>
      <c r="J61" s="4" t="inlineStr">
        <is>
          <t>No</t>
        </is>
      </c>
      <c r="K61" s="8" t="n">
        <v>0.0242</v>
      </c>
      <c r="L61" s="6" t="n">
        <v>0.32</v>
      </c>
      <c r="M61" s="7" t="n">
        <v>0.925</v>
      </c>
      <c r="N61" s="4" t="inlineStr">
        <is>
          <t>No</t>
        </is>
      </c>
      <c r="O61" s="6" t="n">
        <v>0.1</v>
      </c>
      <c r="P61" s="4" t="inlineStr">
        <is>
          <t>ACOS predicho 93% &gt; 30%</t>
        </is>
      </c>
    </row>
    <row r="62">
      <c r="A62" s="4" t="inlineStr">
        <is>
          <t>soporte movil coche movil pesado</t>
        </is>
      </c>
      <c r="B62" s="4" t="inlineStr">
        <is>
          <t>2026-09-28</t>
        </is>
      </c>
      <c r="C62" s="4" t="inlineStr">
        <is>
          <t>Reseñas competencia</t>
        </is>
      </c>
      <c r="D62" s="4" t="n">
        <v>1</v>
      </c>
      <c r="E62" s="4" t="inlineStr"/>
      <c r="F62" s="6" t="n"/>
      <c r="G62" s="4" t="n"/>
      <c r="H62" s="4" t="n"/>
      <c r="I62" s="7" t="n"/>
      <c r="J62" s="4" t="inlineStr">
        <is>
          <t>No</t>
        </is>
      </c>
      <c r="K62" s="8" t="n">
        <v>0.0242</v>
      </c>
      <c r="L62" s="6" t="n">
        <v>0.32</v>
      </c>
      <c r="M62" s="7" t="n">
        <v>0.925</v>
      </c>
      <c r="N62" s="4" t="inlineStr">
        <is>
          <t>No</t>
        </is>
      </c>
      <c r="O62" s="6" t="n">
        <v>0.1</v>
      </c>
      <c r="P62" s="4" t="inlineStr">
        <is>
          <t>ACOS predicho 93% &gt; 30%</t>
        </is>
      </c>
    </row>
    <row r="63">
      <c r="A63" s="4" t="inlineStr">
        <is>
          <t>soporte movil coche c3</t>
        </is>
      </c>
      <c r="B63" s="4" t="inlineStr">
        <is>
          <t>2026-09-28</t>
        </is>
      </c>
      <c r="C63" s="4" t="inlineStr">
        <is>
          <t>Constructor Amazon Ads</t>
        </is>
      </c>
      <c r="D63" s="4" t="n">
        <v>1</v>
      </c>
      <c r="E63" s="4" t="inlineStr">
        <is>
          <t>volumen IS 0</t>
        </is>
      </c>
      <c r="F63" s="6" t="n">
        <v>0.34</v>
      </c>
      <c r="G63" s="4" t="n"/>
      <c r="H63" s="4" t="n"/>
      <c r="I63" s="7" t="n"/>
      <c r="J63" s="4" t="inlineStr">
        <is>
          <t>No</t>
        </is>
      </c>
      <c r="K63" s="8" t="n">
        <v>0.0254</v>
      </c>
      <c r="L63" s="6" t="n">
        <v>0.34</v>
      </c>
      <c r="M63" s="7" t="n">
        <v>0.9379999999999999</v>
      </c>
      <c r="N63" s="4" t="inlineStr">
        <is>
          <t>No</t>
        </is>
      </c>
      <c r="O63" s="6" t="n">
        <v>0.11</v>
      </c>
      <c r="P63" s="4" t="inlineStr">
        <is>
          <t>ACOS predicho 94% &gt; 30%</t>
        </is>
      </c>
    </row>
    <row r="64">
      <c r="A64" s="4" t="inlineStr">
        <is>
          <t>soporte movil coche sencillo</t>
        </is>
      </c>
      <c r="B64" s="4" t="inlineStr">
        <is>
          <t>2026-09-28</t>
        </is>
      </c>
      <c r="C64" s="4" t="inlineStr">
        <is>
          <t>Constructor Amazon Ads</t>
        </is>
      </c>
      <c r="D64" s="4" t="n">
        <v>1</v>
      </c>
      <c r="E64" s="4" t="inlineStr">
        <is>
          <t>volumen IS 0</t>
        </is>
      </c>
      <c r="F64" s="6" t="n">
        <v>0.34</v>
      </c>
      <c r="G64" s="4" t="n"/>
      <c r="H64" s="4" t="n"/>
      <c r="I64" s="7" t="n"/>
      <c r="J64" s="4" t="inlineStr">
        <is>
          <t>No</t>
        </is>
      </c>
      <c r="K64" s="8" t="n">
        <v>0.0254</v>
      </c>
      <c r="L64" s="6" t="n">
        <v>0.34</v>
      </c>
      <c r="M64" s="7" t="n">
        <v>0.9379999999999999</v>
      </c>
      <c r="N64" s="4" t="inlineStr">
        <is>
          <t>No</t>
        </is>
      </c>
      <c r="O64" s="6" t="n">
        <v>0.11</v>
      </c>
      <c r="P64" s="4" t="inlineStr">
        <is>
          <t>ACOS predicho 94% &gt; 30%</t>
        </is>
      </c>
    </row>
    <row r="65">
      <c r="A65" s="4" t="inlineStr">
        <is>
          <t>soporte movil coche compatible todos modelos</t>
        </is>
      </c>
      <c r="B65" s="4" t="inlineStr">
        <is>
          <t>2026-09-28</t>
        </is>
      </c>
      <c r="C65" s="4" t="inlineStr">
        <is>
          <t>RMIQ (IA)</t>
        </is>
      </c>
      <c r="D65" s="4" t="n">
        <v>1</v>
      </c>
      <c r="E65" s="4" t="inlineStr">
        <is>
          <t>volumen desconocido</t>
        </is>
      </c>
      <c r="F65" s="6" t="n"/>
      <c r="G65" s="4" t="n"/>
      <c r="H65" s="4" t="n"/>
      <c r="I65" s="7" t="n"/>
      <c r="J65" s="4" t="inlineStr">
        <is>
          <t>No</t>
        </is>
      </c>
      <c r="K65" s="8" t="n">
        <v>0.0231</v>
      </c>
      <c r="L65" s="6" t="n">
        <v>0.32</v>
      </c>
      <c r="M65" s="7" t="n">
        <v>0.97</v>
      </c>
      <c r="N65" s="4" t="inlineStr">
        <is>
          <t>No</t>
        </is>
      </c>
      <c r="O65" s="6" t="n">
        <v>0.1</v>
      </c>
      <c r="P65" s="4" t="inlineStr">
        <is>
          <t>ACOS predicho 97% &gt; 30%</t>
        </is>
      </c>
    </row>
    <row r="66">
      <c r="A66" s="4" t="inlineStr">
        <is>
          <t>soporte mobil cotxe</t>
        </is>
      </c>
      <c r="B66" s="4" t="inlineStr">
        <is>
          <t>2026-09-28</t>
        </is>
      </c>
      <c r="C66" s="4" t="inlineStr">
        <is>
          <t>Constructor Amazon Ads</t>
        </is>
      </c>
      <c r="D66" s="4" t="n">
        <v>1</v>
      </c>
      <c r="E66" s="4" t="inlineStr">
        <is>
          <t>volumen IS 0</t>
        </is>
      </c>
      <c r="F66" s="6" t="n">
        <v>0.37</v>
      </c>
      <c r="G66" s="4" t="n"/>
      <c r="H66" s="4" t="n"/>
      <c r="I66" s="7" t="n"/>
      <c r="J66" s="4" t="inlineStr">
        <is>
          <t>No</t>
        </is>
      </c>
      <c r="K66" s="8" t="n">
        <v>0.0261</v>
      </c>
      <c r="L66" s="6" t="n">
        <v>0.37</v>
      </c>
      <c r="M66" s="7" t="n">
        <v>0.993</v>
      </c>
      <c r="N66" s="4" t="inlineStr">
        <is>
          <t>No</t>
        </is>
      </c>
      <c r="O66" s="6" t="n">
        <v>0.11</v>
      </c>
      <c r="P66" s="4" t="inlineStr">
        <is>
          <t>ACOS predicho 99% &gt; 30%</t>
        </is>
      </c>
    </row>
    <row r="67">
      <c r="A67" s="4" t="inlineStr">
        <is>
          <t>soporte móvil viaje coche</t>
        </is>
      </c>
      <c r="B67" s="4" t="inlineStr">
        <is>
          <t>2026-09-28</t>
        </is>
      </c>
      <c r="C67" s="4" t="inlineStr">
        <is>
          <t>Términos de búsqueda propios</t>
        </is>
      </c>
      <c r="D67" s="4" t="n">
        <v>1</v>
      </c>
      <c r="E67" s="4" t="inlineStr">
        <is>
          <t>volumen 1 clics / 0 compras</t>
        </is>
      </c>
      <c r="F67" s="6" t="n"/>
      <c r="G67" s="4" t="n"/>
      <c r="H67" s="4" t="n"/>
      <c r="I67" s="7" t="n"/>
      <c r="J67" s="4" t="inlineStr">
        <is>
          <t>No</t>
        </is>
      </c>
      <c r="K67" s="8" t="n">
        <v>0.0215</v>
      </c>
      <c r="L67" s="6" t="n">
        <v>0.32</v>
      </c>
      <c r="M67" s="7" t="n">
        <v>1.045</v>
      </c>
      <c r="N67" s="4" t="inlineStr">
        <is>
          <t>No</t>
        </is>
      </c>
      <c r="O67" s="6" t="n">
        <v>0.09</v>
      </c>
      <c r="P67" s="4" t="inlineStr">
        <is>
          <t>ACOS predicho 104% &gt; 30%</t>
        </is>
      </c>
    </row>
    <row r="68">
      <c r="A68" s="4" t="inlineStr">
        <is>
          <t>porta celular para coche</t>
        </is>
      </c>
      <c r="B68" s="4" t="inlineStr">
        <is>
          <t>2026-09-28</t>
        </is>
      </c>
      <c r="C68" s="4" t="inlineStr">
        <is>
          <t>Constructor Amazon Ads</t>
        </is>
      </c>
      <c r="D68" s="4" t="n">
        <v>1</v>
      </c>
      <c r="E68" s="4" t="inlineStr">
        <is>
          <t>volumen IS 0</t>
        </is>
      </c>
      <c r="F68" s="6" t="n">
        <v>0.35</v>
      </c>
      <c r="G68" s="4" t="n"/>
      <c r="H68" s="4" t="n"/>
      <c r="I68" s="7" t="n"/>
      <c r="J68" s="4" t="inlineStr">
        <is>
          <t>No</t>
        </is>
      </c>
      <c r="K68" s="8" t="n">
        <v>0.0232</v>
      </c>
      <c r="L68" s="6" t="n">
        <v>0.35</v>
      </c>
      <c r="M68" s="7" t="n">
        <v>1.056</v>
      </c>
      <c r="N68" s="4" t="inlineStr">
        <is>
          <t>No</t>
        </is>
      </c>
      <c r="O68" s="6" t="n">
        <v>0.1</v>
      </c>
      <c r="P68" s="4" t="inlineStr">
        <is>
          <t>ACOS predicho 106% &gt; 30%</t>
        </is>
      </c>
    </row>
    <row r="69">
      <c r="A69" s="4" t="inlineStr">
        <is>
          <t>soporte movil</t>
        </is>
      </c>
      <c r="B69" s="4" t="inlineStr">
        <is>
          <t>2026-09-28</t>
        </is>
      </c>
      <c r="C69" s="4" t="inlineStr">
        <is>
          <t>Constructor Amazon Ads</t>
        </is>
      </c>
      <c r="D69" s="4" t="n">
        <v>1</v>
      </c>
      <c r="E69" s="4" t="inlineStr">
        <is>
          <t>volumen IS 0</t>
        </is>
      </c>
      <c r="F69" s="6" t="n">
        <v>1.24</v>
      </c>
      <c r="G69" s="4" t="n"/>
      <c r="H69" s="4" t="n"/>
      <c r="I69" s="7" t="n"/>
      <c r="J69" s="4" t="inlineStr">
        <is>
          <t>No</t>
        </is>
      </c>
      <c r="K69" s="8" t="n">
        <v>0.0254</v>
      </c>
      <c r="L69" s="6" t="n">
        <v>1.24</v>
      </c>
      <c r="M69" s="7" t="n">
        <v>3.428</v>
      </c>
      <c r="N69" s="4" t="inlineStr">
        <is>
          <t>No</t>
        </is>
      </c>
      <c r="O69" s="6" t="n">
        <v>0.11</v>
      </c>
      <c r="P69" s="4" t="inlineStr">
        <is>
          <t>ACOS predicho 343% &gt; 30%</t>
        </is>
      </c>
    </row>
    <row r="70">
      <c r="A70" s="4" t="inlineStr">
        <is>
          <t>soporte movil coche</t>
        </is>
      </c>
      <c r="B70" s="4" t="inlineStr">
        <is>
          <t>2026-09-28</t>
        </is>
      </c>
      <c r="C70" s="4" t="inlineStr">
        <is>
          <t>RMIQ (IA), Histórico (vendió)</t>
        </is>
      </c>
      <c r="D70" s="4" t="n">
        <v>2</v>
      </c>
      <c r="E70" s="4" t="inlineStr">
        <is>
          <t>volumen desconocido; 498 clics, 20 compras (Amplia); 13 clics, 1 compras (Amplia); 26 clics, 1 compras (Amplia); 4 clics, 1 compras (Exacta)</t>
        </is>
      </c>
      <c r="F70" s="6" t="n"/>
      <c r="G70" s="4" t="n">
        <v>554</v>
      </c>
      <c r="H70" s="4" t="n">
        <v>23</v>
      </c>
      <c r="I70" s="7" t="n">
        <v>1.685525653551233</v>
      </c>
      <c r="J70" s="4" t="inlineStr">
        <is>
          <t>Sí</t>
        </is>
      </c>
      <c r="K70" s="8" t="n">
        <v>0.0266</v>
      </c>
      <c r="L70" s="6" t="n">
        <v>0.32</v>
      </c>
      <c r="M70" s="7" t="n"/>
      <c r="N70" s="4" t="inlineStr">
        <is>
          <t>No</t>
        </is>
      </c>
      <c r="O70" s="6" t="n"/>
      <c r="P70" s="4" t="inlineStr">
        <is>
          <t>ya está en tus campañas</t>
        </is>
      </c>
    </row>
    <row r="71">
      <c r="A71" s="4" t="inlineStr">
        <is>
          <t>sujeta movil coche</t>
        </is>
      </c>
      <c r="B71" s="4" t="inlineStr">
        <is>
          <t>2026-09-28</t>
        </is>
      </c>
      <c r="C71" s="4" t="inlineStr">
        <is>
          <t>RMIQ (IA)</t>
        </is>
      </c>
      <c r="D71" s="4" t="n">
        <v>1</v>
      </c>
      <c r="E71" s="4" t="inlineStr">
        <is>
          <t>volumen desconocido</t>
        </is>
      </c>
      <c r="F71" s="6" t="n"/>
      <c r="G71" s="4" t="n">
        <v>6</v>
      </c>
      <c r="H71" s="4" t="n">
        <v>0</v>
      </c>
      <c r="I71" s="7" t="n"/>
      <c r="J71" s="4" t="inlineStr">
        <is>
          <t>Sí</t>
        </is>
      </c>
      <c r="K71" s="8" t="n">
        <v>0.025</v>
      </c>
      <c r="L71" s="6" t="n">
        <v>0.32</v>
      </c>
      <c r="M71" s="7" t="n"/>
      <c r="N71" s="4" t="inlineStr">
        <is>
          <t>No</t>
        </is>
      </c>
      <c r="O71" s="6" t="n"/>
      <c r="P71" s="4" t="inlineStr">
        <is>
          <t>ya está en tus campañas</t>
        </is>
      </c>
    </row>
    <row r="72">
      <c r="A72" s="4" t="inlineStr">
        <is>
          <t>soporte movil rejilla ventilacion</t>
        </is>
      </c>
      <c r="B72" s="4" t="inlineStr">
        <is>
          <t>2026-09-28</t>
        </is>
      </c>
      <c r="C72" s="4" t="inlineStr">
        <is>
          <t>RMIQ (IA)</t>
        </is>
      </c>
      <c r="D72" s="4" t="n">
        <v>1</v>
      </c>
      <c r="E72" s="4" t="inlineStr">
        <is>
          <t>volumen desconocido</t>
        </is>
      </c>
      <c r="F72" s="6" t="n"/>
      <c r="G72" s="4" t="n">
        <v>0</v>
      </c>
      <c r="H72" s="4" t="n">
        <v>0</v>
      </c>
      <c r="I72" s="7" t="n"/>
      <c r="J72" s="4" t="inlineStr">
        <is>
          <t>Sí</t>
        </is>
      </c>
      <c r="K72" s="8" t="n">
        <v>0.0555</v>
      </c>
      <c r="L72" s="6" t="n">
        <v>0.31</v>
      </c>
      <c r="M72" s="7" t="n"/>
      <c r="N72" s="4" t="inlineStr">
        <is>
          <t>No</t>
        </is>
      </c>
      <c r="O72" s="6" t="n"/>
      <c r="P72" s="4" t="inlineStr">
        <is>
          <t>ya está en tus campañas</t>
        </is>
      </c>
    </row>
    <row r="73">
      <c r="A73" s="4" t="inlineStr">
        <is>
          <t>soporte movil coche universal</t>
        </is>
      </c>
      <c r="B73" s="4" t="inlineStr">
        <is>
          <t>2026-09-28</t>
        </is>
      </c>
      <c r="C73" s="4" t="inlineStr">
        <is>
          <t>RMIQ (IA)</t>
        </is>
      </c>
      <c r="D73" s="4" t="n">
        <v>1</v>
      </c>
      <c r="E73" s="4" t="inlineStr">
        <is>
          <t>volumen desconocido</t>
        </is>
      </c>
      <c r="F73" s="6" t="n"/>
      <c r="G73" s="4" t="n">
        <v>0</v>
      </c>
      <c r="H73" s="4" t="n">
        <v>0</v>
      </c>
      <c r="I73" s="7" t="n"/>
      <c r="J73" s="4" t="inlineStr">
        <is>
          <t>Sí</t>
        </is>
      </c>
      <c r="K73" s="8" t="n">
        <v>0.0254</v>
      </c>
      <c r="L73" s="6" t="n">
        <v>0.32</v>
      </c>
      <c r="M73" s="7" t="n"/>
      <c r="N73" s="4" t="inlineStr">
        <is>
          <t>No</t>
        </is>
      </c>
      <c r="O73" s="6" t="n"/>
      <c r="P73" s="4" t="inlineStr">
        <is>
          <t>ya está en tus campañas</t>
        </is>
      </c>
    </row>
    <row r="74">
      <c r="A74" s="4" t="inlineStr">
        <is>
          <t>soporte movil coche estable</t>
        </is>
      </c>
      <c r="B74" s="4" t="inlineStr">
        <is>
          <t>2026-09-28</t>
        </is>
      </c>
      <c r="C74" s="4" t="inlineStr">
        <is>
          <t>RMIQ (IA)</t>
        </is>
      </c>
      <c r="D74" s="4" t="n">
        <v>1</v>
      </c>
      <c r="E74" s="4" t="inlineStr">
        <is>
          <t>volumen desconocido</t>
        </is>
      </c>
      <c r="F74" s="6" t="n"/>
      <c r="G74" s="4" t="n">
        <v>0</v>
      </c>
      <c r="H74" s="4" t="n">
        <v>0</v>
      </c>
      <c r="I74" s="7" t="n"/>
      <c r="J74" s="4" t="inlineStr">
        <is>
          <t>Sí</t>
        </is>
      </c>
      <c r="K74" s="8" t="n">
        <v>0.0254</v>
      </c>
      <c r="L74" s="6" t="n">
        <v>0.32</v>
      </c>
      <c r="M74" s="7" t="n"/>
      <c r="N74" s="4" t="inlineStr">
        <is>
          <t>No</t>
        </is>
      </c>
      <c r="O74" s="6" t="n"/>
      <c r="P74" s="4" t="inlineStr">
        <is>
          <t>ya está en tus campañas</t>
        </is>
      </c>
    </row>
    <row r="75">
      <c r="A75" s="4" t="inlineStr">
        <is>
          <t>soporte movil coche 360 grados</t>
        </is>
      </c>
      <c r="B75" s="4" t="inlineStr">
        <is>
          <t>2026-09-28</t>
        </is>
      </c>
      <c r="C75" s="4" t="inlineStr">
        <is>
          <t>RMIQ (IA)</t>
        </is>
      </c>
      <c r="D75" s="4" t="n">
        <v>1</v>
      </c>
      <c r="E75" s="4" t="inlineStr">
        <is>
          <t>volumen desconocido</t>
        </is>
      </c>
      <c r="F75" s="6" t="n"/>
      <c r="G75" s="4" t="n">
        <v>0</v>
      </c>
      <c r="H75" s="4" t="n">
        <v>0</v>
      </c>
      <c r="I75" s="7" t="n"/>
      <c r="J75" s="4" t="inlineStr">
        <is>
          <t>Sí</t>
        </is>
      </c>
      <c r="K75" s="8" t="n">
        <v>0.0242</v>
      </c>
      <c r="L75" s="6" t="n">
        <v>0.32</v>
      </c>
      <c r="M75" s="7" t="n"/>
      <c r="N75" s="4" t="inlineStr">
        <is>
          <t>No</t>
        </is>
      </c>
      <c r="O75" s="6" t="n"/>
      <c r="P75" s="4" t="inlineStr">
        <is>
          <t>ya está en tus campañas</t>
        </is>
      </c>
    </row>
    <row r="76">
      <c r="A76" s="4" t="inlineStr">
        <is>
          <t>soporte movil ventilacion coche</t>
        </is>
      </c>
      <c r="B76" s="4" t="inlineStr">
        <is>
          <t>2026-09-28</t>
        </is>
      </c>
      <c r="C76" s="4" t="inlineStr">
        <is>
          <t>RMIQ (IA), Histórico (vendió)</t>
        </is>
      </c>
      <c r="D76" s="4" t="n">
        <v>2</v>
      </c>
      <c r="E76" s="4" t="inlineStr">
        <is>
          <t>volumen desconocido; 9 clics, 1 compras (Frase)</t>
        </is>
      </c>
      <c r="F76" s="6" t="n"/>
      <c r="G76" s="4" t="n">
        <v>13</v>
      </c>
      <c r="H76" s="4" t="n">
        <v>1</v>
      </c>
      <c r="I76" s="7" t="n">
        <v>0.7264386989157631</v>
      </c>
      <c r="J76" s="4" t="inlineStr">
        <is>
          <t>Sí</t>
        </is>
      </c>
      <c r="K76" s="8" t="n">
        <v>0.05</v>
      </c>
      <c r="L76" s="6" t="n">
        <v>0.31</v>
      </c>
      <c r="M76" s="7" t="n"/>
      <c r="N76" s="4" t="inlineStr">
        <is>
          <t>No</t>
        </is>
      </c>
      <c r="O76" s="6" t="n"/>
      <c r="P76" s="4" t="inlineStr">
        <is>
          <t>ya está en tus campañas</t>
        </is>
      </c>
    </row>
    <row r="77">
      <c r="A77" s="4" t="inlineStr">
        <is>
          <t>soporte movil coche ajustable</t>
        </is>
      </c>
      <c r="B77" s="4" t="inlineStr">
        <is>
          <t>2026-09-28</t>
        </is>
      </c>
      <c r="C77" s="4" t="inlineStr">
        <is>
          <t>RMIQ (IA)</t>
        </is>
      </c>
      <c r="D77" s="4" t="n">
        <v>1</v>
      </c>
      <c r="E77" s="4" t="inlineStr">
        <is>
          <t>volumen desconocido</t>
        </is>
      </c>
      <c r="F77" s="6" t="n"/>
      <c r="G77" s="4" t="n">
        <v>0</v>
      </c>
      <c r="H77" s="4" t="n">
        <v>0</v>
      </c>
      <c r="I77" s="7" t="n"/>
      <c r="J77" s="4" t="inlineStr">
        <is>
          <t>Sí</t>
        </is>
      </c>
      <c r="K77" s="8" t="n">
        <v>0.0254</v>
      </c>
      <c r="L77" s="6" t="n">
        <v>0.32</v>
      </c>
      <c r="M77" s="7" t="n"/>
      <c r="N77" s="4" t="inlineStr">
        <is>
          <t>No</t>
        </is>
      </c>
      <c r="O77" s="6" t="n"/>
      <c r="P77" s="4" t="inlineStr">
        <is>
          <t>ya está en tus campañas</t>
        </is>
      </c>
    </row>
    <row r="78">
      <c r="A78" s="4" t="inlineStr">
        <is>
          <t>soporte movil coche rejilla</t>
        </is>
      </c>
      <c r="B78" s="4" t="inlineStr">
        <is>
          <t>2026-09-28</t>
        </is>
      </c>
      <c r="C78" s="4" t="inlineStr">
        <is>
          <t>RMIQ (IA)</t>
        </is>
      </c>
      <c r="D78" s="4" t="n">
        <v>1</v>
      </c>
      <c r="E78" s="4" t="inlineStr">
        <is>
          <t>volumen desconocido</t>
        </is>
      </c>
      <c r="F78" s="6" t="n"/>
      <c r="G78" s="4" t="n">
        <v>4</v>
      </c>
      <c r="H78" s="4" t="n">
        <v>0</v>
      </c>
      <c r="I78" s="7" t="n"/>
      <c r="J78" s="4" t="inlineStr">
        <is>
          <t>Sí</t>
        </is>
      </c>
      <c r="K78" s="8" t="n">
        <v>0.046</v>
      </c>
      <c r="L78" s="6" t="n">
        <v>0.31</v>
      </c>
      <c r="M78" s="7" t="n"/>
      <c r="N78" s="4" t="inlineStr">
        <is>
          <t>No</t>
        </is>
      </c>
      <c r="O78" s="6" t="n"/>
      <c r="P78" s="4" t="inlineStr">
        <is>
          <t>ya está en tus campañas</t>
        </is>
      </c>
    </row>
    <row r="79">
      <c r="A79" s="4" t="inlineStr">
        <is>
          <t>soporte movil coche fuerte</t>
        </is>
      </c>
      <c r="B79" s="4" t="inlineStr">
        <is>
          <t>2026-09-28</t>
        </is>
      </c>
      <c r="C79" s="4" t="inlineStr">
        <is>
          <t>RMIQ (IA)</t>
        </is>
      </c>
      <c r="D79" s="4" t="n">
        <v>1</v>
      </c>
      <c r="E79" s="4" t="inlineStr">
        <is>
          <t>volumen desconocido</t>
        </is>
      </c>
      <c r="F79" s="6" t="n"/>
      <c r="G79" s="4" t="n">
        <v>0</v>
      </c>
      <c r="H79" s="4" t="n">
        <v>0</v>
      </c>
      <c r="I79" s="7" t="n"/>
      <c r="J79" s="4" t="inlineStr">
        <is>
          <t>Sí</t>
        </is>
      </c>
      <c r="K79" s="8" t="n">
        <v>0.0254</v>
      </c>
      <c r="L79" s="6" t="n">
        <v>0.32</v>
      </c>
      <c r="M79" s="7" t="n"/>
      <c r="N79" s="4" t="inlineStr">
        <is>
          <t>No</t>
        </is>
      </c>
      <c r="O79" s="6" t="n"/>
      <c r="P79" s="4" t="inlineStr">
        <is>
          <t>ya está en tus campañas</t>
        </is>
      </c>
    </row>
    <row r="80">
      <c r="A80" s="4" t="inlineStr">
        <is>
          <t>soporte movil coche sin iman</t>
        </is>
      </c>
      <c r="B80" s="4" t="inlineStr">
        <is>
          <t>2026-09-28</t>
        </is>
      </c>
      <c r="C80" s="4" t="inlineStr">
        <is>
          <t>RMIQ (IA)</t>
        </is>
      </c>
      <c r="D80" s="4" t="n">
        <v>1</v>
      </c>
      <c r="E80" s="4" t="inlineStr">
        <is>
          <t>volumen desconocido</t>
        </is>
      </c>
      <c r="F80" s="6" t="n"/>
      <c r="G80" s="4" t="n">
        <v>0</v>
      </c>
      <c r="H80" s="4" t="n">
        <v>0</v>
      </c>
      <c r="I80" s="7" t="n"/>
      <c r="J80" s="4" t="inlineStr">
        <is>
          <t>Sí</t>
        </is>
      </c>
      <c r="K80" s="8" t="n">
        <v>0.0242</v>
      </c>
      <c r="L80" s="6" t="n">
        <v>0.32</v>
      </c>
      <c r="M80" s="7" t="n"/>
      <c r="N80" s="4" t="inlineStr">
        <is>
          <t>No</t>
        </is>
      </c>
      <c r="O80" s="6" t="n"/>
      <c r="P80" s="4" t="inlineStr">
        <is>
          <t>ya está en tus campañas</t>
        </is>
      </c>
    </row>
    <row r="81">
      <c r="A81" s="4" t="inlineStr">
        <is>
          <t>soporte movil coche sujecion firme</t>
        </is>
      </c>
      <c r="B81" s="4" t="inlineStr">
        <is>
          <t>2026-09-28</t>
        </is>
      </c>
      <c r="C81" s="4" t="inlineStr">
        <is>
          <t>RMIQ (IA)</t>
        </is>
      </c>
      <c r="D81" s="4" t="n">
        <v>1</v>
      </c>
      <c r="E81" s="4" t="inlineStr">
        <is>
          <t>volumen desconocido</t>
        </is>
      </c>
      <c r="F81" s="6" t="n"/>
      <c r="G81" s="4" t="n">
        <v>0</v>
      </c>
      <c r="H81" s="4" t="n">
        <v>0</v>
      </c>
      <c r="I81" s="7" t="n"/>
      <c r="J81" s="4" t="inlineStr">
        <is>
          <t>Sí</t>
        </is>
      </c>
      <c r="K81" s="8" t="n">
        <v>0.0242</v>
      </c>
      <c r="L81" s="6" t="n">
        <v>0.32</v>
      </c>
      <c r="M81" s="7" t="n"/>
      <c r="N81" s="4" t="inlineStr">
        <is>
          <t>No</t>
        </is>
      </c>
      <c r="O81" s="6" t="n"/>
      <c r="P81" s="4" t="inlineStr">
        <is>
          <t>ya está en tus campañas</t>
        </is>
      </c>
    </row>
    <row r="82">
      <c r="A82" s="4" t="inlineStr">
        <is>
          <t>soporte movil coche sin ventosa</t>
        </is>
      </c>
      <c r="B82" s="4" t="inlineStr">
        <is>
          <t>2026-09-28</t>
        </is>
      </c>
      <c r="C82" s="4" t="inlineStr">
        <is>
          <t>RMIQ (IA)</t>
        </is>
      </c>
      <c r="D82" s="4" t="n">
        <v>1</v>
      </c>
      <c r="E82" s="4" t="inlineStr">
        <is>
          <t>volumen desconocido</t>
        </is>
      </c>
      <c r="F82" s="6" t="n"/>
      <c r="G82" s="4" t="n"/>
      <c r="H82" s="4" t="n"/>
      <c r="I82" s="7" t="n"/>
      <c r="J82" s="4" t="inlineStr">
        <is>
          <t>Sí</t>
        </is>
      </c>
      <c r="K82" s="8" t="n">
        <v>0.0242</v>
      </c>
      <c r="L82" s="6" t="n">
        <v>0.32</v>
      </c>
      <c r="M82" s="7" t="n"/>
      <c r="N82" s="4" t="inlineStr">
        <is>
          <t>No</t>
        </is>
      </c>
      <c r="O82" s="6" t="n"/>
      <c r="P82" s="4" t="inlineStr">
        <is>
          <t>ya está en tus campañas</t>
        </is>
      </c>
    </row>
    <row r="83">
      <c r="A83" s="4" t="inlineStr">
        <is>
          <t>soporte movil coche facil instalacion</t>
        </is>
      </c>
      <c r="B83" s="4" t="inlineStr">
        <is>
          <t>2026-09-28</t>
        </is>
      </c>
      <c r="C83" s="4" t="inlineStr">
        <is>
          <t>RMIQ (IA)</t>
        </is>
      </c>
      <c r="D83" s="4" t="n">
        <v>1</v>
      </c>
      <c r="E83" s="4" t="inlineStr">
        <is>
          <t>volumen desconocido</t>
        </is>
      </c>
      <c r="F83" s="6" t="n"/>
      <c r="G83" s="4" t="n"/>
      <c r="H83" s="4" t="n"/>
      <c r="I83" s="7" t="n"/>
      <c r="J83" s="4" t="inlineStr">
        <is>
          <t>Sí</t>
        </is>
      </c>
      <c r="K83" s="8" t="n">
        <v>0.0242</v>
      </c>
      <c r="L83" s="6" t="n">
        <v>0.32</v>
      </c>
      <c r="M83" s="7" t="n"/>
      <c r="N83" s="4" t="inlineStr">
        <is>
          <t>No</t>
        </is>
      </c>
      <c r="O83" s="6" t="n"/>
      <c r="P83" s="4" t="inlineStr">
        <is>
          <t>ya está en tus campañas</t>
        </is>
      </c>
    </row>
    <row r="84">
      <c r="A84" s="4" t="inlineStr">
        <is>
          <t>soporte movil coche con gancho</t>
        </is>
      </c>
      <c r="B84" s="4" t="inlineStr">
        <is>
          <t>2026-09-28</t>
        </is>
      </c>
      <c r="C84" s="4" t="inlineStr">
        <is>
          <t>Términos de búsqueda propios, RMIQ (IA)</t>
        </is>
      </c>
      <c r="D84" s="4" t="n">
        <v>2</v>
      </c>
      <c r="E84" s="4" t="inlineStr">
        <is>
          <t>volumen desconocido</t>
        </is>
      </c>
      <c r="F84" s="6" t="n"/>
      <c r="G84" s="4" t="n">
        <v>2</v>
      </c>
      <c r="H84" s="4" t="n">
        <v>0</v>
      </c>
      <c r="I84" s="7" t="n"/>
      <c r="J84" s="4" t="inlineStr">
        <is>
          <t>Sí</t>
        </is>
      </c>
      <c r="K84" s="8" t="n">
        <v>0.0458</v>
      </c>
      <c r="L84" s="6" t="n">
        <v>0.31</v>
      </c>
      <c r="M84" s="7" t="n"/>
      <c r="N84" s="4" t="inlineStr">
        <is>
          <t>No</t>
        </is>
      </c>
      <c r="O84" s="6" t="n"/>
      <c r="P84" s="4" t="inlineStr">
        <is>
          <t>ya está en tus campañas</t>
        </is>
      </c>
    </row>
    <row r="85">
      <c r="A85" s="4" t="inlineStr">
        <is>
          <t>soporte coche teléfono móvil</t>
        </is>
      </c>
      <c r="B85" s="4" t="inlineStr">
        <is>
          <t>2026-09-28</t>
        </is>
      </c>
      <c r="C85" s="4" t="inlineStr">
        <is>
          <t>Términos de búsqueda propios, Histórico (vendió)</t>
        </is>
      </c>
      <c r="D85" s="4" t="n">
        <v>2</v>
      </c>
      <c r="E85" s="4" t="inlineStr">
        <is>
          <t>volumen 9 clics / 3 compras; 22 clics, 4 compras (Exacta)</t>
        </is>
      </c>
      <c r="F85" s="6" t="n"/>
      <c r="G85" s="4" t="n">
        <v>24</v>
      </c>
      <c r="H85" s="4" t="n">
        <v>4</v>
      </c>
      <c r="I85" s="7" t="n">
        <v>0.406787035022841</v>
      </c>
      <c r="J85" s="4" t="inlineStr">
        <is>
          <t>Sí</t>
        </is>
      </c>
      <c r="K85" s="8" t="n">
        <v>0.0489</v>
      </c>
      <c r="L85" s="6" t="n">
        <v>0.32</v>
      </c>
      <c r="M85" s="7" t="n"/>
      <c r="N85" s="4" t="inlineStr">
        <is>
          <t>No</t>
        </is>
      </c>
      <c r="O85" s="6" t="n"/>
      <c r="P85" s="4" t="inlineStr">
        <is>
          <t>ya está en tus campañas</t>
        </is>
      </c>
    </row>
    <row r="86">
      <c r="A86" s="4" t="inlineStr">
        <is>
          <t>soporte telefono rejilla ventilacion</t>
        </is>
      </c>
      <c r="B86" s="4" t="inlineStr">
        <is>
          <t>2026-09-28</t>
        </is>
      </c>
      <c r="C86" s="4" t="inlineStr">
        <is>
          <t>Términos de búsqueda propios, Recomendada ML</t>
        </is>
      </c>
      <c r="D86" s="4" t="n">
        <v>2</v>
      </c>
      <c r="E86" s="4" t="inlineStr">
        <is>
          <t>volumen 7 clics / 1 compras</t>
        </is>
      </c>
      <c r="F86" s="6" t="n"/>
      <c r="G86" s="4" t="n"/>
      <c r="H86" s="4" t="n"/>
      <c r="I86" s="7" t="n"/>
      <c r="J86" s="4" t="inlineStr">
        <is>
          <t>Sí</t>
        </is>
      </c>
      <c r="K86" s="8" t="n">
        <v>0.1172</v>
      </c>
      <c r="L86" s="6" t="n">
        <v>0.31</v>
      </c>
      <c r="M86" s="7" t="n"/>
      <c r="N86" s="4" t="inlineStr">
        <is>
          <t>No</t>
        </is>
      </c>
      <c r="O86" s="6" t="n"/>
      <c r="P86" s="4" t="inlineStr">
        <is>
          <t>ya está en tus campañas</t>
        </is>
      </c>
    </row>
    <row r="87">
      <c r="A87" s="4" t="inlineStr">
        <is>
          <t>soporte telefono rejilla</t>
        </is>
      </c>
      <c r="B87" s="4" t="inlineStr">
        <is>
          <t>2026-09-28</t>
        </is>
      </c>
      <c r="C87" s="4" t="inlineStr">
        <is>
          <t>Términos de búsqueda propios, Histórico (vendió)</t>
        </is>
      </c>
      <c r="D87" s="4" t="n">
        <v>2</v>
      </c>
      <c r="E87" s="4" t="inlineStr">
        <is>
          <t>volumen 1 clics / 0 compras; 16 clics, 2 compras (Frase)</t>
        </is>
      </c>
      <c r="F87" s="6" t="n"/>
      <c r="G87" s="4" t="n">
        <v>16</v>
      </c>
      <c r="H87" s="4" t="n">
        <v>2</v>
      </c>
      <c r="I87" s="7" t="n">
        <v>0.5284220100045475</v>
      </c>
      <c r="J87" s="4" t="inlineStr">
        <is>
          <t>Sí</t>
        </is>
      </c>
      <c r="K87" s="8" t="n">
        <v>0.1109</v>
      </c>
      <c r="L87" s="6" t="n">
        <v>0.31</v>
      </c>
      <c r="M87" s="7" t="n"/>
      <c r="N87" s="4" t="inlineStr">
        <is>
          <t>No</t>
        </is>
      </c>
      <c r="O87" s="6" t="n"/>
      <c r="P87" s="4" t="inlineStr">
        <is>
          <t>ya está en tus campañas</t>
        </is>
      </c>
    </row>
    <row r="88">
      <c r="A88" s="4" t="inlineStr">
        <is>
          <t>movil coche</t>
        </is>
      </c>
      <c r="B88" s="4" t="inlineStr">
        <is>
          <t>—</t>
        </is>
      </c>
      <c r="C88" s="4" t="inlineStr">
        <is>
          <t>Histórico (vendió)</t>
        </is>
      </c>
      <c r="D88" s="4" t="n">
        <v>1</v>
      </c>
      <c r="E88" s="4" t="inlineStr">
        <is>
          <t>142 clics, 9 compras (Amplia)</t>
        </is>
      </c>
      <c r="F88" s="6" t="n"/>
      <c r="G88" s="4" t="n">
        <v>142</v>
      </c>
      <c r="H88" s="4" t="n">
        <v>9</v>
      </c>
      <c r="I88" s="7" t="n">
        <v>0.957505003335557</v>
      </c>
      <c r="J88" s="4" t="inlineStr">
        <is>
          <t>Sí</t>
        </is>
      </c>
      <c r="K88" s="8" t="n">
        <v>0.0399</v>
      </c>
      <c r="L88" s="6" t="n">
        <v>0.32</v>
      </c>
      <c r="M88" s="7" t="n"/>
      <c r="N88" s="4" t="inlineStr">
        <is>
          <t>No</t>
        </is>
      </c>
      <c r="O88" s="6" t="n"/>
      <c r="P88" s="4" t="inlineStr">
        <is>
          <t>ya está en tus campañas</t>
        </is>
      </c>
    </row>
    <row r="89">
      <c r="A89" s="4" t="inlineStr">
        <is>
          <t>soporte coche</t>
        </is>
      </c>
      <c r="B89" s="4" t="inlineStr">
        <is>
          <t>—</t>
        </is>
      </c>
      <c r="C89" s="4" t="inlineStr">
        <is>
          <t>Histórico (vendió)</t>
        </is>
      </c>
      <c r="D89" s="4" t="n">
        <v>1</v>
      </c>
      <c r="E89" s="4" t="inlineStr">
        <is>
          <t>124 clics, 5 compras (Amplia)</t>
        </is>
      </c>
      <c r="F89" s="6" t="n"/>
      <c r="G89" s="4" t="n">
        <v>124</v>
      </c>
      <c r="H89" s="4" t="n">
        <v>5</v>
      </c>
      <c r="I89" s="7" t="n">
        <v>1.715410273515677</v>
      </c>
      <c r="J89" s="4" t="inlineStr">
        <is>
          <t>Sí</t>
        </is>
      </c>
      <c r="K89" s="8" t="n">
        <v>0.0273</v>
      </c>
      <c r="L89" s="6" t="n">
        <v>0.32</v>
      </c>
      <c r="M89" s="7" t="n"/>
      <c r="N89" s="4" t="inlineStr">
        <is>
          <t>No</t>
        </is>
      </c>
      <c r="O89" s="6" t="n"/>
      <c r="P89" s="4" t="inlineStr">
        <is>
          <t>ya está en tus campañas</t>
        </is>
      </c>
    </row>
    <row r="90">
      <c r="A90" s="4" t="inlineStr">
        <is>
          <t>soporte móvil para coche de pinza</t>
        </is>
      </c>
      <c r="B90" s="4" t="inlineStr">
        <is>
          <t>—</t>
        </is>
      </c>
      <c r="C90" s="4" t="inlineStr">
        <is>
          <t>Histórico (vendió)</t>
        </is>
      </c>
      <c r="D90" s="4" t="n">
        <v>1</v>
      </c>
      <c r="E90" s="4" t="inlineStr">
        <is>
          <t>72 clics, 5 compras (Exacta)</t>
        </is>
      </c>
      <c r="F90" s="6" t="n"/>
      <c r="G90" s="4" t="n">
        <v>90</v>
      </c>
      <c r="H90" s="4" t="n">
        <v>5</v>
      </c>
      <c r="I90" s="7" t="n">
        <v>1.098375956692178</v>
      </c>
      <c r="J90" s="4" t="inlineStr">
        <is>
          <t>Sí</t>
        </is>
      </c>
      <c r="K90" s="8" t="n">
        <v>0.0168</v>
      </c>
      <c r="L90" s="6" t="n">
        <v>0.32</v>
      </c>
      <c r="M90" s="7" t="n"/>
      <c r="N90" s="4" t="inlineStr">
        <is>
          <t>No</t>
        </is>
      </c>
      <c r="O90" s="6" t="n"/>
      <c r="P90" s="4" t="inlineStr">
        <is>
          <t>ya está en tus campañas</t>
        </is>
      </c>
    </row>
    <row r="91">
      <c r="A91" s="4" t="inlineStr">
        <is>
          <t>sujeta moviles para coche</t>
        </is>
      </c>
      <c r="B91" s="4" t="inlineStr">
        <is>
          <t>—</t>
        </is>
      </c>
      <c r="C91" s="4" t="inlineStr">
        <is>
          <t>Histórico (vendió)</t>
        </is>
      </c>
      <c r="D91" s="4" t="n">
        <v>1</v>
      </c>
      <c r="E91" s="4" t="inlineStr">
        <is>
          <t>21 clics, 1 compras (Amplia)</t>
        </is>
      </c>
      <c r="F91" s="6" t="n"/>
      <c r="G91" s="4" t="n">
        <v>21</v>
      </c>
      <c r="H91" s="4" t="n">
        <v>1</v>
      </c>
      <c r="I91" s="7" t="n">
        <v>1.623082054703135</v>
      </c>
      <c r="J91" s="4" t="inlineStr">
        <is>
          <t>Sí</t>
        </is>
      </c>
      <c r="K91" s="8" t="n">
        <v>0.0291</v>
      </c>
      <c r="L91" s="6" t="n">
        <v>0.32</v>
      </c>
      <c r="M91" s="7" t="n"/>
      <c r="N91" s="4" t="inlineStr">
        <is>
          <t>No</t>
        </is>
      </c>
      <c r="O91" s="6" t="n"/>
      <c r="P91" s="4" t="inlineStr">
        <is>
          <t>ya está en tus campañas</t>
        </is>
      </c>
    </row>
    <row r="92">
      <c r="A92" s="4" t="inlineStr">
        <is>
          <t>sujetar movil en el coche</t>
        </is>
      </c>
      <c r="B92" s="4" t="inlineStr">
        <is>
          <t>—</t>
        </is>
      </c>
      <c r="C92" s="4" t="inlineStr">
        <is>
          <t>Histórico (vendió)</t>
        </is>
      </c>
      <c r="D92" s="4" t="n">
        <v>1</v>
      </c>
      <c r="E92" s="4" t="inlineStr">
        <is>
          <t>15 clics, 1 compras (Amplia)</t>
        </is>
      </c>
      <c r="F92" s="6" t="n"/>
      <c r="G92" s="4" t="n">
        <v>15</v>
      </c>
      <c r="H92" s="4" t="n">
        <v>1</v>
      </c>
      <c r="I92" s="7" t="n">
        <v>1.440960640426951</v>
      </c>
      <c r="J92" s="4" t="inlineStr">
        <is>
          <t>Sí</t>
        </is>
      </c>
      <c r="K92" s="8" t="n">
        <v>0.0421</v>
      </c>
      <c r="L92" s="6" t="n">
        <v>0.32</v>
      </c>
      <c r="M92" s="7" t="n"/>
      <c r="N92" s="4" t="inlineStr">
        <is>
          <t>No</t>
        </is>
      </c>
      <c r="O92" s="6" t="n"/>
      <c r="P92" s="4" t="inlineStr">
        <is>
          <t>ya está en tus campañas</t>
        </is>
      </c>
    </row>
    <row r="93">
      <c r="A93" s="4" t="inlineStr">
        <is>
          <t>phone holder car</t>
        </is>
      </c>
      <c r="B93" s="4" t="inlineStr">
        <is>
          <t>—</t>
        </is>
      </c>
      <c r="C93" s="4" t="inlineStr">
        <is>
          <t>Histórico (vendió)</t>
        </is>
      </c>
      <c r="D93" s="4" t="n">
        <v>1</v>
      </c>
      <c r="E93" s="4" t="inlineStr">
        <is>
          <t>13 clics, 1 compras (Amplia)</t>
        </is>
      </c>
      <c r="F93" s="6" t="n"/>
      <c r="G93" s="4" t="n">
        <v>13</v>
      </c>
      <c r="H93" s="4" t="n">
        <v>1</v>
      </c>
      <c r="I93" s="7" t="n">
        <v>0.8105403602401601</v>
      </c>
      <c r="J93" s="4" t="inlineStr">
        <is>
          <t>Sí</t>
        </is>
      </c>
      <c r="K93" s="8" t="n">
        <v>0.0421</v>
      </c>
      <c r="L93" s="6" t="n">
        <v>0.32</v>
      </c>
      <c r="M93" s="7" t="n"/>
      <c r="N93" s="4" t="inlineStr">
        <is>
          <t>No</t>
        </is>
      </c>
      <c r="O93" s="6" t="n"/>
      <c r="P93" s="4" t="inlineStr">
        <is>
          <t>ya está en tus campañas</t>
        </is>
      </c>
    </row>
    <row r="94">
      <c r="A94" s="4" t="inlineStr">
        <is>
          <t>soporte teléfono rejilla coche con gancho</t>
        </is>
      </c>
      <c r="B94" s="4" t="inlineStr">
        <is>
          <t>—</t>
        </is>
      </c>
      <c r="C94" s="4" t="inlineStr">
        <is>
          <t>Recomendada ML</t>
        </is>
      </c>
      <c r="D94" s="4" t="n">
        <v>1</v>
      </c>
      <c r="E94" s="4" t="inlineStr"/>
      <c r="F94" s="6" t="n"/>
      <c r="G94" s="4" t="n"/>
      <c r="H94" s="4" t="n"/>
      <c r="I94" s="7" t="n"/>
      <c r="J94" s="4" t="inlineStr">
        <is>
          <t>Sí</t>
        </is>
      </c>
      <c r="K94" s="8" t="n">
        <v>0.08260000000000001</v>
      </c>
      <c r="L94" s="6" t="n">
        <v>0.31</v>
      </c>
      <c r="M94" s="7" t="n"/>
      <c r="N94" s="4" t="inlineStr">
        <is>
          <t>No</t>
        </is>
      </c>
      <c r="O94" s="6" t="n"/>
      <c r="P94" s="4" t="inlineStr">
        <is>
          <t>ya está en tus campañas</t>
        </is>
      </c>
    </row>
    <row r="95">
      <c r="A95" s="4" t="inlineStr">
        <is>
          <t>rejilla móvil coche</t>
        </is>
      </c>
      <c r="B95" s="4" t="inlineStr">
        <is>
          <t>—</t>
        </is>
      </c>
      <c r="C95" s="4" t="inlineStr">
        <is>
          <t>Recomendada ML</t>
        </is>
      </c>
      <c r="D95" s="4" t="n">
        <v>1</v>
      </c>
      <c r="E95" s="4" t="inlineStr"/>
      <c r="F95" s="6" t="n"/>
      <c r="G95" s="4" t="n"/>
      <c r="H95" s="4" t="n"/>
      <c r="I95" s="7" t="n"/>
      <c r="J95" s="4" t="inlineStr">
        <is>
          <t>Sí</t>
        </is>
      </c>
      <c r="K95" s="8" t="n">
        <v>0.081</v>
      </c>
      <c r="L95" s="6" t="n">
        <v>0.31</v>
      </c>
      <c r="M95" s="7" t="n"/>
      <c r="N95" s="4" t="inlineStr">
        <is>
          <t>No</t>
        </is>
      </c>
      <c r="O95" s="6" t="n"/>
      <c r="P95" s="4" t="inlineStr">
        <is>
          <t>ya está en tus campañas</t>
        </is>
      </c>
    </row>
    <row r="96">
      <c r="A96" s="4" t="inlineStr">
        <is>
          <t>soporte rejilla móvil</t>
        </is>
      </c>
      <c r="B96" s="4" t="inlineStr">
        <is>
          <t>—</t>
        </is>
      </c>
      <c r="C96" s="4" t="inlineStr">
        <is>
          <t>Recomendada ML</t>
        </is>
      </c>
      <c r="D96" s="4" t="n">
        <v>1</v>
      </c>
      <c r="E96" s="4" t="inlineStr"/>
      <c r="F96" s="6" t="n"/>
      <c r="G96" s="4" t="n"/>
      <c r="H96" s="4" t="n"/>
      <c r="I96" s="7" t="n"/>
      <c r="J96" s="4" t="inlineStr">
        <is>
          <t>Sí</t>
        </is>
      </c>
      <c r="K96" s="8" t="n">
        <v>0.0673</v>
      </c>
      <c r="L96" s="6" t="n">
        <v>0.31</v>
      </c>
      <c r="M96" s="7" t="n"/>
      <c r="N96" s="4" t="inlineStr">
        <is>
          <t>No</t>
        </is>
      </c>
      <c r="O96" s="6" t="n"/>
      <c r="P96" s="4" t="inlineStr">
        <is>
          <t>ya está en tus campañas</t>
        </is>
      </c>
    </row>
    <row r="97">
      <c r="A97" s="4" t="inlineStr">
        <is>
          <t>porta móvil de rejilla ventilación</t>
        </is>
      </c>
      <c r="B97" s="4" t="inlineStr">
        <is>
          <t>—</t>
        </is>
      </c>
      <c r="C97" s="4" t="inlineStr">
        <is>
          <t>Recomendada ML</t>
        </is>
      </c>
      <c r="D97" s="4" t="n">
        <v>1</v>
      </c>
      <c r="E97" s="4" t="inlineStr"/>
      <c r="F97" s="6" t="n"/>
      <c r="G97" s="4" t="n"/>
      <c r="H97" s="4" t="n"/>
      <c r="I97" s="7" t="n"/>
      <c r="J97" s="4" t="inlineStr">
        <is>
          <t>Sí</t>
        </is>
      </c>
      <c r="K97" s="8" t="n">
        <v>0.0634</v>
      </c>
      <c r="L97" s="6" t="n">
        <v>0.31</v>
      </c>
      <c r="M97" s="7" t="n"/>
      <c r="N97" s="4" t="inlineStr">
        <is>
          <t>No</t>
        </is>
      </c>
      <c r="O97" s="6" t="n"/>
      <c r="P97" s="4" t="inlineStr">
        <is>
          <t>ya está en tus campañas</t>
        </is>
      </c>
    </row>
    <row r="98">
      <c r="A98" s="4" t="inlineStr">
        <is>
          <t>sujeta móvil de rejilla</t>
        </is>
      </c>
      <c r="B98" s="4" t="inlineStr">
        <is>
          <t>—</t>
        </is>
      </c>
      <c r="C98" s="4" t="inlineStr">
        <is>
          <t>Recomendada ML</t>
        </is>
      </c>
      <c r="D98" s="4" t="n">
        <v>1</v>
      </c>
      <c r="E98" s="4" t="inlineStr"/>
      <c r="F98" s="6" t="n"/>
      <c r="G98" s="4" t="n"/>
      <c r="H98" s="4" t="n"/>
      <c r="I98" s="7" t="n"/>
      <c r="J98" s="4" t="inlineStr">
        <is>
          <t>Sí</t>
        </is>
      </c>
      <c r="K98" s="8" t="n">
        <v>0.0492</v>
      </c>
      <c r="L98" s="6" t="n">
        <v>0.31</v>
      </c>
      <c r="M98" s="7" t="n"/>
      <c r="N98" s="4" t="inlineStr">
        <is>
          <t>No</t>
        </is>
      </c>
      <c r="O98" s="6" t="n"/>
      <c r="P98" s="4" t="inlineStr">
        <is>
          <t>ya está en tus campañas</t>
        </is>
      </c>
    </row>
  </sheetData>
  <autoFilter ref="A1:P98"/>
  <conditionalFormatting sqref="A2:P98">
    <cfRule type="expression" priority="1" dxfId="0">
      <formula>$N2="Sí"</formula>
    </cfRule>
    <cfRule type="expression" priority="2" dxfId="1">
      <formula>AND($N2="No",$M2&lt;&gt;"",$M2&lt;=0.35)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3" t="inlineStr">
        <is>
          <t>Término de búsqueda</t>
        </is>
      </c>
      <c r="B1" s="3" t="inlineStr">
        <is>
          <t>Producto (ASIN)</t>
        </is>
      </c>
      <c r="C1" s="3" t="inlineStr">
        <is>
          <t>Clics</t>
        </is>
      </c>
      <c r="D1" s="3" t="inlineStr">
        <is>
          <t>Compras</t>
        </is>
      </c>
      <c r="E1" s="3" t="inlineStr">
        <is>
          <t>Gasto (€)</t>
        </is>
      </c>
      <c r="F1" s="3" t="inlineStr">
        <is>
          <t>Ventas (€)</t>
        </is>
      </c>
      <c r="G1" s="3" t="inlineStr">
        <is>
          <t>ACOS</t>
        </is>
      </c>
      <c r="H1" s="3" t="inlineStr">
        <is>
          <t>Conversión</t>
        </is>
      </c>
    </row>
    <row r="2">
      <c r="A2" s="4" t="inlineStr">
        <is>
          <t>soporte coche teléfono móvil</t>
        </is>
      </c>
      <c r="B2" s="4" t="inlineStr">
        <is>
          <t>B0DHYBY6MS</t>
        </is>
      </c>
      <c r="C2" s="4" t="n">
        <v>9</v>
      </c>
      <c r="D2" s="4" t="n">
        <v>3</v>
      </c>
      <c r="E2" s="6" t="n">
        <v>7.41</v>
      </c>
      <c r="F2" s="6" t="n">
        <v>35.97</v>
      </c>
      <c r="G2" s="7">
        <f>IF(F2&gt;0,E2/F2,"")</f>
        <v/>
      </c>
      <c r="H2" s="7">
        <f>IF(C2&gt;0,D2/C2,"")</f>
        <v/>
      </c>
    </row>
    <row r="3">
      <c r="A3" s="4" t="inlineStr">
        <is>
          <t>soporte movil coche pinza</t>
        </is>
      </c>
      <c r="B3" s="4" t="inlineStr">
        <is>
          <t>B0DCZS1NR6</t>
        </is>
      </c>
      <c r="C3" s="4" t="n">
        <v>61</v>
      </c>
      <c r="D3" s="4" t="n">
        <v>2</v>
      </c>
      <c r="E3" s="6" t="n">
        <v>34.1</v>
      </c>
      <c r="F3" s="6" t="n">
        <v>22.78</v>
      </c>
      <c r="G3" s="7">
        <f>IF(F3&gt;0,E3/F3,"")</f>
        <v/>
      </c>
      <c r="H3" s="7">
        <f>IF(C3&gt;0,D3/C3,"")</f>
        <v/>
      </c>
    </row>
    <row r="4">
      <c r="A4" s="4" t="inlineStr">
        <is>
          <t>soporte móvil coche pinza</t>
        </is>
      </c>
      <c r="B4" s="4" t="inlineStr">
        <is>
          <t>B0DCZS1NR6</t>
        </is>
      </c>
      <c r="C4" s="4" t="n">
        <v>15</v>
      </c>
      <c r="D4" s="4" t="n">
        <v>2</v>
      </c>
      <c r="E4" s="6" t="n">
        <v>8.07</v>
      </c>
      <c r="F4" s="6" t="n">
        <v>22.78</v>
      </c>
      <c r="G4" s="7">
        <f>IF(F4&gt;0,E4/F4,"")</f>
        <v/>
      </c>
      <c r="H4" s="7">
        <f>IF(C4&gt;0,D4/C4,"")</f>
        <v/>
      </c>
    </row>
    <row r="5">
      <c r="A5" s="4" t="inlineStr">
        <is>
          <t>soporte telefono rejilla ventilacion</t>
        </is>
      </c>
      <c r="B5" s="4" t="inlineStr">
        <is>
          <t>B0DHYBY6MS</t>
        </is>
      </c>
      <c r="C5" s="4" t="n">
        <v>7</v>
      </c>
      <c r="D5" s="4" t="n">
        <v>1</v>
      </c>
      <c r="E5" s="6" t="n">
        <v>6.94</v>
      </c>
      <c r="F5" s="6" t="n">
        <v>11.99</v>
      </c>
      <c r="G5" s="7">
        <f>IF(F5&gt;0,E5/F5,"")</f>
        <v/>
      </c>
      <c r="H5" s="7">
        <f>IF(C5&gt;0,D5/C5,"")</f>
        <v/>
      </c>
    </row>
    <row r="6">
      <c r="A6" s="4" t="inlineStr">
        <is>
          <t>soporte movil coche con pinza</t>
        </is>
      </c>
      <c r="B6" s="4" t="inlineStr">
        <is>
          <t>B0DCZS1NR6</t>
        </is>
      </c>
      <c r="C6" s="4" t="n">
        <v>5</v>
      </c>
      <c r="D6" s="4" t="n">
        <v>1</v>
      </c>
      <c r="E6" s="6" t="n">
        <v>1.78</v>
      </c>
      <c r="F6" s="6" t="n">
        <v>11.99</v>
      </c>
      <c r="G6" s="7">
        <f>IF(F6&gt;0,E6/F6,"")</f>
        <v/>
      </c>
      <c r="H6" s="7">
        <f>IF(C6&gt;0,D6/C6,"")</f>
        <v/>
      </c>
    </row>
    <row r="7">
      <c r="A7" s="4" t="inlineStr">
        <is>
          <t>soporte de movil para coche con pinza</t>
        </is>
      </c>
      <c r="B7" s="4" t="inlineStr">
        <is>
          <t>B0DCZS1NR6</t>
        </is>
      </c>
      <c r="C7" s="4" t="n">
        <v>4</v>
      </c>
      <c r="D7" s="4" t="n">
        <v>0</v>
      </c>
      <c r="E7" s="6" t="n">
        <v>1.27</v>
      </c>
      <c r="F7" s="6" t="n">
        <v>0</v>
      </c>
      <c r="G7" s="7">
        <f>IF(F7&gt;0,E7/F7,"")</f>
        <v/>
      </c>
      <c r="H7" s="7">
        <f>IF(C7&gt;0,D7/C7,"")</f>
        <v/>
      </c>
    </row>
    <row r="8">
      <c r="A8" s="4" t="inlineStr">
        <is>
          <t>soporte de coche para teléfono móvil</t>
        </is>
      </c>
      <c r="B8" s="4" t="inlineStr">
        <is>
          <t>B0DHYBY6MS</t>
        </is>
      </c>
      <c r="C8" s="4" t="n">
        <v>2</v>
      </c>
      <c r="D8" s="4" t="n">
        <v>0</v>
      </c>
      <c r="E8" s="6" t="n">
        <v>1.95</v>
      </c>
      <c r="F8" s="6" t="n">
        <v>0</v>
      </c>
      <c r="G8" s="7">
        <f>IF(F8&gt;0,E8/F8,"")</f>
        <v/>
      </c>
      <c r="H8" s="7">
        <f>IF(C8&gt;0,D8/C8,"")</f>
        <v/>
      </c>
    </row>
    <row r="9">
      <c r="A9" s="4" t="inlineStr">
        <is>
          <t>soporte para coche para teléfono móvil</t>
        </is>
      </c>
      <c r="B9" s="4" t="inlineStr">
        <is>
          <t>B0DHYBY6MS</t>
        </is>
      </c>
      <c r="C9" s="4" t="n">
        <v>2</v>
      </c>
      <c r="D9" s="4" t="n">
        <v>0</v>
      </c>
      <c r="E9" s="6" t="n">
        <v>1.6</v>
      </c>
      <c r="F9" s="6" t="n">
        <v>0</v>
      </c>
      <c r="G9" s="7">
        <f>IF(F9&gt;0,E9/F9,"")</f>
        <v/>
      </c>
      <c r="H9" s="7">
        <f>IF(C9&gt;0,D9/C9,"")</f>
        <v/>
      </c>
    </row>
    <row r="10">
      <c r="A10" s="4" t="inlineStr">
        <is>
          <t>soporte coche para teléfono móvil</t>
        </is>
      </c>
      <c r="B10" s="4" t="inlineStr">
        <is>
          <t>B0DHYBY6MS</t>
        </is>
      </c>
      <c r="C10" s="4" t="n">
        <v>2</v>
      </c>
      <c r="D10" s="4" t="n">
        <v>0</v>
      </c>
      <c r="E10" s="6" t="n">
        <v>1.37</v>
      </c>
      <c r="F10" s="6" t="n">
        <v>0</v>
      </c>
      <c r="G10" s="7">
        <f>IF(F10&gt;0,E10/F10,"")</f>
        <v/>
      </c>
      <c r="H10" s="7">
        <f>IF(C10&gt;0,D10/C10,"")</f>
        <v/>
      </c>
    </row>
    <row r="11">
      <c r="A11" s="4" t="inlineStr">
        <is>
          <t>soporte para coche telefono movil</t>
        </is>
      </c>
      <c r="B11" s="4" t="inlineStr">
        <is>
          <t>B0DHYBY6MS</t>
        </is>
      </c>
      <c r="C11" s="4" t="n">
        <v>2</v>
      </c>
      <c r="D11" s="4" t="n">
        <v>0</v>
      </c>
      <c r="E11" s="6" t="n">
        <v>1.33</v>
      </c>
      <c r="F11" s="6" t="n">
        <v>0</v>
      </c>
      <c r="G11" s="7">
        <f>IF(F11&gt;0,E11/F11,"")</f>
        <v/>
      </c>
      <c r="H11" s="7">
        <f>IF(C11&gt;0,D11/C11,"")</f>
        <v/>
      </c>
    </row>
    <row r="12">
      <c r="A12" s="4" t="inlineStr">
        <is>
          <t>soporte telefono rejilla coche</t>
        </is>
      </c>
      <c r="B12" s="4" t="inlineStr">
        <is>
          <t>B0DHYBY6MS</t>
        </is>
      </c>
      <c r="C12" s="4" t="n">
        <v>2</v>
      </c>
      <c r="D12" s="4" t="n">
        <v>0</v>
      </c>
      <c r="E12" s="6" t="n">
        <v>0.87</v>
      </c>
      <c r="F12" s="6" t="n">
        <v>0</v>
      </c>
      <c r="G12" s="7">
        <f>IF(F12&gt;0,E12/F12,"")</f>
        <v/>
      </c>
      <c r="H12" s="7">
        <f>IF(C12&gt;0,D12/C12,"")</f>
        <v/>
      </c>
    </row>
    <row r="13">
      <c r="A13" s="4" t="inlineStr">
        <is>
          <t>soporte móvil para coche de pinza</t>
        </is>
      </c>
      <c r="B13" s="4" t="inlineStr">
        <is>
          <t>B0DCZS1NR6</t>
        </is>
      </c>
      <c r="C13" s="4" t="n">
        <v>2</v>
      </c>
      <c r="D13" s="4" t="n">
        <v>0</v>
      </c>
      <c r="E13" s="6" t="n">
        <v>1.26</v>
      </c>
      <c r="F13" s="6" t="n">
        <v>0</v>
      </c>
      <c r="G13" s="7">
        <f>IF(F13&gt;0,E13/F13,"")</f>
        <v/>
      </c>
      <c r="H13" s="7">
        <f>IF(C13&gt;0,D13/C13,"")</f>
        <v/>
      </c>
    </row>
    <row r="14">
      <c r="A14" s="4" t="inlineStr">
        <is>
          <t>soporte para coche de teléfono móvil</t>
        </is>
      </c>
      <c r="B14" s="4" t="inlineStr">
        <is>
          <t>B0DHYBY6MS</t>
        </is>
      </c>
      <c r="C14" s="4" t="n">
        <v>1</v>
      </c>
      <c r="D14" s="4" t="n">
        <v>0</v>
      </c>
      <c r="E14" s="6" t="n">
        <v>0.71</v>
      </c>
      <c r="F14" s="6" t="n">
        <v>0</v>
      </c>
      <c r="G14" s="7">
        <f>IF(F14&gt;0,E14/F14,"")</f>
        <v/>
      </c>
      <c r="H14" s="7">
        <f>IF(C14&gt;0,D14/C14,"")</f>
        <v/>
      </c>
    </row>
    <row r="15">
      <c r="A15" s="4" t="inlineStr">
        <is>
          <t>soporte movil coche gancho</t>
        </is>
      </c>
      <c r="B15" s="4" t="inlineStr">
        <is>
          <t>B0DHYBY6MS</t>
        </is>
      </c>
      <c r="C15" s="4" t="n">
        <v>1</v>
      </c>
      <c r="D15" s="4" t="n">
        <v>0</v>
      </c>
      <c r="E15" s="6" t="n">
        <v>0.77</v>
      </c>
      <c r="F15" s="6" t="n">
        <v>0</v>
      </c>
      <c r="G15" s="7">
        <f>IF(F15&gt;0,E15/F15,"")</f>
        <v/>
      </c>
      <c r="H15" s="7">
        <f>IF(C15&gt;0,D15/C15,"")</f>
        <v/>
      </c>
    </row>
    <row r="16">
      <c r="A16" s="4" t="inlineStr">
        <is>
          <t>soporte coche telefono movil</t>
        </is>
      </c>
      <c r="B16" s="4" t="inlineStr">
        <is>
          <t>B0DHYBY6MS</t>
        </is>
      </c>
      <c r="C16" s="4" t="n">
        <v>1</v>
      </c>
      <c r="D16" s="4" t="n">
        <v>0</v>
      </c>
      <c r="E16" s="6" t="n">
        <v>0.75</v>
      </c>
      <c r="F16" s="6" t="n">
        <v>0</v>
      </c>
      <c r="G16" s="7">
        <f>IF(F16&gt;0,E16/F16,"")</f>
        <v/>
      </c>
      <c r="H16" s="7">
        <f>IF(C16&gt;0,D16/C16,"")</f>
        <v/>
      </c>
    </row>
    <row r="17">
      <c r="A17" s="4" t="inlineStr">
        <is>
          <t>soporte coche para telefono movil</t>
        </is>
      </c>
      <c r="B17" s="4" t="inlineStr">
        <is>
          <t>B0DHYBY6MS</t>
        </is>
      </c>
      <c r="C17" s="4" t="n">
        <v>1</v>
      </c>
      <c r="D17" s="4" t="n">
        <v>0</v>
      </c>
      <c r="E17" s="6" t="n">
        <v>0.87</v>
      </c>
      <c r="F17" s="6" t="n">
        <v>0</v>
      </c>
      <c r="G17" s="7">
        <f>IF(F17&gt;0,E17/F17,"")</f>
        <v/>
      </c>
      <c r="H17" s="7">
        <f>IF(C17&gt;0,D17/C17,"")</f>
        <v/>
      </c>
    </row>
    <row r="18">
      <c r="A18" s="4" t="inlineStr">
        <is>
          <t>soporte telefono para rejilla ventilacion redonda</t>
        </is>
      </c>
      <c r="B18" s="4" t="inlineStr">
        <is>
          <t>B0DHYBY6MS</t>
        </is>
      </c>
      <c r="C18" s="4" t="n">
        <v>1</v>
      </c>
      <c r="D18" s="4" t="n">
        <v>0</v>
      </c>
      <c r="E18" s="6" t="n">
        <v>0.87</v>
      </c>
      <c r="F18" s="6" t="n">
        <v>0</v>
      </c>
      <c r="G18" s="7">
        <f>IF(F18&gt;0,E18/F18,"")</f>
        <v/>
      </c>
      <c r="H18" s="7">
        <f>IF(C18&gt;0,D18/C18,"")</f>
        <v/>
      </c>
    </row>
    <row r="19">
      <c r="A19" s="4" t="inlineStr">
        <is>
          <t>soporte móvil viaje coche</t>
        </is>
      </c>
      <c r="B19" s="4" t="inlineStr">
        <is>
          <t>B0DHYBY6MS</t>
        </is>
      </c>
      <c r="C19" s="4" t="n">
        <v>1</v>
      </c>
      <c r="D19" s="4" t="n">
        <v>0</v>
      </c>
      <c r="E19" s="6" t="n">
        <v>0.65</v>
      </c>
      <c r="F19" s="6" t="n">
        <v>0</v>
      </c>
      <c r="G19" s="7">
        <f>IF(F19&gt;0,E19/F19,"")</f>
        <v/>
      </c>
      <c r="H19" s="7">
        <f>IF(C19&gt;0,D19/C19,"")</f>
        <v/>
      </c>
    </row>
    <row r="20">
      <c r="A20" s="4" t="inlineStr">
        <is>
          <t>soporte telefono rejilla</t>
        </is>
      </c>
      <c r="B20" s="4" t="inlineStr">
        <is>
          <t>B0DHYBY6MS</t>
        </is>
      </c>
      <c r="C20" s="4" t="n">
        <v>1</v>
      </c>
      <c r="D20" s="4" t="n">
        <v>0</v>
      </c>
      <c r="E20" s="6" t="n">
        <v>0.63</v>
      </c>
      <c r="F20" s="6" t="n">
        <v>0</v>
      </c>
      <c r="G20" s="7">
        <f>IF(F20&gt;0,E20/F20,"")</f>
        <v/>
      </c>
      <c r="H20" s="7">
        <f>IF(C20&gt;0,D20/C20,"")</f>
        <v/>
      </c>
    </row>
    <row r="21">
      <c r="A21" s="4" t="inlineStr">
        <is>
          <t>soporte para movil con pinza para coche</t>
        </is>
      </c>
      <c r="B21" s="4" t="inlineStr">
        <is>
          <t>B0DCZS1NR6</t>
        </is>
      </c>
      <c r="C21" s="4" t="n">
        <v>1</v>
      </c>
      <c r="D21" s="4" t="n">
        <v>0</v>
      </c>
      <c r="E21" s="6" t="n">
        <v>0.62</v>
      </c>
      <c r="F21" s="6" t="n">
        <v>0</v>
      </c>
      <c r="G21" s="7">
        <f>IF(F21&gt;0,E21/F21,"")</f>
        <v/>
      </c>
      <c r="H21" s="7">
        <f>IF(C21&gt;0,D21/C21,"")</f>
        <v/>
      </c>
    </row>
    <row r="22">
      <c r="A22" s="4" t="inlineStr">
        <is>
          <t>soporte movil coche pinzas</t>
        </is>
      </c>
      <c r="B22" s="4" t="inlineStr">
        <is>
          <t>B0DCZS1NR6</t>
        </is>
      </c>
      <c r="C22" s="4" t="n">
        <v>1</v>
      </c>
      <c r="D22" s="4" t="n">
        <v>0</v>
      </c>
      <c r="E22" s="6" t="n">
        <v>0.57</v>
      </c>
      <c r="F22" s="6" t="n">
        <v>0</v>
      </c>
      <c r="G22" s="7">
        <f>IF(F22&gt;0,E22/F22,"")</f>
        <v/>
      </c>
      <c r="H22" s="7">
        <f>IF(C22&gt;0,D22/C22,"")</f>
        <v/>
      </c>
    </row>
    <row r="23">
      <c r="A23" s="4" t="inlineStr">
        <is>
          <t>soporte para móvil coche de pinza</t>
        </is>
      </c>
      <c r="B23" s="4" t="inlineStr">
        <is>
          <t>B0DCZS1NR6</t>
        </is>
      </c>
      <c r="C23" s="4" t="n">
        <v>1</v>
      </c>
      <c r="D23" s="4" t="n">
        <v>0</v>
      </c>
      <c r="E23" s="6" t="n">
        <v>0.5</v>
      </c>
      <c r="F23" s="6" t="n">
        <v>0</v>
      </c>
      <c r="G23" s="7">
        <f>IF(F23&gt;0,E23/F23,"")</f>
        <v/>
      </c>
      <c r="H23" s="7">
        <f>IF(C23&gt;0,D23/C23,"")</f>
        <v/>
      </c>
    </row>
    <row r="24">
      <c r="A24" s="4" t="inlineStr">
        <is>
          <t>soporte movil para coche pinza</t>
        </is>
      </c>
      <c r="B24" s="4" t="inlineStr">
        <is>
          <t>B0DCZS1NR6</t>
        </is>
      </c>
      <c r="C24" s="4" t="n">
        <v>1</v>
      </c>
      <c r="D24" s="4" t="n">
        <v>0</v>
      </c>
      <c r="E24" s="6" t="n">
        <v>0.5</v>
      </c>
      <c r="F24" s="6" t="n">
        <v>0</v>
      </c>
      <c r="G24" s="7">
        <f>IF(F24&gt;0,E24/F24,"")</f>
        <v/>
      </c>
      <c r="H24" s="7">
        <f>IF(C24&gt;0,D24/C24,"")</f>
        <v/>
      </c>
    </row>
    <row r="25">
      <c r="A25" s="4" t="inlineStr">
        <is>
          <t>soporte móvil coche pinzas</t>
        </is>
      </c>
      <c r="B25" s="4" t="inlineStr">
        <is>
          <t>B0DCZS1NR6</t>
        </is>
      </c>
      <c r="C25" s="4" t="n">
        <v>1</v>
      </c>
      <c r="D25" s="4" t="n">
        <v>0</v>
      </c>
      <c r="E25" s="6" t="n">
        <v>0.43</v>
      </c>
      <c r="F25" s="6" t="n">
        <v>0</v>
      </c>
      <c r="G25" s="7">
        <f>IF(F25&gt;0,E25/F25,"")</f>
        <v/>
      </c>
      <c r="H25" s="7">
        <f>IF(C25&gt;0,D25/C25,"")</f>
        <v/>
      </c>
    </row>
    <row r="26">
      <c r="A26" s="4" t="inlineStr">
        <is>
          <t>soporte telefono para rejilla aire</t>
        </is>
      </c>
      <c r="B26" s="4" t="inlineStr">
        <is>
          <t>B0DHYBY6MS</t>
        </is>
      </c>
      <c r="C26" s="4" t="n">
        <v>1</v>
      </c>
      <c r="D26" s="4" t="n">
        <v>0</v>
      </c>
      <c r="E26" s="6" t="n">
        <v>0.41</v>
      </c>
      <c r="F26" s="6" t="n">
        <v>0</v>
      </c>
      <c r="G26" s="7">
        <f>IF(F26&gt;0,E26/F26,"")</f>
        <v/>
      </c>
      <c r="H26" s="7">
        <f>IF(C26&gt;0,D26/C26,"")</f>
        <v/>
      </c>
    </row>
    <row r="27">
      <c r="A27" s="4" t="inlineStr">
        <is>
          <t>soporte telefono rejilla ventilación</t>
        </is>
      </c>
      <c r="B27" s="4" t="inlineStr">
        <is>
          <t>B0DHYBY6MS</t>
        </is>
      </c>
      <c r="C27" s="4" t="n">
        <v>1</v>
      </c>
      <c r="D27" s="4" t="n">
        <v>0</v>
      </c>
      <c r="E27" s="6" t="n">
        <v>0.4</v>
      </c>
      <c r="F27" s="6" t="n">
        <v>0</v>
      </c>
      <c r="G27" s="7">
        <f>IF(F27&gt;0,E27/F27,"")</f>
        <v/>
      </c>
      <c r="H27" s="7">
        <f>IF(C27&gt;0,D27/C27,"")</f>
        <v/>
      </c>
    </row>
    <row r="28">
      <c r="A28" s="4" t="inlineStr">
        <is>
          <t>soporte teléfono rejilla</t>
        </is>
      </c>
      <c r="B28" s="4" t="inlineStr">
        <is>
          <t>B0DHYBY6MS</t>
        </is>
      </c>
      <c r="C28" s="4" t="n">
        <v>1</v>
      </c>
      <c r="D28" s="4" t="n">
        <v>0</v>
      </c>
      <c r="E28" s="6" t="n">
        <v>0.35</v>
      </c>
      <c r="F28" s="6" t="n">
        <v>0</v>
      </c>
      <c r="G28" s="7">
        <f>IF(F28&gt;0,E28/F28,"")</f>
        <v/>
      </c>
      <c r="H28" s="7">
        <f>IF(C28&gt;0,D28/C28,"")</f>
        <v/>
      </c>
    </row>
    <row r="29">
      <c r="A29" s="4" t="inlineStr">
        <is>
          <t>sujeta móvil para coche pinza</t>
        </is>
      </c>
      <c r="B29" s="4" t="inlineStr">
        <is>
          <t>B0DCZS1NR6</t>
        </is>
      </c>
      <c r="C29" s="4" t="n">
        <v>1</v>
      </c>
      <c r="D29" s="4" t="n">
        <v>0</v>
      </c>
      <c r="E29" s="6" t="n">
        <v>0.24</v>
      </c>
      <c r="F29" s="6" t="n">
        <v>0</v>
      </c>
      <c r="G29" s="7">
        <f>IF(F29&gt;0,E29/F29,"")</f>
        <v/>
      </c>
      <c r="H29" s="7">
        <f>IF(C29&gt;0,D29/C29,"")</f>
        <v/>
      </c>
    </row>
    <row r="30">
      <c r="A30" s="5" t="inlineStr">
        <is>
          <t>Total</t>
        </is>
      </c>
      <c r="B30" s="5" t="inlineStr"/>
      <c r="C30" s="5">
        <f>SUM(C2:C29)</f>
        <v/>
      </c>
      <c r="D30" s="5">
        <f>SUM(D2:D29)</f>
        <v/>
      </c>
      <c r="E30" s="9">
        <f>SUM(E2:E29)</f>
        <v/>
      </c>
      <c r="F30" s="9">
        <f>SUM(F2:F29)</f>
        <v/>
      </c>
      <c r="G30" s="10">
        <f>IF(F30&gt;0,E30/F30,"")</f>
        <v/>
      </c>
      <c r="H30" s="10">
        <f>IF(C30&gt;0,D30/C30,"")</f>
        <v/>
      </c>
    </row>
    <row r="32">
      <c r="A32" s="11" t="inlineStr">
        <is>
          <t>Fuente: términos de búsqueda de Amazon Ads (vía AdLabs), actualizado 2026-09-28. Sin marcas.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6" customWidth="1" min="4" max="4"/>
    <col width="42" customWidth="1" min="5" max="5"/>
    <col width="42" customWidth="1" min="6" max="6"/>
    <col width="42" customWidth="1" min="7" max="7"/>
  </cols>
  <sheetData>
    <row r="1">
      <c r="A1" s="3" t="inlineStr">
        <is>
          <t>Producto nuestro</t>
        </is>
      </c>
      <c r="B1" s="3" t="inlineStr">
        <is>
          <t>ASIN competidor</t>
        </is>
      </c>
      <c r="C1" s="3" t="inlineStr">
        <is>
          <t>Competidor</t>
        </is>
      </c>
      <c r="D1" s="3" t="inlineStr">
        <is>
          <t>Valoración</t>
        </is>
      </c>
      <c r="E1" s="3" t="inlineStr">
        <is>
          <t>Lo que valoran</t>
        </is>
      </c>
      <c r="F1" s="3" t="inlineStr">
        <is>
          <t>Lo que critican</t>
        </is>
      </c>
      <c r="G1" s="3" t="inlineStr">
        <is>
          <t>Idea para keywords / ficha</t>
        </is>
      </c>
    </row>
    <row r="2">
      <c r="A2" s="12" t="inlineStr">
        <is>
          <t>Pinza</t>
        </is>
      </c>
      <c r="B2" s="12" t="inlineStr">
        <is>
          <t>B07H996QMD</t>
        </is>
      </c>
      <c r="C2" s="12" t="inlineStr">
        <is>
          <t>OcioDual – pinza salpicadero</t>
        </is>
      </c>
      <c r="D2" s="12" t="inlineStr">
        <is>
          <t>3,6 ★ (580)</t>
        </is>
      </c>
      <c r="E2" s="12" t="inlineStr">
        <is>
          <t>Fácil de poner; encima del cuadro/volante para ver el GPS sin girar la cabeza</t>
        </is>
      </c>
      <c r="F2" s="12" t="inlineStr">
        <is>
          <t>Se deforma con el calor y deja de agarrar; se rompe; salta en baches; solo horizontal</t>
        </is>
      </c>
      <c r="G2" s="12" t="inlineStr">
        <is>
          <t>'resistente al calor', 'no se cae en baches', 'vertical y horizontal', 'encima del volante', GPS</t>
        </is>
      </c>
    </row>
    <row r="3">
      <c r="A3" s="12" t="inlineStr">
        <is>
          <t>Pinza</t>
        </is>
      </c>
      <c r="B3" s="12" t="inlineStr">
        <is>
          <t>B09P3SZB6P</t>
        </is>
      </c>
      <c r="C3" s="12" t="inlineStr">
        <is>
          <t>AUTOZOCO – salpicadero con resorte</t>
        </is>
      </c>
      <c r="D3" s="12" t="inlineStr">
        <is>
          <t>(nº1 en su categoría)</t>
        </is>
      </c>
      <c r="E3" s="12" t="inlineStr">
        <is>
          <t>Encaja en la tapa del salpicadero / consola central; buena calidad-precio</t>
        </is>
      </c>
      <c r="F3" s="12" t="inlineStr">
        <is>
          <t>Fijación poco segura; no orientable; dudas con el calor</t>
        </is>
      </c>
      <c r="G3" s="12" t="inlineStr">
        <is>
          <t>'consola central', 'tapa salpicadero', 'orientable 360' (si lo es)</t>
        </is>
      </c>
    </row>
    <row r="4">
      <c r="A4" s="12" t="inlineStr">
        <is>
          <t>Pinza</t>
        </is>
      </c>
      <c r="B4" s="12" t="inlineStr">
        <is>
          <t>B08N4KR6PK</t>
        </is>
      </c>
      <c r="C4" s="12" t="inlineStr">
        <is>
          <t>BEENLE – salpicadero + retrovisor</t>
        </is>
      </c>
      <c r="D4" s="12" t="inlineStr">
        <is>
          <t>—</t>
        </is>
      </c>
      <c r="E4" s="12" t="inlineStr">
        <is>
          <t>Gira 360°, robusto, fácil de instalar; se usa en guantera o parasol</t>
        </is>
      </c>
      <c r="F4" s="12" t="inlineStr">
        <is>
          <t>Se sale con el movimiento; aprieta los botones del móvil; faltaba el destornillador</t>
        </is>
      </c>
      <c r="G4" s="12" t="inlineStr">
        <is>
          <t>'parasol', 'guantera', 'no pulsa los botones'</t>
        </is>
      </c>
    </row>
    <row r="5">
      <c r="A5" s="12" t="inlineStr">
        <is>
          <t>Pinza</t>
        </is>
      </c>
      <c r="B5" s="12" t="inlineStr">
        <is>
          <t>B0BS1TQJH2</t>
        </is>
      </c>
      <c r="C5" s="12" t="inlineStr">
        <is>
          <t>Sujeta teléfono pinza (gravedad)</t>
        </is>
      </c>
      <c r="D5" s="12" t="inlineStr">
        <is>
          <t>—</t>
        </is>
      </c>
      <c r="E5" s="12" t="inlineStr">
        <is>
          <t>Ajustable a cada móvil; diseño divertido; se puede cargar</t>
        </is>
      </c>
      <c r="F5" s="12" t="inlineStr">
        <is>
          <t>Baja calidad; con funda casi no cabe</t>
        </is>
      </c>
      <c r="G5" s="12" t="inlineStr">
        <is>
          <t>'compatible con funda'</t>
        </is>
      </c>
    </row>
    <row r="6">
      <c r="A6" s="12" t="inlineStr">
        <is>
          <t>Rejilla</t>
        </is>
      </c>
      <c r="B6" s="12" t="inlineStr">
        <is>
          <t>B0DHK6KBGH</t>
        </is>
      </c>
      <c r="C6" s="12" t="inlineStr">
        <is>
          <t>miracase – doble gancho metálico</t>
        </is>
      </c>
      <c r="D6" s="12" t="inlineStr">
        <is>
          <t>nº1 más vendido</t>
        </is>
      </c>
      <c r="E6" s="12" t="inlineStr">
        <is>
          <t>Firme si la rejilla es la adecuada; no daña la rejilla; no se cae con baches</t>
        </is>
      </c>
      <c r="F6" s="12" t="inlineStr">
        <is>
          <t>Depende de la forma de la rejilla</t>
        </is>
      </c>
      <c r="G6" s="12" t="inlineStr">
        <is>
          <t>'doble gancho', 'no daña la rejilla', 'no se cae con baches'</t>
        </is>
      </c>
    </row>
    <row r="7">
      <c r="A7" s="12" t="inlineStr">
        <is>
          <t>Rejilla</t>
        </is>
      </c>
      <c r="B7" s="12" t="inlineStr">
        <is>
          <t>B0F3J3QHD7</t>
        </is>
      </c>
      <c r="C7" s="12" t="inlineStr">
        <is>
          <t>GRIFEMA – rejilla cierre automático</t>
        </is>
      </c>
      <c r="D7" s="12" t="inlineStr">
        <is>
          <t>6,99 €</t>
        </is>
      </c>
      <c r="E7" s="12" t="inlineStr">
        <is>
          <t>Barato; fácil de instalar; 'Toma de aire'</t>
        </is>
      </c>
      <c r="F7" s="12" t="inlineStr">
        <is>
          <t>Se mueve con un móvil pesado</t>
        </is>
      </c>
      <c r="G7" s="12" t="inlineStr">
        <is>
          <t>'toma de aire', 'móvil pesado / grande'</t>
        </is>
      </c>
    </row>
    <row r="8">
      <c r="A8" s="12" t="inlineStr">
        <is>
          <t>Rejilla</t>
        </is>
      </c>
      <c r="B8" s="12" t="inlineStr">
        <is>
          <t>B0C1NK79FK</t>
        </is>
      </c>
      <c r="C8" s="12" t="inlineStr">
        <is>
          <t>Blukar – rejilla ventilación</t>
        </is>
      </c>
      <c r="D8" s="12" t="inlineStr">
        <is>
          <t>—</t>
        </is>
      </c>
      <c r="E8" s="12" t="inlineStr">
        <is>
          <t>Mejor que los de ventosa; sólido; rejilla del aire acondicionado</t>
        </is>
      </c>
      <c r="F8" s="12" t="inlineStr">
        <is>
          <t>Pesado; flexa rejillas largas; la rosca de la bola se afloja</t>
        </is>
      </c>
      <c r="G8" s="12" t="inlineStr">
        <is>
          <t>'aire acondicionado', 'mejor que ventosa'</t>
        </is>
      </c>
    </row>
    <row r="9">
      <c r="A9" s="12" t="inlineStr">
        <is>
          <t>Rejilla</t>
        </is>
      </c>
      <c r="B9" s="12" t="inlineStr">
        <is>
          <t>B08CKYFLHQ</t>
        </is>
      </c>
      <c r="C9" s="12" t="inlineStr">
        <is>
          <t>Blukar – rejillas de ventilación</t>
        </is>
      </c>
      <c r="D9" s="12" t="inlineStr">
        <is>
          <t>—</t>
        </is>
      </c>
      <c r="E9" s="12" t="inlineStr">
        <is>
          <t>Dos agarres; gira a horizontal; de toda la vida</t>
        </is>
      </c>
      <c r="F9" s="12" t="inlineStr">
        <is>
          <t>Rejillas tipo ruleta (redondas) cuestan</t>
        </is>
      </c>
      <c r="G9" s="12" t="inlineStr">
        <is>
          <t>'rejilla redonda' (si encaja), 'horizontal y vertical'</t>
        </is>
      </c>
    </row>
    <row r="11">
      <c r="A11" s="11" t="inlineStr">
        <is>
          <t>Fuente: fichas y reseñas visibles en amazon.es, resumidas. Las frases derivadas están en las hojas de producto con fuente 'Reseñas competencia'.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5" t="inlineStr">
        <is>
          <t>Google Trends — 'soporte movil coche', España, últimos 5 años (índice 0-100)</t>
        </is>
      </c>
    </row>
    <row r="3">
      <c r="A3" s="3" t="inlineStr">
        <is>
          <t>Año</t>
        </is>
      </c>
      <c r="B3" s="3" t="inlineStr">
        <is>
          <t>Interés medio</t>
        </is>
      </c>
      <c r="C3" s="4" t="n"/>
      <c r="D3" s="4" t="n"/>
      <c r="E3" s="4" t="n"/>
      <c r="F3" s="4" t="n"/>
    </row>
    <row r="4">
      <c r="A4" s="4" t="inlineStr">
        <is>
          <t>2021 (sep-dic)</t>
        </is>
      </c>
      <c r="B4" s="4" t="n">
        <v>24.5</v>
      </c>
      <c r="C4" s="4" t="n"/>
      <c r="D4" s="4" t="n"/>
      <c r="E4" s="4" t="n"/>
      <c r="F4" s="4" t="n"/>
    </row>
    <row r="5">
      <c r="A5" s="4" t="inlineStr">
        <is>
          <t>2022</t>
        </is>
      </c>
      <c r="B5" s="4" t="n">
        <v>31</v>
      </c>
      <c r="C5" s="4" t="n"/>
      <c r="D5" s="4" t="n"/>
      <c r="E5" s="4" t="n"/>
      <c r="F5" s="4" t="n"/>
    </row>
    <row r="6">
      <c r="A6" s="4" t="inlineStr">
        <is>
          <t>2023</t>
        </is>
      </c>
      <c r="B6" s="4" t="n">
        <v>25.9</v>
      </c>
      <c r="C6" s="4" t="n"/>
      <c r="D6" s="4" t="n"/>
      <c r="E6" s="4" t="n"/>
      <c r="F6" s="4" t="n"/>
    </row>
    <row r="7">
      <c r="A7" s="4" t="inlineStr">
        <is>
          <t>2024</t>
        </is>
      </c>
      <c r="B7" s="4" t="n">
        <v>21</v>
      </c>
      <c r="C7" s="4" t="n"/>
      <c r="D7" s="4" t="n"/>
      <c r="E7" s="4" t="n"/>
      <c r="F7" s="4" t="n"/>
    </row>
    <row r="8">
      <c r="A8" s="4" t="inlineStr">
        <is>
          <t>2025</t>
        </is>
      </c>
      <c r="B8" s="4" t="n">
        <v>18.8</v>
      </c>
      <c r="C8" s="4" t="n"/>
      <c r="D8" s="4" t="n"/>
      <c r="E8" s="4" t="n"/>
      <c r="F8" s="4" t="n"/>
    </row>
    <row r="9">
      <c r="A9" s="4" t="inlineStr">
        <is>
          <t>2026 (ene-sep)</t>
        </is>
      </c>
      <c r="B9" s="4" t="n">
        <v>15.1</v>
      </c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3" t="inlineStr">
        <is>
          <t>Mes (media 5 años)</t>
        </is>
      </c>
      <c r="B11" s="3" t="inlineStr">
        <is>
          <t>Interés medio</t>
        </is>
      </c>
      <c r="C11" s="4" t="n"/>
      <c r="D11" s="4" t="n"/>
      <c r="E11" s="4" t="n"/>
      <c r="F11" s="4" t="n"/>
    </row>
    <row r="12">
      <c r="A12" s="4" t="inlineStr">
        <is>
          <t>Enero</t>
        </is>
      </c>
      <c r="B12" s="4" t="n">
        <v>23.2</v>
      </c>
      <c r="C12" s="4" t="n"/>
      <c r="D12" s="4" t="n"/>
      <c r="E12" s="4" t="n"/>
      <c r="F12" s="4" t="n"/>
    </row>
    <row r="13">
      <c r="A13" s="4" t="inlineStr">
        <is>
          <t>Febrero</t>
        </is>
      </c>
      <c r="B13" s="4" t="n">
        <v>20.8</v>
      </c>
      <c r="C13" s="4" t="n"/>
      <c r="D13" s="4" t="n"/>
      <c r="E13" s="4" t="n"/>
      <c r="F13" s="4" t="n"/>
    </row>
    <row r="14">
      <c r="A14" s="4" t="inlineStr">
        <is>
          <t>Marzo</t>
        </is>
      </c>
      <c r="B14" s="4" t="n">
        <v>22</v>
      </c>
      <c r="C14" s="4" t="n"/>
      <c r="D14" s="4" t="n"/>
      <c r="E14" s="4" t="n"/>
      <c r="F14" s="4" t="n"/>
    </row>
    <row r="15">
      <c r="A15" s="4" t="inlineStr">
        <is>
          <t>Abril</t>
        </is>
      </c>
      <c r="B15" s="4" t="n">
        <v>25.6</v>
      </c>
      <c r="C15" s="4" t="n"/>
      <c r="D15" s="4" t="n"/>
      <c r="E15" s="4" t="n"/>
      <c r="F15" s="4" t="n"/>
    </row>
    <row r="16">
      <c r="A16" s="4" t="inlineStr">
        <is>
          <t>Mayo</t>
        </is>
      </c>
      <c r="B16" s="4" t="n">
        <v>21.1</v>
      </c>
      <c r="C16" s="4" t="n"/>
      <c r="D16" s="4" t="n"/>
      <c r="E16" s="4" t="n"/>
      <c r="F16" s="4" t="n"/>
    </row>
    <row r="17">
      <c r="A17" s="4" t="inlineStr">
        <is>
          <t>Junio</t>
        </is>
      </c>
      <c r="B17" s="4" t="n">
        <v>21.6</v>
      </c>
      <c r="C17" s="4" t="n"/>
      <c r="D17" s="4" t="n"/>
      <c r="E17" s="4" t="n"/>
      <c r="F17" s="4" t="n"/>
    </row>
    <row r="18">
      <c r="A18" s="4" t="inlineStr">
        <is>
          <t>Julio</t>
        </is>
      </c>
      <c r="B18" s="4" t="n">
        <v>26</v>
      </c>
      <c r="C18" s="4" t="n"/>
      <c r="D18" s="4" t="n"/>
      <c r="E18" s="4" t="n"/>
      <c r="F18" s="4" t="n"/>
    </row>
    <row r="19">
      <c r="A19" s="4" t="inlineStr">
        <is>
          <t>Agosto</t>
        </is>
      </c>
      <c r="B19" s="4" t="n">
        <v>26.4</v>
      </c>
      <c r="C19" s="4" t="n"/>
      <c r="D19" s="4" t="n"/>
      <c r="E19" s="4" t="n"/>
      <c r="F19" s="4" t="n"/>
    </row>
    <row r="20">
      <c r="A20" s="4" t="inlineStr">
        <is>
          <t>Septiembre</t>
        </is>
      </c>
      <c r="B20" s="4" t="n">
        <v>20.5</v>
      </c>
      <c r="C20" s="4" t="n"/>
      <c r="D20" s="4" t="n"/>
      <c r="E20" s="4" t="n"/>
      <c r="F20" s="4" t="n"/>
    </row>
    <row r="21">
      <c r="A21" s="4" t="inlineStr">
        <is>
          <t>Octubre</t>
        </is>
      </c>
      <c r="B21" s="4" t="n">
        <v>20.9</v>
      </c>
      <c r="C21" s="4" t="n"/>
      <c r="D21" s="4" t="n"/>
      <c r="E21" s="4" t="n"/>
      <c r="F21" s="4" t="n"/>
    </row>
    <row r="22">
      <c r="A22" s="4" t="inlineStr">
        <is>
          <t>Noviembre</t>
        </is>
      </c>
      <c r="B22" s="4" t="n">
        <v>21.2</v>
      </c>
      <c r="C22" s="4" t="n"/>
      <c r="D22" s="4" t="n"/>
      <c r="E22" s="4" t="n"/>
      <c r="F22" s="4" t="n"/>
    </row>
    <row r="23">
      <c r="A23" s="4" t="inlineStr">
        <is>
          <t>Diciembre</t>
        </is>
      </c>
      <c r="B23" s="4" t="n">
        <v>24.7</v>
      </c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3" t="inlineStr">
        <is>
          <t>Consultas en ascenso</t>
        </is>
      </c>
      <c r="B25" s="3" t="inlineStr">
        <is>
          <t>Crecimiento</t>
        </is>
      </c>
      <c r="C25" s="4" t="n"/>
      <c r="D25" s="4" t="n"/>
      <c r="E25" s="4" t="n"/>
      <c r="F25" s="4" t="n"/>
    </row>
    <row r="26">
      <c r="A26" s="4" t="inlineStr">
        <is>
          <t>soporte móvil coche homologado</t>
        </is>
      </c>
      <c r="B26" s="4" t="inlineStr">
        <is>
          <t>+700 %</t>
        </is>
      </c>
      <c r="C26" s="4" t="n"/>
      <c r="D26" s="4" t="n"/>
      <c r="E26" s="4" t="n"/>
      <c r="F26" s="4" t="n"/>
    </row>
    <row r="27">
      <c r="A27" s="4" t="inlineStr">
        <is>
          <t>soporte movil coche dgt</t>
        </is>
      </c>
      <c r="B27" s="4" t="inlineStr">
        <is>
          <t>+450 %</t>
        </is>
      </c>
      <c r="C27" s="4" t="n"/>
      <c r="D27" s="4" t="n"/>
      <c r="E27" s="4" t="n"/>
      <c r="F27" s="4" t="n"/>
    </row>
    <row r="28">
      <c r="A28" s="4" t="inlineStr">
        <is>
          <t>soporte homologado movil coche</t>
        </is>
      </c>
      <c r="B28" s="4" t="inlineStr">
        <is>
          <t>+300 %</t>
        </is>
      </c>
      <c r="C28" s="4" t="n"/>
      <c r="D28" s="4" t="n"/>
      <c r="E28" s="4" t="n"/>
      <c r="F28" s="4" t="n"/>
    </row>
    <row r="29">
      <c r="A29" s="4" t="inlineStr">
        <is>
          <t>Tema: Homologación</t>
        </is>
      </c>
      <c r="B29" s="4" t="inlineStr">
        <is>
          <t>+170 %</t>
        </is>
      </c>
      <c r="C29" s="4" t="n"/>
      <c r="D29" s="4" t="n"/>
      <c r="E29" s="4" t="n"/>
      <c r="F29" s="4" t="n"/>
    </row>
    <row r="30">
      <c r="A30" s="4" t="inlineStr">
        <is>
          <t>Tema: Ventosa</t>
        </is>
      </c>
      <c r="B30" s="4" t="inlineStr">
        <is>
          <t>+160 %</t>
        </is>
      </c>
      <c r="C30" s="4" t="n"/>
      <c r="D30" s="4" t="n"/>
      <c r="E30" s="4" t="n"/>
      <c r="F30" s="4" t="n"/>
    </row>
    <row r="31">
      <c r="A31" s="4" t="inlineStr">
        <is>
          <t>Tema: Panel de instrumentos</t>
        </is>
      </c>
      <c r="B31" s="4" t="inlineStr">
        <is>
          <t>+130 %</t>
        </is>
      </c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5" t="inlineStr">
        <is>
          <t>Conclusiones</t>
        </is>
      </c>
      <c r="B33" s="4" t="n"/>
      <c r="C33" s="4" t="n"/>
      <c r="D33" s="4" t="n"/>
      <c r="E33" s="4" t="n"/>
      <c r="F33" s="4" t="n"/>
    </row>
    <row r="34" ht="30" customHeight="1">
      <c r="A34" s="2" t="inlineStr">
        <is>
          <t>1. La búsqueda en Google de 'soporte movil coche' baja cada año (31 en 2022 → 15 en 2026): mercado maduro, hay que ganar con frases específicas, no genéricas.</t>
        </is>
      </c>
      <c r="B34" s="4" t="n"/>
      <c r="C34" s="4" t="n"/>
      <c r="D34" s="4" t="n"/>
      <c r="E34" s="4" t="n"/>
      <c r="F34" s="4" t="n"/>
    </row>
    <row r="35" ht="30" customHeight="1">
      <c r="A35" s="2" t="inlineStr">
        <is>
          <t>2. Picos en julio-agosto (viajes de verano), diciembre (regalos) y Semana Santa. Buen momento para tener stock y subir presupuesto.</t>
        </is>
      </c>
      <c r="B35" s="4" t="n"/>
      <c r="C35" s="4" t="n"/>
      <c r="D35" s="4" t="n"/>
      <c r="E35" s="4" t="n"/>
      <c r="F35" s="4" t="n"/>
    </row>
    <row r="36" ht="30" customHeight="1">
      <c r="A36" s="2" t="inlineStr">
        <is>
          <t>3. Sube 'homologado' / 'DGT': la gente busca soportes legales. Si tu soporte no tapa la visión y cumple, dilo en la ficha (sin inventar homologaciones).</t>
        </is>
      </c>
      <c r="B36" s="4" t="n"/>
      <c r="C36" s="4" t="n"/>
      <c r="D36" s="4" t="n"/>
      <c r="E36" s="4" t="n"/>
      <c r="F36" s="4" t="n"/>
    </row>
    <row r="37" ht="30" customHeight="1">
      <c r="A37" s="2" t="inlineStr">
        <is>
          <t>4. Entre tipos, 'magnético' y 'ventosa' son los más buscados en Google; 'rejilla' crece; 'pinza' casi no tiene volumen en Google (sí en Amazon).</t>
        </is>
      </c>
      <c r="B37" s="4" t="n"/>
      <c r="C37" s="4" t="n"/>
      <c r="D37" s="4" t="n"/>
      <c r="E37" s="4" t="n"/>
      <c r="F37" s="4" t="n"/>
    </row>
    <row r="38" ht="30" customHeight="1">
      <c r="A38" s="2" t="inlineStr">
        <is>
          <t>5. Google Trends no mide Amazon: úsalo para temporada y tendencia, no para decidir pujas.</t>
        </is>
      </c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3" t="inlineStr">
        <is>
          <t>Mes</t>
        </is>
      </c>
      <c r="B40" s="3" t="inlineStr">
        <is>
          <t>Interés</t>
        </is>
      </c>
      <c r="C40" s="4" t="n"/>
      <c r="D40" s="4" t="n"/>
      <c r="E40" s="4" t="n"/>
      <c r="F40" s="4" t="n"/>
    </row>
    <row r="41">
      <c r="A41" s="4" t="inlineStr">
        <is>
          <t>2021-09</t>
        </is>
      </c>
      <c r="B41" s="4" t="n">
        <v>23</v>
      </c>
      <c r="C41" s="4" t="n"/>
      <c r="D41" s="4" t="n"/>
      <c r="E41" s="4" t="n"/>
      <c r="F41" s="4" t="n"/>
    </row>
    <row r="42">
      <c r="A42" s="4" t="inlineStr">
        <is>
          <t>2021-10</t>
        </is>
      </c>
      <c r="B42" s="4" t="n">
        <v>21.8</v>
      </c>
      <c r="C42" s="4" t="n"/>
      <c r="D42" s="4" t="n"/>
      <c r="E42" s="4" t="n"/>
      <c r="F42" s="4" t="n"/>
    </row>
    <row r="43">
      <c r="A43" s="4" t="inlineStr">
        <is>
          <t>2021-11</t>
        </is>
      </c>
      <c r="B43" s="4" t="n">
        <v>25</v>
      </c>
      <c r="C43" s="4" t="n"/>
      <c r="D43" s="4" t="n"/>
      <c r="E43" s="4" t="n"/>
      <c r="F43" s="4" t="n"/>
    </row>
    <row r="44">
      <c r="A44" s="4" t="inlineStr">
        <is>
          <t>2021-12</t>
        </is>
      </c>
      <c r="B44" s="4" t="n">
        <v>27.8</v>
      </c>
      <c r="C44" s="4" t="n"/>
      <c r="D44" s="4" t="n"/>
      <c r="E44" s="4" t="n"/>
      <c r="F44" s="4" t="n"/>
    </row>
    <row r="45">
      <c r="A45" s="4" t="inlineStr">
        <is>
          <t>2022-01</t>
        </is>
      </c>
      <c r="B45" s="4" t="n">
        <v>29.6</v>
      </c>
      <c r="C45" s="4" t="n"/>
      <c r="D45" s="4" t="n"/>
      <c r="E45" s="4" t="n"/>
      <c r="F45" s="4" t="n"/>
    </row>
    <row r="46">
      <c r="A46" s="4" t="inlineStr">
        <is>
          <t>2022-02</t>
        </is>
      </c>
      <c r="B46" s="4" t="n">
        <v>25.8</v>
      </c>
      <c r="C46" s="4" t="n"/>
      <c r="D46" s="4" t="n"/>
      <c r="E46" s="4" t="n"/>
      <c r="F46" s="4" t="n"/>
    </row>
    <row r="47">
      <c r="A47" s="4" t="inlineStr">
        <is>
          <t>2022-03</t>
        </is>
      </c>
      <c r="B47" s="4" t="n">
        <v>31.3</v>
      </c>
      <c r="C47" s="4" t="n"/>
      <c r="D47" s="4" t="n"/>
      <c r="E47" s="4" t="n"/>
      <c r="F47" s="4" t="n"/>
    </row>
    <row r="48">
      <c r="A48" s="4" t="inlineStr">
        <is>
          <t>2022-04</t>
        </is>
      </c>
      <c r="B48" s="4" t="n">
        <v>59</v>
      </c>
      <c r="C48" s="4" t="n"/>
      <c r="D48" s="4" t="n"/>
      <c r="E48" s="4" t="n"/>
      <c r="F48" s="4" t="n"/>
    </row>
    <row r="49">
      <c r="A49" s="4" t="inlineStr">
        <is>
          <t>2022-05</t>
        </is>
      </c>
      <c r="B49" s="4" t="n">
        <v>28.8</v>
      </c>
      <c r="C49" s="4" t="n"/>
      <c r="D49" s="4" t="n"/>
      <c r="E49" s="4" t="n"/>
      <c r="F49" s="4" t="n"/>
    </row>
    <row r="50">
      <c r="A50" s="4" t="inlineStr">
        <is>
          <t>2022-06</t>
        </is>
      </c>
      <c r="B50" s="4" t="n">
        <v>31.5</v>
      </c>
      <c r="C50" s="4" t="n"/>
      <c r="D50" s="4" t="n"/>
      <c r="E50" s="4" t="n"/>
      <c r="F50" s="4" t="n"/>
    </row>
    <row r="51">
      <c r="A51" s="4" t="inlineStr">
        <is>
          <t>2022-07</t>
        </is>
      </c>
      <c r="B51" s="4" t="n">
        <v>34.6</v>
      </c>
      <c r="C51" s="4" t="n"/>
      <c r="D51" s="4" t="n"/>
      <c r="E51" s="4" t="n"/>
      <c r="F51" s="4" t="n"/>
    </row>
    <row r="52">
      <c r="A52" s="4" t="inlineStr">
        <is>
          <t>2022-08</t>
        </is>
      </c>
      <c r="B52" s="4" t="n">
        <v>33</v>
      </c>
      <c r="C52" s="4" t="n"/>
      <c r="D52" s="4" t="n"/>
      <c r="E52" s="4" t="n"/>
      <c r="F52" s="4" t="n"/>
    </row>
    <row r="53">
      <c r="A53" s="4" t="inlineStr">
        <is>
          <t>2022-09</t>
        </is>
      </c>
      <c r="B53" s="4" t="n">
        <v>28.5</v>
      </c>
      <c r="C53" s="4" t="n"/>
      <c r="D53" s="4" t="n"/>
      <c r="E53" s="4" t="n"/>
      <c r="F53" s="4" t="n"/>
    </row>
    <row r="54">
      <c r="A54" s="4" t="inlineStr">
        <is>
          <t>2022-10</t>
        </is>
      </c>
      <c r="B54" s="4" t="n">
        <v>21.8</v>
      </c>
      <c r="C54" s="4" t="n"/>
      <c r="D54" s="4" t="n"/>
      <c r="E54" s="4" t="n"/>
      <c r="F54" s="4" t="n"/>
    </row>
    <row r="55">
      <c r="A55" s="4" t="inlineStr">
        <is>
          <t>2022-11</t>
        </is>
      </c>
      <c r="B55" s="4" t="n">
        <v>23.3</v>
      </c>
      <c r="C55" s="4" t="n"/>
      <c r="D55" s="4" t="n"/>
      <c r="E55" s="4" t="n"/>
      <c r="F55" s="4" t="n"/>
    </row>
    <row r="56">
      <c r="A56" s="4" t="inlineStr">
        <is>
          <t>2022-12</t>
        </is>
      </c>
      <c r="B56" s="4" t="n">
        <v>27</v>
      </c>
      <c r="C56" s="4" t="n"/>
      <c r="D56" s="4" t="n"/>
      <c r="E56" s="4" t="n"/>
      <c r="F56" s="4" t="n"/>
    </row>
    <row r="57">
      <c r="A57" s="4" t="inlineStr">
        <is>
          <t>2023-01</t>
        </is>
      </c>
      <c r="B57" s="4" t="n">
        <v>24.6</v>
      </c>
      <c r="C57" s="4" t="n"/>
      <c r="D57" s="4" t="n"/>
      <c r="E57" s="4" t="n"/>
      <c r="F57" s="4" t="n"/>
    </row>
    <row r="58">
      <c r="A58" s="4" t="inlineStr">
        <is>
          <t>2023-02</t>
        </is>
      </c>
      <c r="B58" s="4" t="n">
        <v>21.5</v>
      </c>
      <c r="C58" s="4" t="n"/>
      <c r="D58" s="4" t="n"/>
      <c r="E58" s="4" t="n"/>
      <c r="F58" s="4" t="n"/>
    </row>
    <row r="59">
      <c r="A59" s="4" t="inlineStr">
        <is>
          <t>2023-03</t>
        </is>
      </c>
      <c r="B59" s="4" t="n">
        <v>27</v>
      </c>
      <c r="C59" s="4" t="n"/>
      <c r="D59" s="4" t="n"/>
      <c r="E59" s="4" t="n"/>
      <c r="F59" s="4" t="n"/>
    </row>
    <row r="60">
      <c r="A60" s="4" t="inlineStr">
        <is>
          <t>2023-04</t>
        </is>
      </c>
      <c r="B60" s="4" t="n">
        <v>24.2</v>
      </c>
      <c r="C60" s="4" t="n"/>
      <c r="D60" s="4" t="n"/>
      <c r="E60" s="4" t="n"/>
      <c r="F60" s="4" t="n"/>
    </row>
    <row r="61">
      <c r="A61" s="4" t="inlineStr">
        <is>
          <t>2023-05</t>
        </is>
      </c>
      <c r="B61" s="4" t="n">
        <v>25.8</v>
      </c>
      <c r="C61" s="4" t="n"/>
      <c r="D61" s="4" t="n"/>
      <c r="E61" s="4" t="n"/>
      <c r="F61" s="4" t="n"/>
    </row>
    <row r="62">
      <c r="A62" s="4" t="inlineStr">
        <is>
          <t>2023-06</t>
        </is>
      </c>
      <c r="B62" s="4" t="n">
        <v>25.8</v>
      </c>
      <c r="C62" s="4" t="n"/>
      <c r="D62" s="4" t="n"/>
      <c r="E62" s="4" t="n"/>
      <c r="F62" s="4" t="n"/>
    </row>
    <row r="63">
      <c r="A63" s="4" t="inlineStr">
        <is>
          <t>2023-07</t>
        </is>
      </c>
      <c r="B63" s="4" t="n">
        <v>31</v>
      </c>
      <c r="C63" s="4" t="n"/>
      <c r="D63" s="4" t="n"/>
      <c r="E63" s="4" t="n"/>
      <c r="F63" s="4" t="n"/>
    </row>
    <row r="64">
      <c r="A64" s="4" t="inlineStr">
        <is>
          <t>2023-08</t>
        </is>
      </c>
      <c r="B64" s="4" t="n">
        <v>33.3</v>
      </c>
      <c r="C64" s="4" t="n"/>
      <c r="D64" s="4" t="n"/>
      <c r="E64" s="4" t="n"/>
      <c r="F64" s="4" t="n"/>
    </row>
    <row r="65">
      <c r="A65" s="4" t="inlineStr">
        <is>
          <t>2023-09</t>
        </is>
      </c>
      <c r="B65" s="4" t="n">
        <v>23.8</v>
      </c>
      <c r="C65" s="4" t="n"/>
      <c r="D65" s="4" t="n"/>
      <c r="E65" s="4" t="n"/>
      <c r="F65" s="4" t="n"/>
    </row>
    <row r="66">
      <c r="A66" s="4" t="inlineStr">
        <is>
          <t>2023-10</t>
        </is>
      </c>
      <c r="B66" s="4" t="n">
        <v>24.8</v>
      </c>
      <c r="C66" s="4" t="n"/>
      <c r="D66" s="4" t="n"/>
      <c r="E66" s="4" t="n"/>
      <c r="F66" s="4" t="n"/>
    </row>
    <row r="67">
      <c r="A67" s="4" t="inlineStr">
        <is>
          <t>2023-11</t>
        </is>
      </c>
      <c r="B67" s="4" t="n">
        <v>22</v>
      </c>
      <c r="C67" s="4" t="n"/>
      <c r="D67" s="4" t="n"/>
      <c r="E67" s="4" t="n"/>
      <c r="F67" s="4" t="n"/>
    </row>
    <row r="68">
      <c r="A68" s="4" t="inlineStr">
        <is>
          <t>2023-12</t>
        </is>
      </c>
      <c r="B68" s="4" t="n">
        <v>26.8</v>
      </c>
      <c r="C68" s="4" t="n"/>
      <c r="D68" s="4" t="n"/>
      <c r="E68" s="4" t="n"/>
      <c r="F68" s="4" t="n"/>
    </row>
    <row r="69">
      <c r="A69" s="4" t="inlineStr">
        <is>
          <t>2024-01</t>
        </is>
      </c>
      <c r="B69" s="4" t="n">
        <v>22.3</v>
      </c>
      <c r="C69" s="4" t="n"/>
      <c r="D69" s="4" t="n"/>
      <c r="E69" s="4" t="n"/>
      <c r="F69" s="4" t="n"/>
    </row>
    <row r="70">
      <c r="A70" s="4" t="inlineStr">
        <is>
          <t>2024-02</t>
        </is>
      </c>
      <c r="B70" s="4" t="n">
        <v>21</v>
      </c>
      <c r="C70" s="4" t="n"/>
      <c r="D70" s="4" t="n"/>
      <c r="E70" s="4" t="n"/>
      <c r="F70" s="4" t="n"/>
    </row>
    <row r="71">
      <c r="A71" s="4" t="inlineStr">
        <is>
          <t>2024-03</t>
        </is>
      </c>
      <c r="B71" s="4" t="n">
        <v>20.6</v>
      </c>
      <c r="C71" s="4" t="n"/>
      <c r="D71" s="4" t="n"/>
      <c r="E71" s="4" t="n"/>
      <c r="F71" s="4" t="n"/>
    </row>
    <row r="72">
      <c r="A72" s="4" t="inlineStr">
        <is>
          <t>2024-04</t>
        </is>
      </c>
      <c r="B72" s="4" t="n">
        <v>15.8</v>
      </c>
      <c r="C72" s="4" t="n"/>
      <c r="D72" s="4" t="n"/>
      <c r="E72" s="4" t="n"/>
      <c r="F72" s="4" t="n"/>
    </row>
    <row r="73">
      <c r="A73" s="4" t="inlineStr">
        <is>
          <t>2024-05</t>
        </is>
      </c>
      <c r="B73" s="4" t="n">
        <v>19</v>
      </c>
      <c r="C73" s="4" t="n"/>
      <c r="D73" s="4" t="n"/>
      <c r="E73" s="4" t="n"/>
      <c r="F73" s="4" t="n"/>
    </row>
    <row r="74">
      <c r="A74" s="4" t="inlineStr">
        <is>
          <t>2024-06</t>
        </is>
      </c>
      <c r="B74" s="4" t="n">
        <v>20</v>
      </c>
      <c r="C74" s="4" t="n"/>
      <c r="D74" s="4" t="n"/>
      <c r="E74" s="4" t="n"/>
      <c r="F74" s="4" t="n"/>
    </row>
    <row r="75">
      <c r="A75" s="4" t="inlineStr">
        <is>
          <t>2024-07</t>
        </is>
      </c>
      <c r="B75" s="4" t="n">
        <v>20</v>
      </c>
      <c r="C75" s="4" t="n"/>
      <c r="D75" s="4" t="n"/>
      <c r="E75" s="4" t="n"/>
      <c r="F75" s="4" t="n"/>
    </row>
    <row r="76">
      <c r="A76" s="4" t="inlineStr">
        <is>
          <t>2024-08</t>
        </is>
      </c>
      <c r="B76" s="4" t="n">
        <v>30.5</v>
      </c>
      <c r="C76" s="4" t="n"/>
      <c r="D76" s="4" t="n"/>
      <c r="E76" s="4" t="n"/>
      <c r="F76" s="4" t="n"/>
    </row>
    <row r="77">
      <c r="A77" s="4" t="inlineStr">
        <is>
          <t>2024-09</t>
        </is>
      </c>
      <c r="B77" s="4" t="n">
        <v>21.2</v>
      </c>
      <c r="C77" s="4" t="n"/>
      <c r="D77" s="4" t="n"/>
      <c r="E77" s="4" t="n"/>
      <c r="F77" s="4" t="n"/>
    </row>
    <row r="78">
      <c r="A78" s="4" t="inlineStr">
        <is>
          <t>2024-10</t>
        </is>
      </c>
      <c r="B78" s="4" t="n">
        <v>17.8</v>
      </c>
      <c r="C78" s="4" t="n"/>
      <c r="D78" s="4" t="n"/>
      <c r="E78" s="4" t="n"/>
      <c r="F78" s="4" t="n"/>
    </row>
    <row r="79">
      <c r="A79" s="4" t="inlineStr">
        <is>
          <t>2024-11</t>
        </is>
      </c>
      <c r="B79" s="4" t="n">
        <v>21.5</v>
      </c>
      <c r="C79" s="4" t="n"/>
      <c r="D79" s="4" t="n"/>
      <c r="E79" s="4" t="n"/>
      <c r="F79" s="4" t="n"/>
    </row>
    <row r="80">
      <c r="A80" s="4" t="inlineStr">
        <is>
          <t>2024-12</t>
        </is>
      </c>
      <c r="B80" s="4" t="n">
        <v>22.8</v>
      </c>
      <c r="C80" s="4" t="n"/>
      <c r="D80" s="4" t="n"/>
      <c r="E80" s="4" t="n"/>
      <c r="F80" s="4" t="n"/>
    </row>
    <row r="81">
      <c r="A81" s="4" t="inlineStr">
        <is>
          <t>2025-01</t>
        </is>
      </c>
      <c r="B81" s="4" t="n">
        <v>22.3</v>
      </c>
      <c r="C81" s="4" t="n"/>
      <c r="D81" s="4" t="n"/>
      <c r="E81" s="4" t="n"/>
      <c r="F81" s="4" t="n"/>
    </row>
    <row r="82">
      <c r="A82" s="4" t="inlineStr">
        <is>
          <t>2025-02</t>
        </is>
      </c>
      <c r="B82" s="4" t="n">
        <v>19.5</v>
      </c>
      <c r="C82" s="4" t="n"/>
      <c r="D82" s="4" t="n"/>
      <c r="E82" s="4" t="n"/>
      <c r="F82" s="4" t="n"/>
    </row>
    <row r="83">
      <c r="A83" s="4" t="inlineStr">
        <is>
          <t>2025-03</t>
        </is>
      </c>
      <c r="B83" s="4" t="n">
        <v>18.8</v>
      </c>
      <c r="C83" s="4" t="n"/>
      <c r="D83" s="4" t="n"/>
      <c r="E83" s="4" t="n"/>
      <c r="F83" s="4" t="n"/>
    </row>
    <row r="84">
      <c r="A84" s="4" t="inlineStr">
        <is>
          <t>2025-04</t>
        </is>
      </c>
      <c r="B84" s="4" t="n">
        <v>16.8</v>
      </c>
      <c r="C84" s="4" t="n"/>
      <c r="D84" s="4" t="n"/>
      <c r="E84" s="4" t="n"/>
      <c r="F84" s="4" t="n"/>
    </row>
    <row r="85">
      <c r="A85" s="4" t="inlineStr">
        <is>
          <t>2025-05</t>
        </is>
      </c>
      <c r="B85" s="4" t="n">
        <v>16.8</v>
      </c>
      <c r="C85" s="4" t="n"/>
      <c r="D85" s="4" t="n"/>
      <c r="E85" s="4" t="n"/>
      <c r="F85" s="4" t="n"/>
    </row>
    <row r="86">
      <c r="A86" s="4" t="inlineStr">
        <is>
          <t>2025-06</t>
        </is>
      </c>
      <c r="B86" s="4" t="n">
        <v>19.2</v>
      </c>
      <c r="C86" s="4" t="n"/>
      <c r="D86" s="4" t="n"/>
      <c r="E86" s="4" t="n"/>
      <c r="F86" s="4" t="n"/>
    </row>
    <row r="87">
      <c r="A87" s="4" t="inlineStr">
        <is>
          <t>2025-07</t>
        </is>
      </c>
      <c r="B87" s="4" t="n">
        <v>23.3</v>
      </c>
      <c r="C87" s="4" t="n"/>
      <c r="D87" s="4" t="n"/>
      <c r="E87" s="4" t="n"/>
      <c r="F87" s="4" t="n"/>
    </row>
    <row r="88">
      <c r="A88" s="4" t="inlineStr">
        <is>
          <t>2025-08</t>
        </is>
      </c>
      <c r="B88" s="4" t="n">
        <v>21.6</v>
      </c>
      <c r="C88" s="4" t="n"/>
      <c r="D88" s="4" t="n"/>
      <c r="E88" s="4" t="n"/>
      <c r="F88" s="4" t="n"/>
    </row>
    <row r="89">
      <c r="A89" s="4" t="inlineStr">
        <is>
          <t>2025-09</t>
        </is>
      </c>
      <c r="B89" s="4" t="n">
        <v>15.5</v>
      </c>
      <c r="C89" s="4" t="n"/>
      <c r="D89" s="4" t="n"/>
      <c r="E89" s="4" t="n"/>
      <c r="F89" s="4" t="n"/>
    </row>
    <row r="90">
      <c r="A90" s="4" t="inlineStr">
        <is>
          <t>2025-10</t>
        </is>
      </c>
      <c r="B90" s="4" t="n">
        <v>17</v>
      </c>
      <c r="C90" s="4" t="n"/>
      <c r="D90" s="4" t="n"/>
      <c r="E90" s="4" t="n"/>
      <c r="F90" s="4" t="n"/>
    </row>
    <row r="91">
      <c r="A91" s="4" t="inlineStr">
        <is>
          <t>2025-11</t>
        </is>
      </c>
      <c r="B91" s="4" t="n">
        <v>15.6</v>
      </c>
      <c r="C91" s="4" t="n"/>
      <c r="D91" s="4" t="n"/>
      <c r="E91" s="4" t="n"/>
      <c r="F91" s="4" t="n"/>
    </row>
    <row r="92">
      <c r="A92" s="4" t="inlineStr">
        <is>
          <t>2025-12</t>
        </is>
      </c>
      <c r="B92" s="4" t="n">
        <v>19</v>
      </c>
      <c r="C92" s="4" t="n"/>
      <c r="D92" s="4" t="n"/>
      <c r="E92" s="4" t="n"/>
      <c r="F92" s="4" t="n"/>
    </row>
    <row r="93">
      <c r="A93" s="4" t="inlineStr">
        <is>
          <t>2026-01</t>
        </is>
      </c>
      <c r="B93" s="4" t="n">
        <v>15.5</v>
      </c>
      <c r="C93" s="4" t="n"/>
      <c r="D93" s="4" t="n"/>
      <c r="E93" s="4" t="n"/>
      <c r="F93" s="4" t="n"/>
    </row>
    <row r="94">
      <c r="A94" s="4" t="inlineStr">
        <is>
          <t>2026-02</t>
        </is>
      </c>
      <c r="B94" s="4" t="n">
        <v>16.3</v>
      </c>
      <c r="C94" s="4" t="n"/>
      <c r="D94" s="4" t="n"/>
      <c r="E94" s="4" t="n"/>
      <c r="F94" s="4" t="n"/>
    </row>
    <row r="95">
      <c r="A95" s="4" t="inlineStr">
        <is>
          <t>2026-03</t>
        </is>
      </c>
      <c r="B95" s="4" t="n">
        <v>15</v>
      </c>
      <c r="C95" s="4" t="n"/>
      <c r="D95" s="4" t="n"/>
      <c r="E95" s="4" t="n"/>
      <c r="F95" s="4" t="n"/>
    </row>
    <row r="96">
      <c r="A96" s="4" t="inlineStr">
        <is>
          <t>2026-04</t>
        </is>
      </c>
      <c r="B96" s="4" t="n">
        <v>12.8</v>
      </c>
      <c r="C96" s="4" t="n"/>
      <c r="D96" s="4" t="n"/>
      <c r="E96" s="4" t="n"/>
      <c r="F96" s="4" t="n"/>
    </row>
    <row r="97">
      <c r="A97" s="4" t="inlineStr">
        <is>
          <t>2026-05</t>
        </is>
      </c>
      <c r="B97" s="4" t="n">
        <v>14.8</v>
      </c>
      <c r="C97" s="4" t="n"/>
      <c r="D97" s="4" t="n"/>
      <c r="E97" s="4" t="n"/>
      <c r="F97" s="4" t="n"/>
    </row>
    <row r="98">
      <c r="A98" s="4" t="inlineStr">
        <is>
          <t>2026-06</t>
        </is>
      </c>
      <c r="B98" s="4" t="n">
        <v>12.8</v>
      </c>
      <c r="C98" s="4" t="n"/>
      <c r="D98" s="4" t="n"/>
      <c r="E98" s="4" t="n"/>
      <c r="F98" s="4" t="n"/>
    </row>
    <row r="99">
      <c r="A99" s="4" t="inlineStr">
        <is>
          <t>2026-07</t>
        </is>
      </c>
      <c r="B99" s="4" t="n">
        <v>18</v>
      </c>
      <c r="C99" s="4" t="n"/>
      <c r="D99" s="4" t="n"/>
      <c r="E99" s="4" t="n"/>
      <c r="F99" s="4" t="n"/>
    </row>
    <row r="100">
      <c r="A100" s="4" t="inlineStr">
        <is>
          <t>2026-08</t>
        </is>
      </c>
      <c r="B100" s="4" t="n">
        <v>17</v>
      </c>
      <c r="C100" s="4" t="n"/>
      <c r="D100" s="4" t="n"/>
      <c r="E100" s="4" t="n"/>
      <c r="F100" s="4" t="n"/>
    </row>
    <row r="101">
      <c r="A101" s="4" t="inlineStr">
        <is>
          <t>2026-09</t>
        </is>
      </c>
      <c r="B101" s="4" t="n">
        <v>13</v>
      </c>
      <c r="C101" s="4" t="n"/>
      <c r="D101" s="4" t="n"/>
      <c r="E101" s="4" t="n"/>
      <c r="F101" s="4" t="n"/>
    </row>
  </sheetData>
  <mergeCells count="5">
    <mergeCell ref="A38:F38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2026-09-28T13:39:38Z</dcterms:created>
  <dcterms:modified xmlns:dcterms="http://purl.org/dc/terms/" xmlns:xsi="http://www.w3.org/2001/XMLSchema-instance" xsi:type="dcterms:W3CDTF">2026-09-28T13:39:38Z</dcterms:modified>
</cp:coreProperties>
</file>