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Campañas" sheetId="2" state="visible" r:id="rId4"/>
    <sheet name="Segmentación" sheetId="3" state="visible" r:id="rId5"/>
    <sheet name="Seguimiento" sheetId="4" state="visible" r:id="rId6"/>
    <sheet name="Tickets" sheetId="5" state="visible" r:id="rId7"/>
    <sheet name="Histórico" sheetId="6" state="visible" r:id="rId8"/>
  </sheets>
  <definedNames>
    <definedName function="false" hidden="true" localSheetId="5" name="_xlnm._FilterDatabase" vbProcedure="false">Histórico!$A$3:$O$89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<sst xmlns="http://schemas.openxmlformats.org/spreadsheetml/2006/main" count="786" uniqueCount="303">
  <si>
    <t xml:space="preserve">Memoria de campañas FreshFinder (pinza + rejilla)</t>
  </si>
  <si>
    <t xml:space="preserve">Creada 26/09/2026 con crear_memoria.py a partir de FreshFinder_Amazon_Ads_historico.xlsx y keyword_ml.py</t>
  </si>
  <si>
    <t xml:space="preserve">PARÁMETROS</t>
  </si>
  <si>
    <t xml:space="preserve">ACOS objetivo</t>
  </si>
  <si>
    <t xml:space="preserve">Confirmado por Juan.</t>
  </si>
  <si>
    <t xml:space="preserve">Presupuesto diario por campaña</t>
  </si>
  <si>
    <t xml:space="preserve">Pedido por Juan (26/09/2026): 7 €/día en cada una de las 3 campañas.</t>
  </si>
  <si>
    <t xml:space="preserve">Nº de campañas en la cuenta</t>
  </si>
  <si>
    <t xml:space="preserve">Todas las campañas activas de la cartera, no solo las de esta memoria.</t>
  </si>
  <si>
    <t xml:space="preserve">Gasto máximo posible al mes</t>
  </si>
  <si>
    <t xml:space="preserve">21 €/día × 30 días. Coincide con el tope de la cartera.</t>
  </si>
  <si>
    <t xml:space="preserve">Tope mensual de la cartera</t>
  </si>
  <si>
    <t xml:space="preserve">Límite duro de CLAUDE.md (630 €, Juan 26/09/2026). Amazon para TODAS las campañas al llegar aquí.</t>
  </si>
  <si>
    <t xml:space="preserve">Días hasta agotar la cartera</t>
  </si>
  <si>
    <t xml:space="preserve">Con 21 €/día, la cartera dura el mes entero.</t>
  </si>
  <si>
    <t xml:space="preserve">Días entre revisiones de puja</t>
  </si>
  <si>
    <t xml:space="preserve">Pedido por Juan.</t>
  </si>
  <si>
    <t xml:space="preserve">Rango de puja sobre la original</t>
  </si>
  <si>
    <t xml:space="preserve">Pedido por Juan: ±50%.</t>
  </si>
  <si>
    <t xml:space="preserve">Stop-loss: clics sin ventas</t>
  </si>
  <si>
    <t xml:space="preserve">Propuesto; pendiente de confirmar.</t>
  </si>
  <si>
    <t xml:space="preserve">Clics mínimos para evaluar</t>
  </si>
  <si>
    <t xml:space="preserve">Con menos clics es ruido.</t>
  </si>
  <si>
    <t xml:space="preserve">Días para evaluar un cambio</t>
  </si>
  <si>
    <t xml:space="preserve">Sponsored Products atribuye ventas hasta 7 días después del clic.</t>
  </si>
  <si>
    <t xml:space="preserve">CÓMO USAR LA MEMORIA</t>
  </si>
  <si>
    <t xml:space="preserve">1. Sube resultados/bulk_2026-09-26.xlsx en Amazon Ads → Operaciones en bloque. Crea las 3 campañas EN PAUSA. Revisa el informe de resultados de Amazon.</t>
  </si>
  <si>
    <t xml:space="preserve">2. A mano: crea la cartera (T-001) y mete dentro las 3 campañas; añade la categoría de 'Pinza - Pruebas'. Activa las campañas cuando todo esté bien.</t>
  </si>
  <si>
    <t xml:space="preserve">3. En 'Tickets' pon la 'Fecha aplicado' de cada ticket y cambia su estado a 'Aplicado'.</t>
  </si>
  <si>
    <t xml:space="preserve">4. Cada 3 días: exporta Segmentación de cada campaña (rango DESDE LA CREACIÓN HASTA HOY) y copia una fila por keyword/ASIN en 'Seguimiento' (fecha, campaña, texto, coincidencia, puja, impresiones, clics, coste, compras, ventas).</t>
  </si>
  <si>
    <t xml:space="preserve">5. 'Segmentación' muestra el estado de cada keyword como en Amazon, con acción sugerida y stop-loss. Cada cambio que hagas = ticket nuevo (con la 'Base' copiada de Segmentación).</t>
  </si>
  <si>
    <t xml:space="preserve">6. Un ticket se evalúa a los 7 días y con ≥10 clics nuevos: 'Veredicto' dice Mejora/Empeora.</t>
  </si>
  <si>
    <t xml:space="preserve">7. Cada 2 semanas: descarga Términos de búsqueda (Amazon solo guarda 65 días) → negativas y keywords nuevas; y mira el informe de Ubicación.</t>
  </si>
  <si>
    <t xml:space="preserve">COLORES</t>
  </si>
  <si>
    <t xml:space="preserve">Ejemplo</t>
  </si>
  <si>
    <t xml:space="preserve">Celda para rellenar (texto azul)</t>
  </si>
  <si>
    <t xml:space="preserve">Keyword histórica: ya vendió</t>
  </si>
  <si>
    <t xml:space="preserve">Keyword especial del modelo (mismas reglas que las históricas)</t>
  </si>
  <si>
    <t xml:space="preserve">Campaña de pruebas: ASIN de competencia o categoría</t>
  </si>
  <si>
    <t xml:space="preserve">AVISOS</t>
  </si>
  <si>
    <t xml:space="preserve">• Las campañas antiguas siguen en pausa: si se reactivan, sus keywords compiten con estas (tú contra ti).</t>
  </si>
  <si>
    <t xml:space="preserve">• Los anuncios solo salen con la OFERTA DESTACADA (Buy Box) y stock. 0 impresiones → mira eso antes de tocar pujas.</t>
  </si>
  <si>
    <t xml:space="preserve">• Los ASIN de competencia salen de una búsqueda web: comprueba en amazon.es que existen y son más caros o peor valorados que el tuyo.</t>
  </si>
  <si>
    <t xml:space="preserve">• Rejilla: el modelo casi no aprende de su histórico (mejora 0,4% sobre la media; casi todo eran búsquedas genéricas). Sus especiales van más a ciegas que las de la pinza.</t>
  </si>
  <si>
    <t xml:space="preserve">Configuración de campañas (tal cual se crean en Amazon Ads)</t>
  </si>
  <si>
    <t xml:space="preserve">Campaña</t>
  </si>
  <si>
    <t xml:space="preserve">Grupo de anuncios</t>
  </si>
  <si>
    <t xml:space="preserve">Producto (ASIN)</t>
  </si>
  <si>
    <t xml:space="preserve">SKU</t>
  </si>
  <si>
    <t xml:space="preserve">Segmentación</t>
  </si>
  <si>
    <t xml:space="preserve">Presupuesto diario</t>
  </si>
  <si>
    <t xml:space="preserve">Estrategia de pujas</t>
  </si>
  <si>
    <t xml:space="preserve">Puja predet. grupo</t>
  </si>
  <si>
    <t xml:space="preserve">Ubicaciones</t>
  </si>
  <si>
    <t xml:space="preserve">Cartera</t>
  </si>
  <si>
    <t xml:space="preserve">Estado al crear</t>
  </si>
  <si>
    <t xml:space="preserve">Ticket medio (€)</t>
  </si>
  <si>
    <t xml:space="preserve">Nº segmentaciones</t>
  </si>
  <si>
    <t xml:space="preserve">Ticket</t>
  </si>
  <si>
    <t xml:space="preserve">Pou - Principal V2</t>
  </si>
  <si>
    <t xml:space="preserve">B0CPHXXHRQ</t>
  </si>
  <si>
    <t xml:space="preserve">NN-8FIP-9ZZT</t>
  </si>
  <si>
    <t xml:space="preserve">Manual - Palabras clave</t>
  </si>
  <si>
    <t xml:space="preserve">Pujas dinámicas: solo reducir</t>
  </si>
  <si>
    <t xml:space="preserve">0% en las 3 (revisar a las 2 semanas)</t>
  </si>
  <si>
    <t xml:space="preserve">FreshFinder - cartera</t>
  </si>
  <si>
    <t xml:space="preserve">En pausa</t>
  </si>
  <si>
    <t xml:space="preserve">Segmentación — mismas columnas que el export de Amazon Ads. Se actualiza sola desde 'Seguimiento'.</t>
  </si>
  <si>
    <t xml:space="preserve">Estado</t>
  </si>
  <si>
    <t xml:space="preserve">Palabra clave / segmentación</t>
  </si>
  <si>
    <t xml:space="preserve">Tipo de coincidencia</t>
  </si>
  <si>
    <t xml:space="preserve">Puja (EUR)</t>
  </si>
  <si>
    <t xml:space="preserve">Impresiones</t>
  </si>
  <si>
    <t xml:space="preserve">Clics</t>
  </si>
  <si>
    <t xml:space="preserve">CTR</t>
  </si>
  <si>
    <t xml:space="preserve">Coste total (EUR)</t>
  </si>
  <si>
    <t xml:space="preserve">CPC (EUR)</t>
  </si>
  <si>
    <t xml:space="preserve">Compras</t>
  </si>
  <si>
    <t xml:space="preserve">Ventas (EUR)</t>
  </si>
  <si>
    <t xml:space="preserve">ACOS</t>
  </si>
  <si>
    <t xml:space="preserve">ROAS</t>
  </si>
  <si>
    <t xml:space="preserve">Origen</t>
  </si>
  <si>
    <t xml:space="preserve">Puja original</t>
  </si>
  <si>
    <t xml:space="preserve">Puja mín. -50%</t>
  </si>
  <si>
    <t xml:space="preserve">Puja máx. +50%</t>
  </si>
  <si>
    <t xml:space="preserve">Puja máx. rentable</t>
  </si>
  <si>
    <t xml:space="preserve">Última foto</t>
  </si>
  <si>
    <t xml:space="preserve">Stop-loss</t>
  </si>
  <si>
    <t xml:space="preserve">Acción sugerida</t>
  </si>
  <si>
    <t xml:space="preserve">Clave</t>
  </si>
  <si>
    <t xml:space="preserve">peluches de pou</t>
  </si>
  <si>
    <t xml:space="preserve">Amplia</t>
  </si>
  <si>
    <t xml:space="preserve">Histórica</t>
  </si>
  <si>
    <t xml:space="preserve">T-003</t>
  </si>
  <si>
    <t xml:space="preserve">peluche pou</t>
  </si>
  <si>
    <t xml:space="preserve">Frase</t>
  </si>
  <si>
    <t xml:space="preserve">Especial IA</t>
  </si>
  <si>
    <t xml:space="preserve">T-004</t>
  </si>
  <si>
    <t xml:space="preserve">muñeco pou</t>
  </si>
  <si>
    <t xml:space="preserve">T-005</t>
  </si>
  <si>
    <t xml:space="preserve">muñeco de peluche pou</t>
  </si>
  <si>
    <t xml:space="preserve">T-006</t>
  </si>
  <si>
    <t xml:space="preserve">alien pou</t>
  </si>
  <si>
    <t xml:space="preserve">T-007</t>
  </si>
  <si>
    <t xml:space="preserve">peluche pou alienígena</t>
  </si>
  <si>
    <t xml:space="preserve">T-008</t>
  </si>
  <si>
    <t xml:space="preserve">peluche pou 22 cm</t>
  </si>
  <si>
    <t xml:space="preserve">T-009</t>
  </si>
  <si>
    <t xml:space="preserve">peluche pou regalo</t>
  </si>
  <si>
    <t xml:space="preserve">T-010</t>
  </si>
  <si>
    <t xml:space="preserve">muñeco pou regalo niño</t>
  </si>
  <si>
    <t xml:space="preserve">T-011</t>
  </si>
  <si>
    <t xml:space="preserve">pou peluche</t>
  </si>
  <si>
    <t xml:space="preserve">T-012</t>
  </si>
  <si>
    <t xml:space="preserve">TOTAL</t>
  </si>
  <si>
    <t xml:space="preserve">Seguimiento — una fila por keyword/ASIN en cada revisión (cada 3 días). Datos ACUMULADOS desde la creación.</t>
  </si>
  <si>
    <t xml:space="preserve">Fecha</t>
  </si>
  <si>
    <t xml:space="preserve">Nota</t>
  </si>
  <si>
    <t xml:space="preserve">Clave+fecha</t>
  </si>
  <si>
    <t xml:space="preserve">Día 0: creación (sin datos todavía)</t>
  </si>
  <si>
    <t xml:space="preserve">Tickets — uno por cambio. 'Base' = acumulado al aplicar el cambio; 'Después' = solo lo ocurrido desde entonces.</t>
  </si>
  <si>
    <t xml:space="preserve">Fecha creación</t>
  </si>
  <si>
    <t xml:space="preserve">Tipo de cambio</t>
  </si>
  <si>
    <t xml:space="preserve">Valor antes</t>
  </si>
  <si>
    <t xml:space="preserve">Valor después</t>
  </si>
  <si>
    <t xml:space="preserve">Cambio %</t>
  </si>
  <si>
    <t xml:space="preserve">Motivo / hipótesis</t>
  </si>
  <si>
    <t xml:space="preserve">ACOS de referencia</t>
  </si>
  <si>
    <t xml:space="preserve">Qué es la referencia</t>
  </si>
  <si>
    <t xml:space="preserve">Estado del ticket</t>
  </si>
  <si>
    <t xml:space="preserve">Fecha aplicado</t>
  </si>
  <si>
    <t xml:space="preserve">Revisar a partir de</t>
  </si>
  <si>
    <t xml:space="preserve">Base: Clics</t>
  </si>
  <si>
    <t xml:space="preserve">Base: Coste</t>
  </si>
  <si>
    <t xml:space="preserve">Base: Compras</t>
  </si>
  <si>
    <t xml:space="preserve">Base: Ventas</t>
  </si>
  <si>
    <t xml:space="preserve">Después: Clics</t>
  </si>
  <si>
    <t xml:space="preserve">Después: Coste</t>
  </si>
  <si>
    <t xml:space="preserve">Después: Compras</t>
  </si>
  <si>
    <t xml:space="preserve">Después: Ventas</t>
  </si>
  <si>
    <t xml:space="preserve">Después: ACOS</t>
  </si>
  <si>
    <t xml:space="preserve">Veredicto</t>
  </si>
  <si>
    <t xml:space="preserve">Cómo se aplica</t>
  </si>
  <si>
    <t xml:space="preserve">Notas</t>
  </si>
  <si>
    <t xml:space="preserve">T-001</t>
  </si>
  <si>
    <t xml:space="preserve">—</t>
  </si>
  <si>
    <t xml:space="preserve">Cambiar cartera</t>
  </si>
  <si>
    <t xml:space="preserve">Subir el límite MENSUAL de la cartera 'FreshFinder - cartera' a 840 € y meter dentro las campañas nuevas (Pou - Principal V2).</t>
  </si>
  <si>
    <t xml:space="preserve">Pendiente de aplicar</t>
  </si>
  <si>
    <t xml:space="preserve">A mano</t>
  </si>
  <si>
    <t xml:space="preserve">T-002</t>
  </si>
  <si>
    <t xml:space="preserve">Crear campaña y grupo</t>
  </si>
  <si>
    <t xml:space="preserve">Campaña 'Pou - Principal V2' (manual, palabras clave, 7 €/día, pujas dinámicas solo reducir) con el grupo 'Pou - Principal V2' y el anuncio B0CPHXXHRQ (NN-8FIP-9ZZT). Se crea en pausa.</t>
  </si>
  <si>
    <t xml:space="preserve">Hoja masiva</t>
  </si>
  <si>
    <t xml:space="preserve">Añadir keyword (histórica)</t>
  </si>
  <si>
    <t xml:space="preserve">Histórico (suma de 2 grupos): 1 clics, 1 compras, 0.20 € de gasto, 11.99 € de ventas. ACOS 1.7% &lt; 30% → subir 25% (limitada a la puja máx. rentable 0.12 €, con la conversión media del producto porque solo tiene 1 clics).</t>
  </si>
  <si>
    <t xml:space="preserve">ACOS en el histórico</t>
  </si>
  <si>
    <t xml:space="preserve">Añadir keyword (especial IA)</t>
  </si>
  <si>
    <t xml:space="preserve">La búsqueda principal del producto. Ya existía, pero con puja de 0,09 € casi no salió. Modelo: 5.6% compra/clic → puja máx. rentable 0.24 € (ACOS 35%).</t>
  </si>
  <si>
    <t xml:space="preserve">Sinónimo de peluche que usa el título ('Muñeco de peluche Pou'). Modelo: 6.9% compra/clic → puja máx. rentable 0.29 € (ACOS 35%).</t>
  </si>
  <si>
    <t xml:space="preserve">El nombre exacto del título. Modelo: 5.7% compra/clic → puja máx. rentable 0.24 € (ACOS 35%).</t>
  </si>
  <si>
    <t xml:space="preserve">Cómo busca mucha gente este peluche (ya estaba entre sus keywords, sin apenas pujas). Modelo: 6.9% compra/clic → puja máx. rentable 0.29 € (ACOS 35%).</t>
  </si>
  <si>
    <t xml:space="preserve">Palabra del título: 'alienígena con expresión'. Modelo: 5.7% compra/clic → puja máx. rentable 0.24 € (ACOS 35%).</t>
  </si>
  <si>
    <t xml:space="preserve">Quien busca el tamaño sabe lo que quiere: intención de compra alta. Modelo: 5.9% compra/clic → puja máx. rentable 0.25 € (ACOS 35%).</t>
  </si>
  <si>
    <t xml:space="preserve">El título lo vende como regalo. Modelo: 5.7% compra/clic → puja máx. rentable 0.24 € (ACOS 35%).</t>
  </si>
  <si>
    <t xml:space="preserve">'Regalo para el día del niño' del título. Modelo: 7.3% compra/clic → puja máx. rentable 0.30 € (ACOS 35%).</t>
  </si>
  <si>
    <t xml:space="preserve">Orden inverso de la búsqueda principal (Frase no cubre el cambio de orden). Modelo: 5.6% compra/clic → puja máx. rentable 0.24 € (ACOS 35%).</t>
  </si>
  <si>
    <t xml:space="preserve">T-013</t>
  </si>
  <si>
    <t xml:space="preserve">Añadir negativa</t>
  </si>
  <si>
    <t xml:space="preserve">peluche</t>
  </si>
  <si>
    <t xml:space="preserve">Exacta negativa</t>
  </si>
  <si>
    <t xml:space="preserve">Búsqueda genérica: 32 clics y 0 ventas en el histórico. Negativa EXACTA: no bloquea 'peluche pou'.</t>
  </si>
  <si>
    <t xml:space="preserve">T-014</t>
  </si>
  <si>
    <t xml:space="preserve">peluches</t>
  </si>
  <si>
    <t xml:space="preserve">Búsqueda genérica, misma razón.</t>
  </si>
  <si>
    <t xml:space="preserve">T-015</t>
  </si>
  <si>
    <t xml:space="preserve">T-016</t>
  </si>
  <si>
    <t xml:space="preserve">T-017</t>
  </si>
  <si>
    <t xml:space="preserve">T-018</t>
  </si>
  <si>
    <t xml:space="preserve">T-019</t>
  </si>
  <si>
    <t xml:space="preserve">T-020</t>
  </si>
  <si>
    <t xml:space="preserve">T-021</t>
  </si>
  <si>
    <t xml:space="preserve">T-022</t>
  </si>
  <si>
    <t xml:space="preserve">T-023</t>
  </si>
  <si>
    <t xml:space="preserve">T-024</t>
  </si>
  <si>
    <t xml:space="preserve">T-025</t>
  </si>
  <si>
    <t xml:space="preserve">T-026</t>
  </si>
  <si>
    <t xml:space="preserve">T-027</t>
  </si>
  <si>
    <t xml:space="preserve">T-028</t>
  </si>
  <si>
    <t xml:space="preserve">T-029</t>
  </si>
  <si>
    <t xml:space="preserve">T-030</t>
  </si>
  <si>
    <t xml:space="preserve">T-031</t>
  </si>
  <si>
    <t xml:space="preserve">T-032</t>
  </si>
  <si>
    <t xml:space="preserve">T-033</t>
  </si>
  <si>
    <t xml:space="preserve">T-034</t>
  </si>
  <si>
    <t xml:space="preserve">T-035</t>
  </si>
  <si>
    <t xml:space="preserve">T-036</t>
  </si>
  <si>
    <t xml:space="preserve">T-037</t>
  </si>
  <si>
    <t xml:space="preserve">T-038</t>
  </si>
  <si>
    <t xml:space="preserve">T-039</t>
  </si>
  <si>
    <t xml:space="preserve">T-040</t>
  </si>
  <si>
    <t xml:space="preserve">T-041</t>
  </si>
  <si>
    <t xml:space="preserve">T-042</t>
  </si>
  <si>
    <t xml:space="preserve">T-043</t>
  </si>
  <si>
    <t xml:space="preserve">T-044</t>
  </si>
  <si>
    <t xml:space="preserve">T-045</t>
  </si>
  <si>
    <t xml:space="preserve">T-046</t>
  </si>
  <si>
    <t xml:space="preserve">T-047</t>
  </si>
  <si>
    <t xml:space="preserve">T-048</t>
  </si>
  <si>
    <t xml:space="preserve">T-049</t>
  </si>
  <si>
    <t xml:space="preserve">T-050</t>
  </si>
  <si>
    <t xml:space="preserve">T-051</t>
  </si>
  <si>
    <t xml:space="preserve">T-052</t>
  </si>
  <si>
    <t xml:space="preserve">T-053</t>
  </si>
  <si>
    <t xml:space="preserve">T-054</t>
  </si>
  <si>
    <t xml:space="preserve">T-055</t>
  </si>
  <si>
    <t xml:space="preserve">T-056</t>
  </si>
  <si>
    <t xml:space="preserve">T-057</t>
  </si>
  <si>
    <t xml:space="preserve">T-058</t>
  </si>
  <si>
    <t xml:space="preserve">T-059</t>
  </si>
  <si>
    <t xml:space="preserve">T-060</t>
  </si>
  <si>
    <t xml:space="preserve">T-061</t>
  </si>
  <si>
    <t xml:space="preserve">T-062</t>
  </si>
  <si>
    <t xml:space="preserve">T-063</t>
  </si>
  <si>
    <t xml:space="preserve">T-064</t>
  </si>
  <si>
    <t xml:space="preserve">T-065</t>
  </si>
  <si>
    <t xml:space="preserve">T-066</t>
  </si>
  <si>
    <t xml:space="preserve">T-067</t>
  </si>
  <si>
    <t xml:space="preserve">T-068</t>
  </si>
  <si>
    <t xml:space="preserve">T-069</t>
  </si>
  <si>
    <t xml:space="preserve">T-070</t>
  </si>
  <si>
    <t xml:space="preserve">T-071</t>
  </si>
  <si>
    <t xml:space="preserve">T-072</t>
  </si>
  <si>
    <t xml:space="preserve">T-073</t>
  </si>
  <si>
    <t xml:space="preserve">T-074</t>
  </si>
  <si>
    <t xml:space="preserve">Histórico por producto (FreshFinder_Amazon_Ads_historico.xlsx; solo grupos donde el producto tiene ≥ 90% del gasto)</t>
  </si>
  <si>
    <t xml:space="preserve">Producto</t>
  </si>
  <si>
    <t xml:space="preserve">Campaña / grupo de anuncios</t>
  </si>
  <si>
    <t xml:space="preserve">Palabra clave</t>
  </si>
  <si>
    <t xml:space="preserve">¿En la campaña nueva?</t>
  </si>
  <si>
    <t xml:space="preserve">pou</t>
  </si>
  <si>
    <t xml:space="preserve">Campaña con ajustes preestablecidos - B0CPHXXHRQ - 27/9/2024 19:18:30 / Grupo de anuncios - 27/9/2024 19:18:30</t>
  </si>
  <si>
    <t xml:space="preserve">Sí</t>
  </si>
  <si>
    <t xml:space="preserve">Campaña con ajustes preestablecidos - B0CPHXXHRQ - 9/1/2025 23:10:23 / Pou Always</t>
  </si>
  <si>
    <t xml:space="preserve">peluch</t>
  </si>
  <si>
    <t xml:space="preserve">peluche barato</t>
  </si>
  <si>
    <t xml:space="preserve">peluchee</t>
  </si>
  <si>
    <t xml:space="preserve">peluche aradir</t>
  </si>
  <si>
    <t xml:space="preserve">peluches pou</t>
  </si>
  <si>
    <t xml:space="preserve">pou teddy</t>
  </si>
  <si>
    <t xml:space="preserve">alien pou peluche</t>
  </si>
  <si>
    <t xml:space="preserve">juguetes de pou</t>
  </si>
  <si>
    <t xml:space="preserve">little pet shop peluche</t>
  </si>
  <si>
    <t xml:space="preserve">mini pou peluche</t>
  </si>
  <si>
    <t xml:space="preserve">muneco de peluche pou</t>
  </si>
  <si>
    <t xml:space="preserve">muneco peluche pou</t>
  </si>
  <si>
    <t xml:space="preserve">peluces</t>
  </si>
  <si>
    <t xml:space="preserve">peluche alien pou</t>
  </si>
  <si>
    <t xml:space="preserve">peluche bonito</t>
  </si>
  <si>
    <t xml:space="preserve">Exacta</t>
  </si>
  <si>
    <t xml:space="preserve">peluche de chuymine</t>
  </si>
  <si>
    <t xml:space="preserve">peluche de garchomp</t>
  </si>
  <si>
    <t xml:space="preserve">peluche de kratos</t>
  </si>
  <si>
    <t xml:space="preserve">peluche de pau</t>
  </si>
  <si>
    <t xml:space="preserve">peluche de pene</t>
  </si>
  <si>
    <t xml:space="preserve">peluche de pou grande</t>
  </si>
  <si>
    <t xml:space="preserve">peluche de pou negro</t>
  </si>
  <si>
    <t xml:space="preserve">peluche de puchaina</t>
  </si>
  <si>
    <t xml:space="preserve">peluche de sonomaly</t>
  </si>
  <si>
    <t xml:space="preserve">peluche mikecrack</t>
  </si>
  <si>
    <t xml:space="preserve">peluche pou depresivo</t>
  </si>
  <si>
    <t xml:space="preserve">peluche pou sonido</t>
  </si>
  <si>
    <t xml:space="preserve">peluche raros</t>
  </si>
  <si>
    <t xml:space="preserve">peluche tamano real</t>
  </si>
  <si>
    <t xml:space="preserve">peluche terraria</t>
  </si>
  <si>
    <t xml:space="preserve">peluche wow</t>
  </si>
  <si>
    <t xml:space="preserve">pou alien</t>
  </si>
  <si>
    <t xml:space="preserve">pou peluche caca</t>
  </si>
  <si>
    <t xml:space="preserve">pou peluche grande</t>
  </si>
  <si>
    <t xml:space="preserve">pou peluche negro</t>
  </si>
  <si>
    <t xml:space="preserve">pou peluche pequeno</t>
  </si>
  <si>
    <t xml:space="preserve">regalo niño 3 años</t>
  </si>
  <si>
    <t xml:space="preserve">regalo niño peluche</t>
  </si>
  <si>
    <t xml:space="preserve">tinkaton peluche</t>
  </si>
  <si>
    <t xml:space="preserve">caca pou</t>
  </si>
  <si>
    <t xml:space="preserve">peluche bnha</t>
  </si>
  <si>
    <t xml:space="preserve">peluche de mlp</t>
  </si>
  <si>
    <t xml:space="preserve">peluche de pastelitos</t>
  </si>
  <si>
    <t xml:space="preserve">peluche de pou contento</t>
  </si>
  <si>
    <t xml:space="preserve">peluche marretas</t>
  </si>
  <si>
    <t xml:space="preserve">peluche memes</t>
  </si>
  <si>
    <t xml:space="preserve">peluche pou azul</t>
  </si>
  <si>
    <t xml:space="preserve">peluche pou negro</t>
  </si>
  <si>
    <t xml:space="preserve">peluche pou pequeno</t>
  </si>
  <si>
    <t xml:space="preserve">peluche pou triste</t>
  </si>
  <si>
    <t xml:space="preserve">peluche random</t>
  </si>
  <si>
    <t xml:space="preserve">peluchepou</t>
  </si>
  <si>
    <t xml:space="preserve">peluches astethic</t>
  </si>
  <si>
    <t xml:space="preserve">pou amarillo</t>
  </si>
  <si>
    <t xml:space="preserve">pou juguete</t>
  </si>
  <si>
    <t xml:space="preserve">pou peliche</t>
  </si>
  <si>
    <t xml:space="preserve">pou peluche gigante</t>
  </si>
  <si>
    <t xml:space="preserve">poy triste peluche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</si>
</sst>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-0.0%;\-"/>
    <numFmt numFmtId="166" formatCode="#,##0.00&quot; €&quot;;\-#,##0.00&quot; €&quot;;\-"/>
    <numFmt numFmtId="167" formatCode="0"/>
    <numFmt numFmtId="168" formatCode="0.0"/>
    <numFmt numFmtId="169" formatCode="#,##0;\-#,##0;\-"/>
    <numFmt numFmtId="170" formatCode="0.00;\-0.00;\-"/>
    <numFmt numFmtId="171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232F3E"/>
        <bgColor rgb="FF333300"/>
      </patternFill>
    </fill>
    <fill>
      <patternFill patternType="solid">
        <fgColor rgb="FF37475A"/>
        <bgColor rgb="FF232F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 patternType="solid">
          <fgColor rgb="FF232F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7475A"/>
      <rgbColor rgb="FF232F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0.35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7</v>
      </c>
      <c r="C6" s="6" t="s">
        <v>6</v>
      </c>
    </row>
    <row r="7" customFormat="false" ht="15" hidden="false" customHeight="false" outlineLevel="0" collapsed="false">
      <c r="A7" s="4" t="s">
        <v>7</v>
      </c>
      <c r="B7" s="8" t="n">
        <v>4</v>
      </c>
      <c r="C7" s="6" t="s">
        <v>8</v>
      </c>
    </row>
    <row r="8" customFormat="false" ht="15" hidden="false" customHeight="false" outlineLevel="0" collapsed="false">
      <c r="A8" s="4" t="s">
        <v>9</v>
      </c>
      <c r="B8" s="9" t="n">
        <f aca="false">B6*B7*30</f>
        <v>840</v>
      </c>
      <c r="C8" s="6" t="s">
        <v>10</v>
      </c>
    </row>
    <row r="9" customFormat="false" ht="15" hidden="false" customHeight="false" outlineLevel="0" collapsed="false">
      <c r="A9" s="4" t="s">
        <v>11</v>
      </c>
      <c r="B9" s="7" t="n">
        <v>840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10" t="n">
        <f aca="false">IFERROR(B9/(B6*B7),0)</f>
        <v>30</v>
      </c>
      <c r="C10" s="6" t="s">
        <v>14</v>
      </c>
    </row>
    <row r="11" customFormat="false" ht="15" hidden="false" customHeight="false" outlineLevel="0" collapsed="false">
      <c r="A11" s="4" t="s">
        <v>15</v>
      </c>
      <c r="B11" s="8" t="n">
        <v>3</v>
      </c>
      <c r="C11" s="6" t="s">
        <v>16</v>
      </c>
    </row>
    <row r="12" customFormat="false" ht="15" hidden="false" customHeight="false" outlineLevel="0" collapsed="false">
      <c r="A12" s="4" t="s">
        <v>17</v>
      </c>
      <c r="B12" s="5" t="n">
        <v>0.5</v>
      </c>
      <c r="C12" s="6" t="s">
        <v>18</v>
      </c>
    </row>
    <row r="13" customFormat="false" ht="15" hidden="false" customHeight="false" outlineLevel="0" collapsed="false">
      <c r="A13" s="4" t="s">
        <v>19</v>
      </c>
      <c r="B13" s="8" t="n">
        <v>15</v>
      </c>
      <c r="C13" s="6" t="s">
        <v>20</v>
      </c>
    </row>
    <row r="14" customFormat="false" ht="15" hidden="false" customHeight="false" outlineLevel="0" collapsed="false">
      <c r="A14" s="4" t="s">
        <v>21</v>
      </c>
      <c r="B14" s="8" t="n">
        <v>10</v>
      </c>
      <c r="C14" s="6" t="s">
        <v>22</v>
      </c>
    </row>
    <row r="15" customFormat="false" ht="15" hidden="false" customHeight="false" outlineLevel="0" collapsed="false">
      <c r="A15" s="4" t="s">
        <v>23</v>
      </c>
      <c r="B15" s="8" t="n">
        <v>7</v>
      </c>
      <c r="C15" s="6" t="s">
        <v>24</v>
      </c>
    </row>
    <row r="17" customFormat="false" ht="15" hidden="false" customHeight="false" outlineLevel="0" collapsed="false">
      <c r="A17" s="3" t="s">
        <v>25</v>
      </c>
    </row>
    <row r="18" customFormat="false" ht="31.5" hidden="false" customHeight="true" outlineLevel="0" collapsed="false">
      <c r="A18" s="11" t="s">
        <v>26</v>
      </c>
      <c r="B18" s="11"/>
      <c r="C18" s="11"/>
    </row>
    <row r="19" customFormat="false" ht="31.5" hidden="false" customHeight="true" outlineLevel="0" collapsed="false">
      <c r="A19" s="11" t="s">
        <v>27</v>
      </c>
      <c r="B19" s="11"/>
      <c r="C19" s="11"/>
    </row>
    <row r="20" customFormat="false" ht="31.5" hidden="false" customHeight="true" outlineLevel="0" collapsed="false">
      <c r="A20" s="11" t="s">
        <v>28</v>
      </c>
      <c r="B20" s="11"/>
      <c r="C20" s="11"/>
    </row>
    <row r="21" customFormat="false" ht="31.5" hidden="false" customHeight="true" outlineLevel="0" collapsed="false">
      <c r="A21" s="11" t="s">
        <v>29</v>
      </c>
      <c r="B21" s="11"/>
      <c r="C21" s="11"/>
    </row>
    <row r="22" customFormat="false" ht="31.5" hidden="false" customHeight="true" outlineLevel="0" collapsed="false">
      <c r="A22" s="11" t="s">
        <v>30</v>
      </c>
      <c r="B22" s="11"/>
      <c r="C22" s="11"/>
    </row>
    <row r="23" customFormat="false" ht="31.5" hidden="false" customHeight="true" outlineLevel="0" collapsed="false">
      <c r="A23" s="11" t="s">
        <v>31</v>
      </c>
      <c r="B23" s="11"/>
      <c r="C23" s="11"/>
    </row>
    <row r="24" customFormat="false" ht="31.5" hidden="false" customHeight="true" outlineLevel="0" collapsed="false">
      <c r="A24" s="11" t="s">
        <v>32</v>
      </c>
      <c r="B24" s="11"/>
      <c r="C24" s="11"/>
    </row>
    <row r="26" customFormat="false" ht="15" hidden="false" customHeight="false" outlineLevel="0" collapsed="false">
      <c r="A26" s="3" t="s">
        <v>33</v>
      </c>
    </row>
    <row r="27" customFormat="false" ht="15" hidden="false" customHeight="false" outlineLevel="0" collapsed="false">
      <c r="A27" s="12" t="s">
        <v>34</v>
      </c>
      <c r="B27" s="2" t="s">
        <v>35</v>
      </c>
    </row>
    <row r="28" customFormat="false" ht="15" hidden="false" customHeight="false" outlineLevel="0" collapsed="false">
      <c r="A28" s="13" t="s">
        <v>34</v>
      </c>
      <c r="B28" s="2" t="s">
        <v>36</v>
      </c>
    </row>
    <row r="29" customFormat="false" ht="15" hidden="false" customHeight="false" outlineLevel="0" collapsed="false">
      <c r="A29" s="14" t="s">
        <v>34</v>
      </c>
      <c r="B29" s="2" t="s">
        <v>37</v>
      </c>
    </row>
    <row r="30" customFormat="false" ht="15" hidden="false" customHeight="false" outlineLevel="0" collapsed="false">
      <c r="A30" s="15" t="s">
        <v>34</v>
      </c>
      <c r="B30" s="2" t="s">
        <v>38</v>
      </c>
    </row>
    <row r="32" customFormat="false" ht="15" hidden="false" customHeight="false" outlineLevel="0" collapsed="false">
      <c r="A32" s="3" t="s">
        <v>39</v>
      </c>
    </row>
    <row r="33" customFormat="false" ht="30" hidden="false" customHeight="true" outlineLevel="0" collapsed="false">
      <c r="A33" s="11" t="s">
        <v>40</v>
      </c>
      <c r="B33" s="11"/>
      <c r="C33" s="11"/>
    </row>
    <row r="34" customFormat="false" ht="30" hidden="false" customHeight="true" outlineLevel="0" collapsed="false">
      <c r="A34" s="11" t="s">
        <v>41</v>
      </c>
      <c r="B34" s="11"/>
      <c r="C34" s="11"/>
    </row>
    <row r="35" customFormat="false" ht="30" hidden="false" customHeight="true" outlineLevel="0" collapsed="false">
      <c r="A35" s="11" t="s">
        <v>42</v>
      </c>
      <c r="B35" s="11"/>
      <c r="C35" s="11"/>
    </row>
    <row r="36" customFormat="false" ht="30" hidden="false" customHeight="true" outlineLevel="0" collapsed="false">
      <c r="A36" s="11" t="s">
        <v>43</v>
      </c>
      <c r="B36" s="11"/>
      <c r="C36" s="11"/>
    </row>
  </sheetData>
  <mergeCells count="11">
    <mergeCell ref="A18:C18"/>
    <mergeCell ref="A19:C19"/>
    <mergeCell ref="A20:C20"/>
    <mergeCell ref="A21:C21"/>
    <mergeCell ref="A22:C22"/>
    <mergeCell ref="A23:C23"/>
    <mergeCell ref="A24:C24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10" min="9" style="0" width="26"/>
    <col collapsed="false" customWidth="true" hidden="false" outlineLevel="0" max="13" min="11" style="0" width="12"/>
    <col collapsed="false" customWidth="true" hidden="false" outlineLevel="0" max="14" min="14" style="0" width="9"/>
  </cols>
  <sheetData>
    <row r="1" customFormat="false" ht="17.35" hidden="false" customHeight="false" outlineLevel="0" collapsed="false">
      <c r="A1" s="1" t="s">
        <v>44</v>
      </c>
    </row>
    <row r="3" customFormat="false" ht="42" hidden="false" customHeight="true" outlineLevel="0" collapsed="false">
      <c r="A3" s="16" t="s">
        <v>45</v>
      </c>
      <c r="B3" s="16" t="s">
        <v>46</v>
      </c>
      <c r="C3" s="16" t="s">
        <v>47</v>
      </c>
      <c r="D3" s="16" t="s">
        <v>48</v>
      </c>
      <c r="E3" s="16" t="s">
        <v>49</v>
      </c>
      <c r="F3" s="16" t="s">
        <v>50</v>
      </c>
      <c r="G3" s="16" t="s">
        <v>51</v>
      </c>
      <c r="H3" s="16" t="s">
        <v>52</v>
      </c>
      <c r="I3" s="16" t="s">
        <v>53</v>
      </c>
      <c r="J3" s="16" t="s">
        <v>54</v>
      </c>
      <c r="K3" s="16" t="s">
        <v>55</v>
      </c>
      <c r="L3" s="16" t="s">
        <v>56</v>
      </c>
      <c r="M3" s="16" t="s">
        <v>57</v>
      </c>
      <c r="N3" s="16" t="s">
        <v>58</v>
      </c>
    </row>
    <row r="4" customFormat="false" ht="23.85" hidden="false" customHeight="false" outlineLevel="0" collapsed="false">
      <c r="A4" s="6" t="s">
        <v>59</v>
      </c>
      <c r="B4" s="6" t="s">
        <v>59</v>
      </c>
      <c r="C4" s="6" t="s">
        <v>60</v>
      </c>
      <c r="D4" s="6" t="s">
        <v>61</v>
      </c>
      <c r="E4" s="6" t="s">
        <v>62</v>
      </c>
      <c r="F4" s="17" t="n">
        <f aca="false">Leyenda!$B$6</f>
        <v>7</v>
      </c>
      <c r="G4" s="6" t="s">
        <v>63</v>
      </c>
      <c r="H4" s="18" t="n">
        <v>0.3</v>
      </c>
      <c r="I4" s="6" t="s">
        <v>64</v>
      </c>
      <c r="J4" s="6" t="s">
        <v>65</v>
      </c>
      <c r="K4" s="6" t="s">
        <v>66</v>
      </c>
      <c r="L4" s="18" t="n">
        <v>11.99</v>
      </c>
      <c r="M4" s="6" t="n">
        <v>10</v>
      </c>
      <c r="N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8" min="16" style="0" width="10"/>
    <col collapsed="false" customWidth="true" hidden="false" outlineLevel="0" max="19" min="19" style="0" width="11"/>
    <col collapsed="false" customWidth="true" hidden="false" outlineLevel="0" max="20" min="20" style="0" width="8"/>
    <col collapsed="false" customWidth="true" hidden="false" outlineLevel="0" max="21" min="21" style="0" width="11"/>
    <col collapsed="false" customWidth="true" hidden="false" outlineLevel="0" max="22" min="22" style="0" width="24"/>
    <col collapsed="false" customWidth="true" hidden="false" outlineLevel="0" max="23" min="23" style="0" width="32"/>
    <col collapsed="false" customWidth="true" hidden="true" outlineLevel="0" max="24" min="24" style="0" width="0.1"/>
  </cols>
  <sheetData>
    <row r="1" customFormat="false" ht="15" hidden="false" customHeight="false" outlineLevel="0" collapsed="false">
      <c r="A1" s="3" t="s">
        <v>67</v>
      </c>
    </row>
    <row r="3" customFormat="false" ht="42" hidden="false" customHeight="true" outlineLevel="0" collapsed="false">
      <c r="A3" s="16" t="s">
        <v>45</v>
      </c>
      <c r="B3" s="16" t="s">
        <v>68</v>
      </c>
      <c r="C3" s="16" t="s">
        <v>69</v>
      </c>
      <c r="D3" s="16" t="s">
        <v>70</v>
      </c>
      <c r="E3" s="16" t="s">
        <v>71</v>
      </c>
      <c r="F3" s="16" t="s">
        <v>72</v>
      </c>
      <c r="G3" s="16" t="s">
        <v>73</v>
      </c>
      <c r="H3" s="16" t="s">
        <v>74</v>
      </c>
      <c r="I3" s="16" t="s">
        <v>75</v>
      </c>
      <c r="J3" s="16" t="s">
        <v>76</v>
      </c>
      <c r="K3" s="16" t="s">
        <v>77</v>
      </c>
      <c r="L3" s="16" t="s">
        <v>78</v>
      </c>
      <c r="M3" s="16" t="s">
        <v>79</v>
      </c>
      <c r="N3" s="16" t="s">
        <v>80</v>
      </c>
      <c r="O3" s="19" t="s">
        <v>81</v>
      </c>
      <c r="P3" s="19" t="s">
        <v>82</v>
      </c>
      <c r="Q3" s="19" t="s">
        <v>83</v>
      </c>
      <c r="R3" s="19" t="s">
        <v>84</v>
      </c>
      <c r="S3" s="19" t="s">
        <v>85</v>
      </c>
      <c r="T3" s="19" t="s">
        <v>58</v>
      </c>
      <c r="U3" s="19" t="s">
        <v>86</v>
      </c>
      <c r="V3" s="19" t="s">
        <v>87</v>
      </c>
      <c r="W3" s="19" t="s">
        <v>88</v>
      </c>
      <c r="X3" s="19" t="s">
        <v>89</v>
      </c>
    </row>
    <row r="4" customFormat="false" ht="15" hidden="false" customHeight="false" outlineLevel="0" collapsed="false">
      <c r="A4" s="4" t="s">
        <v>59</v>
      </c>
      <c r="B4" s="4" t="str">
        <f aca="false">IFERROR(INDEX(Seguimiento!$E:$E,MATCH(X4&amp;"#"&amp;_xlfn.MAXIFS(Seguimiento!$A:$A,Seguimiento!$R:$R,X4),Seguimiento!$S:$S,0)),"Activado")</f>
        <v>En pausa</v>
      </c>
      <c r="C4" s="13" t="s">
        <v>90</v>
      </c>
      <c r="D4" s="4" t="s">
        <v>91</v>
      </c>
      <c r="E4" s="9" t="n">
        <f aca="false">IFERROR(IF(_xlfn.MAXIFS(Seguimiento!$A:$A,Seguimiento!$R:$R,X4)=0,P4,SUMIFS(Seguimiento!$G:$G,Seguimiento!$R:$R,X4,Seguimiento!$A:$A,_xlfn.MAXIFS(Seguimiento!$A:$A,Seguimiento!$R:$R,X4))),P4)</f>
        <v>0.12</v>
      </c>
      <c r="F4" s="20" t="n">
        <f aca="false">IFERROR(SUMIFS(Seguimiento!$H:$H,Seguimiento!$R:$R,X4,Seguimiento!$A:$A,_xlfn.MAXIFS(Seguimiento!$A:$A,Seguimiento!$R:$R,X4)),0)</f>
        <v>0</v>
      </c>
      <c r="G4" s="20" t="n">
        <f aca="false">IFERROR(SUMIFS(Seguimiento!$I:$I,Seguimiento!$R:$R,X4,Seguimiento!$A:$A,_xlfn.MAXIFS(Seguimiento!$A:$A,Seguimiento!$R:$R,X4)),0)</f>
        <v>0</v>
      </c>
      <c r="H4" s="21" t="n">
        <f aca="false">IFERROR(G4/F4,0)</f>
        <v>0</v>
      </c>
      <c r="I4" s="9" t="n">
        <f aca="false">IFERROR(SUMIFS(Seguimiento!$J:$J,Seguimiento!$R:$R,X4,Seguimiento!$A:$A,_xlfn.MAXIFS(Seguimiento!$A:$A,Seguimiento!$R:$R,X4)),0)</f>
        <v>0</v>
      </c>
      <c r="J4" s="9" t="n">
        <f aca="false">IFERROR(I4/G4,0)</f>
        <v>0</v>
      </c>
      <c r="K4" s="20" t="n">
        <f aca="false">IFERROR(SUMIFS(Seguimiento!$K:$K,Seguimiento!$R:$R,X4,Seguimiento!$A:$A,_xlfn.MAXIFS(Seguimiento!$A:$A,Seguimiento!$R:$R,X4)),0)</f>
        <v>0</v>
      </c>
      <c r="L4" s="9" t="n">
        <f aca="false">IFERROR(SUMIFS(Seguimiento!$L:$L,Seguimiento!$R:$R,X4,Seguimiento!$A:$A,_xlfn.MAXIFS(Seguimiento!$A:$A,Seguimiento!$R:$R,X4)),0)</f>
        <v>0</v>
      </c>
      <c r="M4" s="21" t="n">
        <f aca="false">IFERROR(I4/L4,0)</f>
        <v>0</v>
      </c>
      <c r="N4" s="22" t="n">
        <f aca="false">IFERROR(L4/I4,0)</f>
        <v>0</v>
      </c>
      <c r="O4" s="13" t="s">
        <v>92</v>
      </c>
      <c r="P4" s="7" t="n">
        <v>0.12</v>
      </c>
      <c r="Q4" s="9" t="n">
        <f aca="false">ROUND(P4*(1-Leyenda!$B$12),2)</f>
        <v>0.06</v>
      </c>
      <c r="R4" s="9" t="n">
        <f aca="false">ROUND(P4*(1+Leyenda!$B$12),2)</f>
        <v>0.18</v>
      </c>
      <c r="S4" s="9" t="n">
        <v>0.12</v>
      </c>
      <c r="T4" s="4" t="s">
        <v>93</v>
      </c>
      <c r="U4" s="23" t="n">
        <f aca="false">IFERROR(IF(_xlfn.MAXIFS(Seguimiento!$A:$A,Seguimiento!$R:$R,X4)=0,"",_xlfn.MAXIFS(Seguimiento!$A:$A,Seguimiento!$R:$R,X4)),"")</f>
        <v>46291</v>
      </c>
      <c r="V4" s="4" t="str">
        <f aca="false">IF(AND(G4&gt;=Leyenda!$B$13,K4=0),"PAUSAR (≥15 clics sin venta)",IF(AND(E4&lt;=Q4,G4&gt;=20,M4&gt;0.5),"PAUSAR (puja mínima y ACOS&gt;50%)",""))</f>
        <v/>
      </c>
      <c r="W4" s="4" t="str">
        <f aca="false">IF(LEFT(V4,6)="PAUSAR","Pausar y crear ticket",IF(G4&lt;Leyenda!$B$14,"Esperar (menos de 10 clics)",IF(K4=0,"Sin ventas aún: vigilar",IF(M4&lt;0.3,"Subir 10-25% (máx. "&amp;TEXT(MIN(R4,S4),"0.00")&amp;" €)",IF(M4&lt;=Leyenda!$B$5,"En objetivo: no tocar",IF(M4&lt;=0.5,"Bajar 10-25% (mín. "&amp;TEXT(Q4,"0.00")&amp;" €)","Bajar 25-50% (mín. "&amp;TEXT(Q4,"0.00")&amp;" €)"))))))</f>
        <v>Esperar (menos de 10 clics)</v>
      </c>
      <c r="X4" s="4" t="str">
        <f aca="false">A4&amp;" | "&amp;C4&amp;" | "&amp;D4</f>
        <v>Pou - Principal V2 | peluches de pou | Amplia</v>
      </c>
    </row>
    <row r="5" customFormat="false" ht="15" hidden="false" customHeight="false" outlineLevel="0" collapsed="false">
      <c r="A5" s="4" t="s">
        <v>59</v>
      </c>
      <c r="B5" s="4" t="str">
        <f aca="false">IFERROR(INDEX(Seguimiento!$E:$E,MATCH(X5&amp;"#"&amp;_xlfn.MAXIFS(Seguimiento!$A:$A,Seguimiento!$R:$R,X5),Seguimiento!$S:$S,0)),"Activado")</f>
        <v>En pausa</v>
      </c>
      <c r="C5" s="14" t="s">
        <v>94</v>
      </c>
      <c r="D5" s="4" t="s">
        <v>95</v>
      </c>
      <c r="E5" s="9" t="n">
        <f aca="false">IFERROR(IF(_xlfn.MAXIFS(Seguimiento!$A:$A,Seguimiento!$R:$R,X5)=0,P5,SUMIFS(Seguimiento!$G:$G,Seguimiento!$R:$R,X5,Seguimiento!$A:$A,_xlfn.MAXIFS(Seguimiento!$A:$A,Seguimiento!$R:$R,X5))),P5)</f>
        <v>0.24</v>
      </c>
      <c r="F5" s="20" t="n">
        <f aca="false">IFERROR(SUMIFS(Seguimiento!$H:$H,Seguimiento!$R:$R,X5,Seguimiento!$A:$A,_xlfn.MAXIFS(Seguimiento!$A:$A,Seguimiento!$R:$R,X5)),0)</f>
        <v>0</v>
      </c>
      <c r="G5" s="20" t="n">
        <f aca="false">IFERROR(SUMIFS(Seguimiento!$I:$I,Seguimiento!$R:$R,X5,Seguimiento!$A:$A,_xlfn.MAXIFS(Seguimiento!$A:$A,Seguimiento!$R:$R,X5)),0)</f>
        <v>0</v>
      </c>
      <c r="H5" s="21" t="n">
        <f aca="false">IFERROR(G5/F5,0)</f>
        <v>0</v>
      </c>
      <c r="I5" s="9" t="n">
        <f aca="false">IFERROR(SUMIFS(Seguimiento!$J:$J,Seguimiento!$R:$R,X5,Seguimiento!$A:$A,_xlfn.MAXIFS(Seguimiento!$A:$A,Seguimiento!$R:$R,X5)),0)</f>
        <v>0</v>
      </c>
      <c r="J5" s="9" t="n">
        <f aca="false">IFERROR(I5/G5,0)</f>
        <v>0</v>
      </c>
      <c r="K5" s="20" t="n">
        <f aca="false">IFERROR(SUMIFS(Seguimiento!$K:$K,Seguimiento!$R:$R,X5,Seguimiento!$A:$A,_xlfn.MAXIFS(Seguimiento!$A:$A,Seguimiento!$R:$R,X5)),0)</f>
        <v>0</v>
      </c>
      <c r="L5" s="9" t="n">
        <f aca="false">IFERROR(SUMIFS(Seguimiento!$L:$L,Seguimiento!$R:$R,X5,Seguimiento!$A:$A,_xlfn.MAXIFS(Seguimiento!$A:$A,Seguimiento!$R:$R,X5)),0)</f>
        <v>0</v>
      </c>
      <c r="M5" s="21" t="n">
        <f aca="false">IFERROR(I5/L5,0)</f>
        <v>0</v>
      </c>
      <c r="N5" s="22" t="n">
        <f aca="false">IFERROR(L5/I5,0)</f>
        <v>0</v>
      </c>
      <c r="O5" s="14" t="s">
        <v>96</v>
      </c>
      <c r="P5" s="7" t="n">
        <v>0.24</v>
      </c>
      <c r="Q5" s="9" t="n">
        <f aca="false">ROUND(P5*(1-Leyenda!$B$12),2)</f>
        <v>0.12</v>
      </c>
      <c r="R5" s="9" t="n">
        <f aca="false">ROUND(P5*(1+Leyenda!$B$12),2)</f>
        <v>0.36</v>
      </c>
      <c r="S5" s="9" t="n">
        <v>0.24</v>
      </c>
      <c r="T5" s="4" t="s">
        <v>97</v>
      </c>
      <c r="U5" s="23" t="n">
        <f aca="false">IFERROR(IF(_xlfn.MAXIFS(Seguimiento!$A:$A,Seguimiento!$R:$R,X5)=0,"",_xlfn.MAXIFS(Seguimiento!$A:$A,Seguimiento!$R:$R,X5)),"")</f>
        <v>46291</v>
      </c>
      <c r="V5" s="4" t="str">
        <f aca="false">IF(AND(G5&gt;=Leyenda!$B$13,K5=0),"PAUSAR (≥15 clics sin venta)",IF(AND(E5&lt;=Q5,G5&gt;=20,M5&gt;0.5),"PAUSAR (puja mínima y ACOS&gt;50%)",""))</f>
        <v/>
      </c>
      <c r="W5" s="4" t="str">
        <f aca="false">IF(LEFT(V5,6)="PAUSAR","Pausar y crear ticket",IF(G5&lt;Leyenda!$B$14,"Esperar (menos de 10 clics)",IF(K5=0,"Sin ventas aún: vigilar",IF(M5&lt;0.3,"Subir 10-25% (máx. "&amp;TEXT(MIN(R5,S5),"0.00")&amp;" €)",IF(M5&lt;=Leyenda!$B$5,"En objetivo: no tocar",IF(M5&lt;=0.5,"Bajar 10-25% (mín. "&amp;TEXT(Q5,"0.00")&amp;" €)","Bajar 25-50% (mín. "&amp;TEXT(Q5,"0.00")&amp;" €)"))))))</f>
        <v>Esperar (menos de 10 clics)</v>
      </c>
      <c r="X5" s="4" t="str">
        <f aca="false">A5&amp;" | "&amp;C5&amp;" | "&amp;D5</f>
        <v>Pou - Principal V2 | peluche pou | Frase</v>
      </c>
    </row>
    <row r="6" customFormat="false" ht="15" hidden="false" customHeight="false" outlineLevel="0" collapsed="false">
      <c r="A6" s="4" t="s">
        <v>59</v>
      </c>
      <c r="B6" s="4" t="str">
        <f aca="false">IFERROR(INDEX(Seguimiento!$E:$E,MATCH(X6&amp;"#"&amp;_xlfn.MAXIFS(Seguimiento!$A:$A,Seguimiento!$R:$R,X6),Seguimiento!$S:$S,0)),"Activado")</f>
        <v>En pausa</v>
      </c>
      <c r="C6" s="14" t="s">
        <v>98</v>
      </c>
      <c r="D6" s="4" t="s">
        <v>95</v>
      </c>
      <c r="E6" s="9" t="n">
        <f aca="false">IFERROR(IF(_xlfn.MAXIFS(Seguimiento!$A:$A,Seguimiento!$R:$R,X6)=0,P6,SUMIFS(Seguimiento!$G:$G,Seguimiento!$R:$R,X6,Seguimiento!$A:$A,_xlfn.MAXIFS(Seguimiento!$A:$A,Seguimiento!$R:$R,X6))),P6)</f>
        <v>0.29</v>
      </c>
      <c r="F6" s="20" t="n">
        <f aca="false">IFERROR(SUMIFS(Seguimiento!$H:$H,Seguimiento!$R:$R,X6,Seguimiento!$A:$A,_xlfn.MAXIFS(Seguimiento!$A:$A,Seguimiento!$R:$R,X6)),0)</f>
        <v>0</v>
      </c>
      <c r="G6" s="20" t="n">
        <f aca="false">IFERROR(SUMIFS(Seguimiento!$I:$I,Seguimiento!$R:$R,X6,Seguimiento!$A:$A,_xlfn.MAXIFS(Seguimiento!$A:$A,Seguimiento!$R:$R,X6)),0)</f>
        <v>0</v>
      </c>
      <c r="H6" s="21" t="n">
        <f aca="false">IFERROR(G6/F6,0)</f>
        <v>0</v>
      </c>
      <c r="I6" s="9" t="n">
        <f aca="false">IFERROR(SUMIFS(Seguimiento!$J:$J,Seguimiento!$R:$R,X6,Seguimiento!$A:$A,_xlfn.MAXIFS(Seguimiento!$A:$A,Seguimiento!$R:$R,X6)),0)</f>
        <v>0</v>
      </c>
      <c r="J6" s="9" t="n">
        <f aca="false">IFERROR(I6/G6,0)</f>
        <v>0</v>
      </c>
      <c r="K6" s="20" t="n">
        <f aca="false">IFERROR(SUMIFS(Seguimiento!$K:$K,Seguimiento!$R:$R,X6,Seguimiento!$A:$A,_xlfn.MAXIFS(Seguimiento!$A:$A,Seguimiento!$R:$R,X6)),0)</f>
        <v>0</v>
      </c>
      <c r="L6" s="9" t="n">
        <f aca="false">IFERROR(SUMIFS(Seguimiento!$L:$L,Seguimiento!$R:$R,X6,Seguimiento!$A:$A,_xlfn.MAXIFS(Seguimiento!$A:$A,Seguimiento!$R:$R,X6)),0)</f>
        <v>0</v>
      </c>
      <c r="M6" s="21" t="n">
        <f aca="false">IFERROR(I6/L6,0)</f>
        <v>0</v>
      </c>
      <c r="N6" s="22" t="n">
        <f aca="false">IFERROR(L6/I6,0)</f>
        <v>0</v>
      </c>
      <c r="O6" s="14" t="s">
        <v>96</v>
      </c>
      <c r="P6" s="7" t="n">
        <v>0.29</v>
      </c>
      <c r="Q6" s="9" t="n">
        <f aca="false">ROUND(P6*(1-Leyenda!$B$12),2)</f>
        <v>0.15</v>
      </c>
      <c r="R6" s="9" t="n">
        <f aca="false">ROUND(P6*(1+Leyenda!$B$12),2)</f>
        <v>0.44</v>
      </c>
      <c r="S6" s="9" t="n">
        <v>0.29</v>
      </c>
      <c r="T6" s="4" t="s">
        <v>99</v>
      </c>
      <c r="U6" s="23" t="n">
        <f aca="false">IFERROR(IF(_xlfn.MAXIFS(Seguimiento!$A:$A,Seguimiento!$R:$R,X6)=0,"",_xlfn.MAXIFS(Seguimiento!$A:$A,Seguimiento!$R:$R,X6)),"")</f>
        <v>46291</v>
      </c>
      <c r="V6" s="4" t="str">
        <f aca="false">IF(AND(G6&gt;=Leyenda!$B$13,K6=0),"PAUSAR (≥15 clics sin venta)",IF(AND(E6&lt;=Q6,G6&gt;=20,M6&gt;0.5),"PAUSAR (puja mínima y ACOS&gt;50%)",""))</f>
        <v/>
      </c>
      <c r="W6" s="4" t="str">
        <f aca="false">IF(LEFT(V6,6)="PAUSAR","Pausar y crear ticket",IF(G6&lt;Leyenda!$B$14,"Esperar (menos de 10 clics)",IF(K6=0,"Sin ventas aún: vigilar",IF(M6&lt;0.3,"Subir 10-25% (máx. "&amp;TEXT(MIN(R6,S6),"0.00")&amp;" €)",IF(M6&lt;=Leyenda!$B$5,"En objetivo: no tocar",IF(M6&lt;=0.5,"Bajar 10-25% (mín. "&amp;TEXT(Q6,"0.00")&amp;" €)","Bajar 25-50% (mín. "&amp;TEXT(Q6,"0.00")&amp;" €)"))))))</f>
        <v>Esperar (menos de 10 clics)</v>
      </c>
      <c r="X6" s="4" t="str">
        <f aca="false">A6&amp;" | "&amp;C6&amp;" | "&amp;D6</f>
        <v>Pou - Principal V2 | muñeco pou | Frase</v>
      </c>
    </row>
    <row r="7" customFormat="false" ht="15" hidden="false" customHeight="false" outlineLevel="0" collapsed="false">
      <c r="A7" s="4" t="s">
        <v>59</v>
      </c>
      <c r="B7" s="4" t="str">
        <f aca="false">IFERROR(INDEX(Seguimiento!$E:$E,MATCH(X7&amp;"#"&amp;_xlfn.MAXIFS(Seguimiento!$A:$A,Seguimiento!$R:$R,X7),Seguimiento!$S:$S,0)),"Activado")</f>
        <v>En pausa</v>
      </c>
      <c r="C7" s="14" t="s">
        <v>100</v>
      </c>
      <c r="D7" s="4" t="s">
        <v>95</v>
      </c>
      <c r="E7" s="9" t="n">
        <f aca="false">IFERROR(IF(_xlfn.MAXIFS(Seguimiento!$A:$A,Seguimiento!$R:$R,X7)=0,P7,SUMIFS(Seguimiento!$G:$G,Seguimiento!$R:$R,X7,Seguimiento!$A:$A,_xlfn.MAXIFS(Seguimiento!$A:$A,Seguimiento!$R:$R,X7))),P7)</f>
        <v>0.24</v>
      </c>
      <c r="F7" s="20" t="n">
        <f aca="false">IFERROR(SUMIFS(Seguimiento!$H:$H,Seguimiento!$R:$R,X7,Seguimiento!$A:$A,_xlfn.MAXIFS(Seguimiento!$A:$A,Seguimiento!$R:$R,X7)),0)</f>
        <v>0</v>
      </c>
      <c r="G7" s="20" t="n">
        <f aca="false">IFERROR(SUMIFS(Seguimiento!$I:$I,Seguimiento!$R:$R,X7,Seguimiento!$A:$A,_xlfn.MAXIFS(Seguimiento!$A:$A,Seguimiento!$R:$R,X7)),0)</f>
        <v>0</v>
      </c>
      <c r="H7" s="21" t="n">
        <f aca="false">IFERROR(G7/F7,0)</f>
        <v>0</v>
      </c>
      <c r="I7" s="9" t="n">
        <f aca="false">IFERROR(SUMIFS(Seguimiento!$J:$J,Seguimiento!$R:$R,X7,Seguimiento!$A:$A,_xlfn.MAXIFS(Seguimiento!$A:$A,Seguimiento!$R:$R,X7)),0)</f>
        <v>0</v>
      </c>
      <c r="J7" s="9" t="n">
        <f aca="false">IFERROR(I7/G7,0)</f>
        <v>0</v>
      </c>
      <c r="K7" s="20" t="n">
        <f aca="false">IFERROR(SUMIFS(Seguimiento!$K:$K,Seguimiento!$R:$R,X7,Seguimiento!$A:$A,_xlfn.MAXIFS(Seguimiento!$A:$A,Seguimiento!$R:$R,X7)),0)</f>
        <v>0</v>
      </c>
      <c r="L7" s="9" t="n">
        <f aca="false">IFERROR(SUMIFS(Seguimiento!$L:$L,Seguimiento!$R:$R,X7,Seguimiento!$A:$A,_xlfn.MAXIFS(Seguimiento!$A:$A,Seguimiento!$R:$R,X7)),0)</f>
        <v>0</v>
      </c>
      <c r="M7" s="21" t="n">
        <f aca="false">IFERROR(I7/L7,0)</f>
        <v>0</v>
      </c>
      <c r="N7" s="22" t="n">
        <f aca="false">IFERROR(L7/I7,0)</f>
        <v>0</v>
      </c>
      <c r="O7" s="14" t="s">
        <v>96</v>
      </c>
      <c r="P7" s="7" t="n">
        <v>0.24</v>
      </c>
      <c r="Q7" s="9" t="n">
        <f aca="false">ROUND(P7*(1-Leyenda!$B$12),2)</f>
        <v>0.12</v>
      </c>
      <c r="R7" s="9" t="n">
        <f aca="false">ROUND(P7*(1+Leyenda!$B$12),2)</f>
        <v>0.36</v>
      </c>
      <c r="S7" s="9" t="n">
        <v>0.24</v>
      </c>
      <c r="T7" s="4" t="s">
        <v>101</v>
      </c>
      <c r="U7" s="23" t="n">
        <f aca="false">IFERROR(IF(_xlfn.MAXIFS(Seguimiento!$A:$A,Seguimiento!$R:$R,X7)=0,"",_xlfn.MAXIFS(Seguimiento!$A:$A,Seguimiento!$R:$R,X7)),"")</f>
        <v>46291</v>
      </c>
      <c r="V7" s="4" t="str">
        <f aca="false">IF(AND(G7&gt;=Leyenda!$B$13,K7=0),"PAUSAR (≥15 clics sin venta)",IF(AND(E7&lt;=Q7,G7&gt;=20,M7&gt;0.5),"PAUSAR (puja mínima y ACOS&gt;50%)",""))</f>
        <v/>
      </c>
      <c r="W7" s="4" t="str">
        <f aca="false">IF(LEFT(V7,6)="PAUSAR","Pausar y crear ticket",IF(G7&lt;Leyenda!$B$14,"Esperar (menos de 10 clics)",IF(K7=0,"Sin ventas aún: vigilar",IF(M7&lt;0.3,"Subir 10-25% (máx. "&amp;TEXT(MIN(R7,S7),"0.00")&amp;" €)",IF(M7&lt;=Leyenda!$B$5,"En objetivo: no tocar",IF(M7&lt;=0.5,"Bajar 10-25% (mín. "&amp;TEXT(Q7,"0.00")&amp;" €)","Bajar 25-50% (mín. "&amp;TEXT(Q7,"0.00")&amp;" €)"))))))</f>
        <v>Esperar (menos de 10 clics)</v>
      </c>
      <c r="X7" s="4" t="str">
        <f aca="false">A7&amp;" | "&amp;C7&amp;" | "&amp;D7</f>
        <v>Pou - Principal V2 | muñeco de peluche pou | Frase</v>
      </c>
    </row>
    <row r="8" customFormat="false" ht="15" hidden="false" customHeight="false" outlineLevel="0" collapsed="false">
      <c r="A8" s="4" t="s">
        <v>59</v>
      </c>
      <c r="B8" s="4" t="str">
        <f aca="false">IFERROR(INDEX(Seguimiento!$E:$E,MATCH(X8&amp;"#"&amp;_xlfn.MAXIFS(Seguimiento!$A:$A,Seguimiento!$R:$R,X8),Seguimiento!$S:$S,0)),"Activado")</f>
        <v>En pausa</v>
      </c>
      <c r="C8" s="14" t="s">
        <v>102</v>
      </c>
      <c r="D8" s="4" t="s">
        <v>95</v>
      </c>
      <c r="E8" s="9" t="n">
        <f aca="false">IFERROR(IF(_xlfn.MAXIFS(Seguimiento!$A:$A,Seguimiento!$R:$R,X8)=0,P8,SUMIFS(Seguimiento!$G:$G,Seguimiento!$R:$R,X8,Seguimiento!$A:$A,_xlfn.MAXIFS(Seguimiento!$A:$A,Seguimiento!$R:$R,X8))),P8)</f>
        <v>0.29</v>
      </c>
      <c r="F8" s="20" t="n">
        <f aca="false">IFERROR(SUMIFS(Seguimiento!$H:$H,Seguimiento!$R:$R,X8,Seguimiento!$A:$A,_xlfn.MAXIFS(Seguimiento!$A:$A,Seguimiento!$R:$R,X8)),0)</f>
        <v>0</v>
      </c>
      <c r="G8" s="20" t="n">
        <f aca="false">IFERROR(SUMIFS(Seguimiento!$I:$I,Seguimiento!$R:$R,X8,Seguimiento!$A:$A,_xlfn.MAXIFS(Seguimiento!$A:$A,Seguimiento!$R:$R,X8)),0)</f>
        <v>0</v>
      </c>
      <c r="H8" s="21" t="n">
        <f aca="false">IFERROR(G8/F8,0)</f>
        <v>0</v>
      </c>
      <c r="I8" s="9" t="n">
        <f aca="false">IFERROR(SUMIFS(Seguimiento!$J:$J,Seguimiento!$R:$R,X8,Seguimiento!$A:$A,_xlfn.MAXIFS(Seguimiento!$A:$A,Seguimiento!$R:$R,X8)),0)</f>
        <v>0</v>
      </c>
      <c r="J8" s="9" t="n">
        <f aca="false">IFERROR(I8/G8,0)</f>
        <v>0</v>
      </c>
      <c r="K8" s="20" t="n">
        <f aca="false">IFERROR(SUMIFS(Seguimiento!$K:$K,Seguimiento!$R:$R,X8,Seguimiento!$A:$A,_xlfn.MAXIFS(Seguimiento!$A:$A,Seguimiento!$R:$R,X8)),0)</f>
        <v>0</v>
      </c>
      <c r="L8" s="9" t="n">
        <f aca="false">IFERROR(SUMIFS(Seguimiento!$L:$L,Seguimiento!$R:$R,X8,Seguimiento!$A:$A,_xlfn.MAXIFS(Seguimiento!$A:$A,Seguimiento!$R:$R,X8)),0)</f>
        <v>0</v>
      </c>
      <c r="M8" s="21" t="n">
        <f aca="false">IFERROR(I8/L8,0)</f>
        <v>0</v>
      </c>
      <c r="N8" s="22" t="n">
        <f aca="false">IFERROR(L8/I8,0)</f>
        <v>0</v>
      </c>
      <c r="O8" s="14" t="s">
        <v>96</v>
      </c>
      <c r="P8" s="7" t="n">
        <v>0.29</v>
      </c>
      <c r="Q8" s="9" t="n">
        <f aca="false">ROUND(P8*(1-Leyenda!$B$12),2)</f>
        <v>0.15</v>
      </c>
      <c r="R8" s="9" t="n">
        <f aca="false">ROUND(P8*(1+Leyenda!$B$12),2)</f>
        <v>0.44</v>
      </c>
      <c r="S8" s="9" t="n">
        <v>0.29</v>
      </c>
      <c r="T8" s="4" t="s">
        <v>103</v>
      </c>
      <c r="U8" s="23" t="n">
        <f aca="false">IFERROR(IF(_xlfn.MAXIFS(Seguimiento!$A:$A,Seguimiento!$R:$R,X8)=0,"",_xlfn.MAXIFS(Seguimiento!$A:$A,Seguimiento!$R:$R,X8)),"")</f>
        <v>46291</v>
      </c>
      <c r="V8" s="4" t="str">
        <f aca="false">IF(AND(G8&gt;=Leyenda!$B$13,K8=0),"PAUSAR (≥15 clics sin venta)",IF(AND(E8&lt;=Q8,G8&gt;=20,M8&gt;0.5),"PAUSAR (puja mínima y ACOS&gt;50%)",""))</f>
        <v/>
      </c>
      <c r="W8" s="4" t="str">
        <f aca="false">IF(LEFT(V8,6)="PAUSAR","Pausar y crear ticket",IF(G8&lt;Leyenda!$B$14,"Esperar (menos de 10 clics)",IF(K8=0,"Sin ventas aún: vigilar",IF(M8&lt;0.3,"Subir 10-25% (máx. "&amp;TEXT(MIN(R8,S8),"0.00")&amp;" €)",IF(M8&lt;=Leyenda!$B$5,"En objetivo: no tocar",IF(M8&lt;=0.5,"Bajar 10-25% (mín. "&amp;TEXT(Q8,"0.00")&amp;" €)","Bajar 25-50% (mín. "&amp;TEXT(Q8,"0.00")&amp;" €)"))))))</f>
        <v>Esperar (menos de 10 clics)</v>
      </c>
      <c r="X8" s="4" t="str">
        <f aca="false">A8&amp;" | "&amp;C8&amp;" | "&amp;D8</f>
        <v>Pou - Principal V2 | alien pou | Frase</v>
      </c>
    </row>
    <row r="9" customFormat="false" ht="15" hidden="false" customHeight="false" outlineLevel="0" collapsed="false">
      <c r="A9" s="4" t="s">
        <v>59</v>
      </c>
      <c r="B9" s="4" t="str">
        <f aca="false">IFERROR(INDEX(Seguimiento!$E:$E,MATCH(X9&amp;"#"&amp;_xlfn.MAXIFS(Seguimiento!$A:$A,Seguimiento!$R:$R,X9),Seguimiento!$S:$S,0)),"Activado")</f>
        <v>En pausa</v>
      </c>
      <c r="C9" s="14" t="s">
        <v>104</v>
      </c>
      <c r="D9" s="4" t="s">
        <v>95</v>
      </c>
      <c r="E9" s="9" t="n">
        <f aca="false">IFERROR(IF(_xlfn.MAXIFS(Seguimiento!$A:$A,Seguimiento!$R:$R,X9)=0,P9,SUMIFS(Seguimiento!$G:$G,Seguimiento!$R:$R,X9,Seguimiento!$A:$A,_xlfn.MAXIFS(Seguimiento!$A:$A,Seguimiento!$R:$R,X9))),P9)</f>
        <v>0.24</v>
      </c>
      <c r="F9" s="20" t="n">
        <f aca="false">IFERROR(SUMIFS(Seguimiento!$H:$H,Seguimiento!$R:$R,X9,Seguimiento!$A:$A,_xlfn.MAXIFS(Seguimiento!$A:$A,Seguimiento!$R:$R,X9)),0)</f>
        <v>0</v>
      </c>
      <c r="G9" s="20" t="n">
        <f aca="false">IFERROR(SUMIFS(Seguimiento!$I:$I,Seguimiento!$R:$R,X9,Seguimiento!$A:$A,_xlfn.MAXIFS(Seguimiento!$A:$A,Seguimiento!$R:$R,X9)),0)</f>
        <v>0</v>
      </c>
      <c r="H9" s="21" t="n">
        <f aca="false">IFERROR(G9/F9,0)</f>
        <v>0</v>
      </c>
      <c r="I9" s="9" t="n">
        <f aca="false">IFERROR(SUMIFS(Seguimiento!$J:$J,Seguimiento!$R:$R,X9,Seguimiento!$A:$A,_xlfn.MAXIFS(Seguimiento!$A:$A,Seguimiento!$R:$R,X9)),0)</f>
        <v>0</v>
      </c>
      <c r="J9" s="9" t="n">
        <f aca="false">IFERROR(I9/G9,0)</f>
        <v>0</v>
      </c>
      <c r="K9" s="20" t="n">
        <f aca="false">IFERROR(SUMIFS(Seguimiento!$K:$K,Seguimiento!$R:$R,X9,Seguimiento!$A:$A,_xlfn.MAXIFS(Seguimiento!$A:$A,Seguimiento!$R:$R,X9)),0)</f>
        <v>0</v>
      </c>
      <c r="L9" s="9" t="n">
        <f aca="false">IFERROR(SUMIFS(Seguimiento!$L:$L,Seguimiento!$R:$R,X9,Seguimiento!$A:$A,_xlfn.MAXIFS(Seguimiento!$A:$A,Seguimiento!$R:$R,X9)),0)</f>
        <v>0</v>
      </c>
      <c r="M9" s="21" t="n">
        <f aca="false">IFERROR(I9/L9,0)</f>
        <v>0</v>
      </c>
      <c r="N9" s="22" t="n">
        <f aca="false">IFERROR(L9/I9,0)</f>
        <v>0</v>
      </c>
      <c r="O9" s="14" t="s">
        <v>96</v>
      </c>
      <c r="P9" s="7" t="n">
        <v>0.24</v>
      </c>
      <c r="Q9" s="9" t="n">
        <f aca="false">ROUND(P9*(1-Leyenda!$B$12),2)</f>
        <v>0.12</v>
      </c>
      <c r="R9" s="9" t="n">
        <f aca="false">ROUND(P9*(1+Leyenda!$B$12),2)</f>
        <v>0.36</v>
      </c>
      <c r="S9" s="9" t="n">
        <v>0.24</v>
      </c>
      <c r="T9" s="4" t="s">
        <v>105</v>
      </c>
      <c r="U9" s="23" t="n">
        <f aca="false">IFERROR(IF(_xlfn.MAXIFS(Seguimiento!$A:$A,Seguimiento!$R:$R,X9)=0,"",_xlfn.MAXIFS(Seguimiento!$A:$A,Seguimiento!$R:$R,X9)),"")</f>
        <v>46291</v>
      </c>
      <c r="V9" s="4" t="str">
        <f aca="false">IF(AND(G9&gt;=Leyenda!$B$13,K9=0),"PAUSAR (≥15 clics sin venta)",IF(AND(E9&lt;=Q9,G9&gt;=20,M9&gt;0.5),"PAUSAR (puja mínima y ACOS&gt;50%)",""))</f>
        <v/>
      </c>
      <c r="W9" s="4" t="str">
        <f aca="false">IF(LEFT(V9,6)="PAUSAR","Pausar y crear ticket",IF(G9&lt;Leyenda!$B$14,"Esperar (menos de 10 clics)",IF(K9=0,"Sin ventas aún: vigilar",IF(M9&lt;0.3,"Subir 10-25% (máx. "&amp;TEXT(MIN(R9,S9),"0.00")&amp;" €)",IF(M9&lt;=Leyenda!$B$5,"En objetivo: no tocar",IF(M9&lt;=0.5,"Bajar 10-25% (mín. "&amp;TEXT(Q9,"0.00")&amp;" €)","Bajar 25-50% (mín. "&amp;TEXT(Q9,"0.00")&amp;" €)"))))))</f>
        <v>Esperar (menos de 10 clics)</v>
      </c>
      <c r="X9" s="4" t="str">
        <f aca="false">A9&amp;" | "&amp;C9&amp;" | "&amp;D9</f>
        <v>Pou - Principal V2 | peluche pou alienígena | Frase</v>
      </c>
    </row>
    <row r="10" customFormat="false" ht="15" hidden="false" customHeight="false" outlineLevel="0" collapsed="false">
      <c r="A10" s="4" t="s">
        <v>59</v>
      </c>
      <c r="B10" s="4" t="str">
        <f aca="false">IFERROR(INDEX(Seguimiento!$E:$E,MATCH(X10&amp;"#"&amp;_xlfn.MAXIFS(Seguimiento!$A:$A,Seguimiento!$R:$R,X10),Seguimiento!$S:$S,0)),"Activado")</f>
        <v>En pausa</v>
      </c>
      <c r="C10" s="14" t="s">
        <v>106</v>
      </c>
      <c r="D10" s="4" t="s">
        <v>95</v>
      </c>
      <c r="E10" s="9" t="n">
        <f aca="false">IFERROR(IF(_xlfn.MAXIFS(Seguimiento!$A:$A,Seguimiento!$R:$R,X10)=0,P10,SUMIFS(Seguimiento!$G:$G,Seguimiento!$R:$R,X10,Seguimiento!$A:$A,_xlfn.MAXIFS(Seguimiento!$A:$A,Seguimiento!$R:$R,X10))),P10)</f>
        <v>0.25</v>
      </c>
      <c r="F10" s="20" t="n">
        <f aca="false">IFERROR(SUMIFS(Seguimiento!$H:$H,Seguimiento!$R:$R,X10,Seguimiento!$A:$A,_xlfn.MAXIFS(Seguimiento!$A:$A,Seguimiento!$R:$R,X10)),0)</f>
        <v>0</v>
      </c>
      <c r="G10" s="20" t="n">
        <f aca="false">IFERROR(SUMIFS(Seguimiento!$I:$I,Seguimiento!$R:$R,X10,Seguimiento!$A:$A,_xlfn.MAXIFS(Seguimiento!$A:$A,Seguimiento!$R:$R,X10)),0)</f>
        <v>0</v>
      </c>
      <c r="H10" s="21" t="n">
        <f aca="false">IFERROR(G10/F10,0)</f>
        <v>0</v>
      </c>
      <c r="I10" s="9" t="n">
        <f aca="false">IFERROR(SUMIFS(Seguimiento!$J:$J,Seguimiento!$R:$R,X10,Seguimiento!$A:$A,_xlfn.MAXIFS(Seguimiento!$A:$A,Seguimiento!$R:$R,X10)),0)</f>
        <v>0</v>
      </c>
      <c r="J10" s="9" t="n">
        <f aca="false">IFERROR(I10/G10,0)</f>
        <v>0</v>
      </c>
      <c r="K10" s="20" t="n">
        <f aca="false">IFERROR(SUMIFS(Seguimiento!$K:$K,Seguimiento!$R:$R,X10,Seguimiento!$A:$A,_xlfn.MAXIFS(Seguimiento!$A:$A,Seguimiento!$R:$R,X10)),0)</f>
        <v>0</v>
      </c>
      <c r="L10" s="9" t="n">
        <f aca="false">IFERROR(SUMIFS(Seguimiento!$L:$L,Seguimiento!$R:$R,X10,Seguimiento!$A:$A,_xlfn.MAXIFS(Seguimiento!$A:$A,Seguimiento!$R:$R,X10)),0)</f>
        <v>0</v>
      </c>
      <c r="M10" s="21" t="n">
        <f aca="false">IFERROR(I10/L10,0)</f>
        <v>0</v>
      </c>
      <c r="N10" s="22" t="n">
        <f aca="false">IFERROR(L10/I10,0)</f>
        <v>0</v>
      </c>
      <c r="O10" s="14" t="s">
        <v>96</v>
      </c>
      <c r="P10" s="7" t="n">
        <v>0.25</v>
      </c>
      <c r="Q10" s="9" t="n">
        <f aca="false">ROUND(P10*(1-Leyenda!$B$12),2)</f>
        <v>0.13</v>
      </c>
      <c r="R10" s="9" t="n">
        <f aca="false">ROUND(P10*(1+Leyenda!$B$12),2)</f>
        <v>0.38</v>
      </c>
      <c r="S10" s="9" t="n">
        <v>0.25</v>
      </c>
      <c r="T10" s="4" t="s">
        <v>107</v>
      </c>
      <c r="U10" s="23" t="n">
        <f aca="false">IFERROR(IF(_xlfn.MAXIFS(Seguimiento!$A:$A,Seguimiento!$R:$R,X10)=0,"",_xlfn.MAXIFS(Seguimiento!$A:$A,Seguimiento!$R:$R,X10)),"")</f>
        <v>46291</v>
      </c>
      <c r="V10" s="4" t="str">
        <f aca="false">IF(AND(G10&gt;=Leyenda!$B$13,K10=0),"PAUSAR (≥15 clics sin venta)",IF(AND(E10&lt;=Q10,G10&gt;=20,M10&gt;0.5),"PAUSAR (puja mínima y ACOS&gt;50%)",""))</f>
        <v/>
      </c>
      <c r="W10" s="4" t="str">
        <f aca="false">IF(LEFT(V10,6)="PAUSAR","Pausar y crear ticket",IF(G10&lt;Leyenda!$B$14,"Esperar (menos de 10 clics)",IF(K10=0,"Sin ventas aún: vigilar",IF(M10&lt;0.3,"Subir 10-25% (máx. "&amp;TEXT(MIN(R10,S10),"0.00")&amp;" €)",IF(M10&lt;=Leyenda!$B$5,"En objetivo: no tocar",IF(M10&lt;=0.5,"Bajar 10-25% (mín. "&amp;TEXT(Q10,"0.00")&amp;" €)","Bajar 25-50% (mín. "&amp;TEXT(Q10,"0.00")&amp;" €)"))))))</f>
        <v>Esperar (menos de 10 clics)</v>
      </c>
      <c r="X10" s="4" t="str">
        <f aca="false">A10&amp;" | "&amp;C10&amp;" | "&amp;D10</f>
        <v>Pou - Principal V2 | peluche pou 22 cm | Frase</v>
      </c>
    </row>
    <row r="11" customFormat="false" ht="15" hidden="false" customHeight="false" outlineLevel="0" collapsed="false">
      <c r="A11" s="4" t="s">
        <v>59</v>
      </c>
      <c r="B11" s="4" t="str">
        <f aca="false">IFERROR(INDEX(Seguimiento!$E:$E,MATCH(X11&amp;"#"&amp;_xlfn.MAXIFS(Seguimiento!$A:$A,Seguimiento!$R:$R,X11),Seguimiento!$S:$S,0)),"Activado")</f>
        <v>En pausa</v>
      </c>
      <c r="C11" s="14" t="s">
        <v>108</v>
      </c>
      <c r="D11" s="4" t="s">
        <v>95</v>
      </c>
      <c r="E11" s="9" t="n">
        <f aca="false">IFERROR(IF(_xlfn.MAXIFS(Seguimiento!$A:$A,Seguimiento!$R:$R,X11)=0,P11,SUMIFS(Seguimiento!$G:$G,Seguimiento!$R:$R,X11,Seguimiento!$A:$A,_xlfn.MAXIFS(Seguimiento!$A:$A,Seguimiento!$R:$R,X11))),P11)</f>
        <v>0.24</v>
      </c>
      <c r="F11" s="20" t="n">
        <f aca="false">IFERROR(SUMIFS(Seguimiento!$H:$H,Seguimiento!$R:$R,X11,Seguimiento!$A:$A,_xlfn.MAXIFS(Seguimiento!$A:$A,Seguimiento!$R:$R,X11)),0)</f>
        <v>0</v>
      </c>
      <c r="G11" s="20" t="n">
        <f aca="false">IFERROR(SUMIFS(Seguimiento!$I:$I,Seguimiento!$R:$R,X11,Seguimiento!$A:$A,_xlfn.MAXIFS(Seguimiento!$A:$A,Seguimiento!$R:$R,X11)),0)</f>
        <v>0</v>
      </c>
      <c r="H11" s="21" t="n">
        <f aca="false">IFERROR(G11/F11,0)</f>
        <v>0</v>
      </c>
      <c r="I11" s="9" t="n">
        <f aca="false">IFERROR(SUMIFS(Seguimiento!$J:$J,Seguimiento!$R:$R,X11,Seguimiento!$A:$A,_xlfn.MAXIFS(Seguimiento!$A:$A,Seguimiento!$R:$R,X11)),0)</f>
        <v>0</v>
      </c>
      <c r="J11" s="9" t="n">
        <f aca="false">IFERROR(I11/G11,0)</f>
        <v>0</v>
      </c>
      <c r="K11" s="20" t="n">
        <f aca="false">IFERROR(SUMIFS(Seguimiento!$K:$K,Seguimiento!$R:$R,X11,Seguimiento!$A:$A,_xlfn.MAXIFS(Seguimiento!$A:$A,Seguimiento!$R:$R,X11)),0)</f>
        <v>0</v>
      </c>
      <c r="L11" s="9" t="n">
        <f aca="false">IFERROR(SUMIFS(Seguimiento!$L:$L,Seguimiento!$R:$R,X11,Seguimiento!$A:$A,_xlfn.MAXIFS(Seguimiento!$A:$A,Seguimiento!$R:$R,X11)),0)</f>
        <v>0</v>
      </c>
      <c r="M11" s="21" t="n">
        <f aca="false">IFERROR(I11/L11,0)</f>
        <v>0</v>
      </c>
      <c r="N11" s="22" t="n">
        <f aca="false">IFERROR(L11/I11,0)</f>
        <v>0</v>
      </c>
      <c r="O11" s="14" t="s">
        <v>96</v>
      </c>
      <c r="P11" s="7" t="n">
        <v>0.24</v>
      </c>
      <c r="Q11" s="9" t="n">
        <f aca="false">ROUND(P11*(1-Leyenda!$B$12),2)</f>
        <v>0.12</v>
      </c>
      <c r="R11" s="9" t="n">
        <f aca="false">ROUND(P11*(1+Leyenda!$B$12),2)</f>
        <v>0.36</v>
      </c>
      <c r="S11" s="9" t="n">
        <v>0.24</v>
      </c>
      <c r="T11" s="4" t="s">
        <v>109</v>
      </c>
      <c r="U11" s="23" t="n">
        <f aca="false">IFERROR(IF(_xlfn.MAXIFS(Seguimiento!$A:$A,Seguimiento!$R:$R,X11)=0,"",_xlfn.MAXIFS(Seguimiento!$A:$A,Seguimiento!$R:$R,X11)),"")</f>
        <v>46291</v>
      </c>
      <c r="V11" s="4" t="str">
        <f aca="false">IF(AND(G11&gt;=Leyenda!$B$13,K11=0),"PAUSAR (≥15 clics sin venta)",IF(AND(E11&lt;=Q11,G11&gt;=20,M11&gt;0.5),"PAUSAR (puja mínima y ACOS&gt;50%)",""))</f>
        <v/>
      </c>
      <c r="W11" s="4" t="str">
        <f aca="false">IF(LEFT(V11,6)="PAUSAR","Pausar y crear ticket",IF(G11&lt;Leyenda!$B$14,"Esperar (menos de 10 clics)",IF(K11=0,"Sin ventas aún: vigilar",IF(M11&lt;0.3,"Subir 10-25% (máx. "&amp;TEXT(MIN(R11,S11),"0.00")&amp;" €)",IF(M11&lt;=Leyenda!$B$5,"En objetivo: no tocar",IF(M11&lt;=0.5,"Bajar 10-25% (mín. "&amp;TEXT(Q11,"0.00")&amp;" €)","Bajar 25-50% (mín. "&amp;TEXT(Q11,"0.00")&amp;" €)"))))))</f>
        <v>Esperar (menos de 10 clics)</v>
      </c>
      <c r="X11" s="4" t="str">
        <f aca="false">A11&amp;" | "&amp;C11&amp;" | "&amp;D11</f>
        <v>Pou - Principal V2 | peluche pou regalo | Frase</v>
      </c>
    </row>
    <row r="12" customFormat="false" ht="15" hidden="false" customHeight="false" outlineLevel="0" collapsed="false">
      <c r="A12" s="4" t="s">
        <v>59</v>
      </c>
      <c r="B12" s="4" t="str">
        <f aca="false">IFERROR(INDEX(Seguimiento!$E:$E,MATCH(X12&amp;"#"&amp;_xlfn.MAXIFS(Seguimiento!$A:$A,Seguimiento!$R:$R,X12),Seguimiento!$S:$S,0)),"Activado")</f>
        <v>En pausa</v>
      </c>
      <c r="C12" s="14" t="s">
        <v>110</v>
      </c>
      <c r="D12" s="4" t="s">
        <v>95</v>
      </c>
      <c r="E12" s="9" t="n">
        <f aca="false">IFERROR(IF(_xlfn.MAXIFS(Seguimiento!$A:$A,Seguimiento!$R:$R,X12)=0,P12,SUMIFS(Seguimiento!$G:$G,Seguimiento!$R:$R,X12,Seguimiento!$A:$A,_xlfn.MAXIFS(Seguimiento!$A:$A,Seguimiento!$R:$R,X12))),P12)</f>
        <v>0.3</v>
      </c>
      <c r="F12" s="20" t="n">
        <f aca="false">IFERROR(SUMIFS(Seguimiento!$H:$H,Seguimiento!$R:$R,X12,Seguimiento!$A:$A,_xlfn.MAXIFS(Seguimiento!$A:$A,Seguimiento!$R:$R,X12)),0)</f>
        <v>0</v>
      </c>
      <c r="G12" s="20" t="n">
        <f aca="false">IFERROR(SUMIFS(Seguimiento!$I:$I,Seguimiento!$R:$R,X12,Seguimiento!$A:$A,_xlfn.MAXIFS(Seguimiento!$A:$A,Seguimiento!$R:$R,X12)),0)</f>
        <v>0</v>
      </c>
      <c r="H12" s="21" t="n">
        <f aca="false">IFERROR(G12/F12,0)</f>
        <v>0</v>
      </c>
      <c r="I12" s="9" t="n">
        <f aca="false">IFERROR(SUMIFS(Seguimiento!$J:$J,Seguimiento!$R:$R,X12,Seguimiento!$A:$A,_xlfn.MAXIFS(Seguimiento!$A:$A,Seguimiento!$R:$R,X12)),0)</f>
        <v>0</v>
      </c>
      <c r="J12" s="9" t="n">
        <f aca="false">IFERROR(I12/G12,0)</f>
        <v>0</v>
      </c>
      <c r="K12" s="20" t="n">
        <f aca="false">IFERROR(SUMIFS(Seguimiento!$K:$K,Seguimiento!$R:$R,X12,Seguimiento!$A:$A,_xlfn.MAXIFS(Seguimiento!$A:$A,Seguimiento!$R:$R,X12)),0)</f>
        <v>0</v>
      </c>
      <c r="L12" s="9" t="n">
        <f aca="false">IFERROR(SUMIFS(Seguimiento!$L:$L,Seguimiento!$R:$R,X12,Seguimiento!$A:$A,_xlfn.MAXIFS(Seguimiento!$A:$A,Seguimiento!$R:$R,X12)),0)</f>
        <v>0</v>
      </c>
      <c r="M12" s="21" t="n">
        <f aca="false">IFERROR(I12/L12,0)</f>
        <v>0</v>
      </c>
      <c r="N12" s="22" t="n">
        <f aca="false">IFERROR(L12/I12,0)</f>
        <v>0</v>
      </c>
      <c r="O12" s="14" t="s">
        <v>96</v>
      </c>
      <c r="P12" s="7" t="n">
        <v>0.3</v>
      </c>
      <c r="Q12" s="9" t="n">
        <f aca="false">ROUND(P12*(1-Leyenda!$B$12),2)</f>
        <v>0.15</v>
      </c>
      <c r="R12" s="9" t="n">
        <f aca="false">ROUND(P12*(1+Leyenda!$B$12),2)</f>
        <v>0.45</v>
      </c>
      <c r="S12" s="9" t="n">
        <v>0.3</v>
      </c>
      <c r="T12" s="4" t="s">
        <v>111</v>
      </c>
      <c r="U12" s="23" t="n">
        <f aca="false">IFERROR(IF(_xlfn.MAXIFS(Seguimiento!$A:$A,Seguimiento!$R:$R,X12)=0,"",_xlfn.MAXIFS(Seguimiento!$A:$A,Seguimiento!$R:$R,X12)),"")</f>
        <v>46291</v>
      </c>
      <c r="V12" s="4" t="str">
        <f aca="false">IF(AND(G12&gt;=Leyenda!$B$13,K12=0),"PAUSAR (≥15 clics sin venta)",IF(AND(E12&lt;=Q12,G12&gt;=20,M12&gt;0.5),"PAUSAR (puja mínima y ACOS&gt;50%)",""))</f>
        <v/>
      </c>
      <c r="W12" s="4" t="str">
        <f aca="false">IF(LEFT(V12,6)="PAUSAR","Pausar y crear ticket",IF(G12&lt;Leyenda!$B$14,"Esperar (menos de 10 clics)",IF(K12=0,"Sin ventas aún: vigilar",IF(M12&lt;0.3,"Subir 10-25% (máx. "&amp;TEXT(MIN(R12,S12),"0.00")&amp;" €)",IF(M12&lt;=Leyenda!$B$5,"En objetivo: no tocar",IF(M12&lt;=0.5,"Bajar 10-25% (mín. "&amp;TEXT(Q12,"0.00")&amp;" €)","Bajar 25-50% (mín. "&amp;TEXT(Q12,"0.00")&amp;" €)"))))))</f>
        <v>Esperar (menos de 10 clics)</v>
      </c>
      <c r="X12" s="4" t="str">
        <f aca="false">A12&amp;" | "&amp;C12&amp;" | "&amp;D12</f>
        <v>Pou - Principal V2 | muñeco pou regalo niño | Frase</v>
      </c>
    </row>
    <row r="13" customFormat="false" ht="15" hidden="false" customHeight="false" outlineLevel="0" collapsed="false">
      <c r="A13" s="4" t="s">
        <v>59</v>
      </c>
      <c r="B13" s="4" t="str">
        <f aca="false">IFERROR(INDEX(Seguimiento!$E:$E,MATCH(X13&amp;"#"&amp;_xlfn.MAXIFS(Seguimiento!$A:$A,Seguimiento!$R:$R,X13),Seguimiento!$S:$S,0)),"Activado")</f>
        <v>En pausa</v>
      </c>
      <c r="C13" s="14" t="s">
        <v>112</v>
      </c>
      <c r="D13" s="4" t="s">
        <v>95</v>
      </c>
      <c r="E13" s="9" t="n">
        <f aca="false">IFERROR(IF(_xlfn.MAXIFS(Seguimiento!$A:$A,Seguimiento!$R:$R,X13)=0,P13,SUMIFS(Seguimiento!$G:$G,Seguimiento!$R:$R,X13,Seguimiento!$A:$A,_xlfn.MAXIFS(Seguimiento!$A:$A,Seguimiento!$R:$R,X13))),P13)</f>
        <v>0.24</v>
      </c>
      <c r="F13" s="20" t="n">
        <f aca="false">IFERROR(SUMIFS(Seguimiento!$H:$H,Seguimiento!$R:$R,X13,Seguimiento!$A:$A,_xlfn.MAXIFS(Seguimiento!$A:$A,Seguimiento!$R:$R,X13)),0)</f>
        <v>0</v>
      </c>
      <c r="G13" s="20" t="n">
        <f aca="false">IFERROR(SUMIFS(Seguimiento!$I:$I,Seguimiento!$R:$R,X13,Seguimiento!$A:$A,_xlfn.MAXIFS(Seguimiento!$A:$A,Seguimiento!$R:$R,X13)),0)</f>
        <v>0</v>
      </c>
      <c r="H13" s="21" t="n">
        <f aca="false">IFERROR(G13/F13,0)</f>
        <v>0</v>
      </c>
      <c r="I13" s="9" t="n">
        <f aca="false">IFERROR(SUMIFS(Seguimiento!$J:$J,Seguimiento!$R:$R,X13,Seguimiento!$A:$A,_xlfn.MAXIFS(Seguimiento!$A:$A,Seguimiento!$R:$R,X13)),0)</f>
        <v>0</v>
      </c>
      <c r="J13" s="9" t="n">
        <f aca="false">IFERROR(I13/G13,0)</f>
        <v>0</v>
      </c>
      <c r="K13" s="20" t="n">
        <f aca="false">IFERROR(SUMIFS(Seguimiento!$K:$K,Seguimiento!$R:$R,X13,Seguimiento!$A:$A,_xlfn.MAXIFS(Seguimiento!$A:$A,Seguimiento!$R:$R,X13)),0)</f>
        <v>0</v>
      </c>
      <c r="L13" s="9" t="n">
        <f aca="false">IFERROR(SUMIFS(Seguimiento!$L:$L,Seguimiento!$R:$R,X13,Seguimiento!$A:$A,_xlfn.MAXIFS(Seguimiento!$A:$A,Seguimiento!$R:$R,X13)),0)</f>
        <v>0</v>
      </c>
      <c r="M13" s="21" t="n">
        <f aca="false">IFERROR(I13/L13,0)</f>
        <v>0</v>
      </c>
      <c r="N13" s="22" t="n">
        <f aca="false">IFERROR(L13/I13,0)</f>
        <v>0</v>
      </c>
      <c r="O13" s="14" t="s">
        <v>96</v>
      </c>
      <c r="P13" s="7" t="n">
        <v>0.24</v>
      </c>
      <c r="Q13" s="9" t="n">
        <f aca="false">ROUND(P13*(1-Leyenda!$B$12),2)</f>
        <v>0.12</v>
      </c>
      <c r="R13" s="9" t="n">
        <f aca="false">ROUND(P13*(1+Leyenda!$B$12),2)</f>
        <v>0.36</v>
      </c>
      <c r="S13" s="9" t="n">
        <v>0.24</v>
      </c>
      <c r="T13" s="4" t="s">
        <v>113</v>
      </c>
      <c r="U13" s="23" t="n">
        <f aca="false">IFERROR(IF(_xlfn.MAXIFS(Seguimiento!$A:$A,Seguimiento!$R:$R,X13)=0,"",_xlfn.MAXIFS(Seguimiento!$A:$A,Seguimiento!$R:$R,X13)),"")</f>
        <v>46291</v>
      </c>
      <c r="V13" s="4" t="str">
        <f aca="false">IF(AND(G13&gt;=Leyenda!$B$13,K13=0),"PAUSAR (≥15 clics sin venta)",IF(AND(E13&lt;=Q13,G13&gt;=20,M13&gt;0.5),"PAUSAR (puja mínima y ACOS&gt;50%)",""))</f>
        <v/>
      </c>
      <c r="W13" s="4" t="str">
        <f aca="false">IF(LEFT(V13,6)="PAUSAR","Pausar y crear ticket",IF(G13&lt;Leyenda!$B$14,"Esperar (menos de 10 clics)",IF(K13=0,"Sin ventas aún: vigilar",IF(M13&lt;0.3,"Subir 10-25% (máx. "&amp;TEXT(MIN(R13,S13),"0.00")&amp;" €)",IF(M13&lt;=Leyenda!$B$5,"En objetivo: no tocar",IF(M13&lt;=0.5,"Bajar 10-25% (mín. "&amp;TEXT(Q13,"0.00")&amp;" €)","Bajar 25-50% (mín. "&amp;TEXT(Q13,"0.00")&amp;" €)"))))))</f>
        <v>Esperar (menos de 10 clics)</v>
      </c>
      <c r="X13" s="4" t="str">
        <f aca="false">A13&amp;" | "&amp;C13&amp;" | "&amp;D13</f>
        <v>Pou - Principal V2 | pou peluche | Frase</v>
      </c>
    </row>
    <row r="14" customFormat="false" ht="15" hidden="false" customHeight="false" outlineLevel="0" collapsed="false">
      <c r="A14" s="24" t="s">
        <v>114</v>
      </c>
      <c r="C14" s="24" t="s">
        <v>59</v>
      </c>
      <c r="F14" s="25" t="n">
        <f aca="false">SUM(F4:F13)</f>
        <v>0</v>
      </c>
      <c r="G14" s="25" t="n">
        <f aca="false">SUM(G4:G13)</f>
        <v>0</v>
      </c>
      <c r="H14" s="26" t="n">
        <f aca="false">IFERROR(G14/F14,0)</f>
        <v>0</v>
      </c>
      <c r="I14" s="27" t="n">
        <f aca="false">SUM(I4:I13)</f>
        <v>0</v>
      </c>
      <c r="J14" s="27" t="n">
        <f aca="false">IFERROR(I14/G14,0)</f>
        <v>0</v>
      </c>
      <c r="K14" s="25" t="n">
        <f aca="false">SUM(K4:K13)</f>
        <v>0</v>
      </c>
      <c r="L14" s="27" t="n">
        <f aca="false">SUM(L4:L13)</f>
        <v>0</v>
      </c>
      <c r="M14" s="26" t="n">
        <f aca="false">IFERROR(I14/L14,0)</f>
        <v>0</v>
      </c>
      <c r="N14" s="28" t="n">
        <f aca="false">IFERROR(L14/I14,0)</f>
        <v>0</v>
      </c>
    </row>
  </sheetData>
  <conditionalFormatting sqref="V4:V13">
    <cfRule type="expression" priority="2" aboveAverage="0" equalAverage="0" bottom="0" percent="0" rank="0" text="" dxfId="0">
      <formula>LEFT(V4,6)="PAUSAR"</formula>
    </cfRule>
  </conditionalFormatting>
  <conditionalFormatting sqref="M4:M13">
    <cfRule type="expression" priority="3" aboveAverage="0" equalAverage="0" bottom="0" percent="0" rank="0" text="" dxfId="1">
      <formula>AND(L4&gt;0,M4&lt;=Leyenda!$B$5)</formula>
    </cfRule>
    <cfRule type="expression" priority="4" aboveAverage="0" equalAverage="0" bottom="0" percent="0" rank="0" text="" dxfId="0">
      <formula>AND(L4&gt;0,M4&gt;Leyenda!$B$5)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5" min="14" style="0" width="9"/>
    <col collapsed="false" customWidth="true" hidden="false" outlineLevel="0" max="16" min="16" style="0" width="8"/>
    <col collapsed="false" customWidth="true" hidden="false" outlineLevel="0" max="17" min="17" style="0" width="36"/>
    <col collapsed="false" customWidth="true" hidden="true" outlineLevel="0" max="19" min="18" style="0" width="0.1"/>
  </cols>
  <sheetData>
    <row r="1" customFormat="false" ht="15" hidden="false" customHeight="false" outlineLevel="0" collapsed="false">
      <c r="A1" s="3" t="s">
        <v>115</v>
      </c>
    </row>
    <row r="3" customFormat="false" ht="42" hidden="false" customHeight="true" outlineLevel="0" collapsed="false">
      <c r="A3" s="16" t="s">
        <v>116</v>
      </c>
      <c r="B3" s="16" t="s">
        <v>45</v>
      </c>
      <c r="C3" s="16" t="s">
        <v>69</v>
      </c>
      <c r="D3" s="16" t="s">
        <v>70</v>
      </c>
      <c r="E3" s="16" t="s">
        <v>68</v>
      </c>
      <c r="F3" s="16" t="s">
        <v>58</v>
      </c>
      <c r="G3" s="16" t="s">
        <v>71</v>
      </c>
      <c r="H3" s="16" t="s">
        <v>72</v>
      </c>
      <c r="I3" s="16" t="s">
        <v>73</v>
      </c>
      <c r="J3" s="16" t="s">
        <v>75</v>
      </c>
      <c r="K3" s="16" t="s">
        <v>77</v>
      </c>
      <c r="L3" s="16" t="s">
        <v>78</v>
      </c>
      <c r="M3" s="16" t="s">
        <v>74</v>
      </c>
      <c r="N3" s="16" t="s">
        <v>76</v>
      </c>
      <c r="O3" s="16" t="s">
        <v>79</v>
      </c>
      <c r="P3" s="16" t="s">
        <v>80</v>
      </c>
      <c r="Q3" s="16" t="s">
        <v>117</v>
      </c>
      <c r="R3" s="16" t="s">
        <v>89</v>
      </c>
      <c r="S3" s="16" t="s">
        <v>118</v>
      </c>
    </row>
    <row r="4" customFormat="false" ht="15" hidden="false" customHeight="false" outlineLevel="0" collapsed="false">
      <c r="A4" s="29" t="n">
        <v>46291</v>
      </c>
      <c r="B4" s="30" t="s">
        <v>59</v>
      </c>
      <c r="C4" s="30" t="s">
        <v>90</v>
      </c>
      <c r="D4" s="30" t="s">
        <v>91</v>
      </c>
      <c r="E4" s="30" t="s">
        <v>66</v>
      </c>
      <c r="F4" s="30"/>
      <c r="G4" s="31" t="n">
        <v>0.12</v>
      </c>
      <c r="H4" s="32" t="n">
        <v>0</v>
      </c>
      <c r="I4" s="32" t="n">
        <v>0</v>
      </c>
      <c r="J4" s="31" t="n">
        <v>0</v>
      </c>
      <c r="K4" s="32" t="n">
        <v>0</v>
      </c>
      <c r="L4" s="31" t="n">
        <v>0</v>
      </c>
      <c r="M4" s="21" t="n">
        <f aca="false">IF(C4="","",IFERROR(I4/H4,0))</f>
        <v>0</v>
      </c>
      <c r="N4" s="9" t="n">
        <f aca="false">IF(C4="","",IFERROR(J4/I4,0))</f>
        <v>0</v>
      </c>
      <c r="O4" s="21" t="n">
        <f aca="false">IF(C4="","",IFERROR(J4/L4,0))</f>
        <v>0</v>
      </c>
      <c r="P4" s="22" t="n">
        <f aca="false">IF(C4="","",IFERROR(L4/J4,0))</f>
        <v>0</v>
      </c>
      <c r="Q4" s="30" t="s">
        <v>119</v>
      </c>
      <c r="R4" s="4" t="str">
        <f aca="false">IF(C4="","",B4&amp;" | "&amp;C4&amp;" | "&amp;D4)</f>
        <v>Pou - Principal V2 | peluches de pou | Amplia</v>
      </c>
      <c r="S4" s="4" t="str">
        <f aca="false">IF(C4="","",R4&amp;"#"&amp;A4)</f>
        <v>Pou - Principal V2 | peluches de pou | Amplia#46291</v>
      </c>
    </row>
    <row r="5" customFormat="false" ht="15" hidden="false" customHeight="false" outlineLevel="0" collapsed="false">
      <c r="A5" s="29" t="n">
        <v>46291</v>
      </c>
      <c r="B5" s="30" t="s">
        <v>59</v>
      </c>
      <c r="C5" s="30" t="s">
        <v>94</v>
      </c>
      <c r="D5" s="30" t="s">
        <v>95</v>
      </c>
      <c r="E5" s="30" t="s">
        <v>66</v>
      </c>
      <c r="F5" s="30"/>
      <c r="G5" s="31" t="n">
        <v>0.24</v>
      </c>
      <c r="H5" s="32" t="n">
        <v>0</v>
      </c>
      <c r="I5" s="32" t="n">
        <v>0</v>
      </c>
      <c r="J5" s="31" t="n">
        <v>0</v>
      </c>
      <c r="K5" s="32" t="n">
        <v>0</v>
      </c>
      <c r="L5" s="31" t="n">
        <v>0</v>
      </c>
      <c r="M5" s="21" t="n">
        <f aca="false">IF(C5="","",IFERROR(I5/H5,0))</f>
        <v>0</v>
      </c>
      <c r="N5" s="9" t="n">
        <f aca="false">IF(C5="","",IFERROR(J5/I5,0))</f>
        <v>0</v>
      </c>
      <c r="O5" s="21" t="n">
        <f aca="false">IF(C5="","",IFERROR(J5/L5,0))</f>
        <v>0</v>
      </c>
      <c r="P5" s="22" t="n">
        <f aca="false">IF(C5="","",IFERROR(L5/J5,0))</f>
        <v>0</v>
      </c>
      <c r="Q5" s="30" t="s">
        <v>119</v>
      </c>
      <c r="R5" s="4" t="str">
        <f aca="false">IF(C5="","",B5&amp;" | "&amp;C5&amp;" | "&amp;D5)</f>
        <v>Pou - Principal V2 | peluche pou | Frase</v>
      </c>
      <c r="S5" s="4" t="str">
        <f aca="false">IF(C5="","",R5&amp;"#"&amp;A5)</f>
        <v>Pou - Principal V2 | peluche pou | Frase#46291</v>
      </c>
    </row>
    <row r="6" customFormat="false" ht="15" hidden="false" customHeight="false" outlineLevel="0" collapsed="false">
      <c r="A6" s="29" t="n">
        <v>46291</v>
      </c>
      <c r="B6" s="30" t="s">
        <v>59</v>
      </c>
      <c r="C6" s="30" t="s">
        <v>98</v>
      </c>
      <c r="D6" s="30" t="s">
        <v>95</v>
      </c>
      <c r="E6" s="30" t="s">
        <v>66</v>
      </c>
      <c r="F6" s="30"/>
      <c r="G6" s="31" t="n">
        <v>0.29</v>
      </c>
      <c r="H6" s="32" t="n">
        <v>0</v>
      </c>
      <c r="I6" s="32" t="n">
        <v>0</v>
      </c>
      <c r="J6" s="31" t="n">
        <v>0</v>
      </c>
      <c r="K6" s="32" t="n">
        <v>0</v>
      </c>
      <c r="L6" s="31" t="n">
        <v>0</v>
      </c>
      <c r="M6" s="21" t="n">
        <f aca="false">IF(C6="","",IFERROR(I6/H6,0))</f>
        <v>0</v>
      </c>
      <c r="N6" s="9" t="n">
        <f aca="false">IF(C6="","",IFERROR(J6/I6,0))</f>
        <v>0</v>
      </c>
      <c r="O6" s="21" t="n">
        <f aca="false">IF(C6="","",IFERROR(J6/L6,0))</f>
        <v>0</v>
      </c>
      <c r="P6" s="22" t="n">
        <f aca="false">IF(C6="","",IFERROR(L6/J6,0))</f>
        <v>0</v>
      </c>
      <c r="Q6" s="30" t="s">
        <v>119</v>
      </c>
      <c r="R6" s="4" t="str">
        <f aca="false">IF(C6="","",B6&amp;" | "&amp;C6&amp;" | "&amp;D6)</f>
        <v>Pou - Principal V2 | muñeco pou | Frase</v>
      </c>
      <c r="S6" s="4" t="str">
        <f aca="false">IF(C6="","",R6&amp;"#"&amp;A6)</f>
        <v>Pou - Principal V2 | muñeco pou | Frase#46291</v>
      </c>
    </row>
    <row r="7" customFormat="false" ht="15" hidden="false" customHeight="false" outlineLevel="0" collapsed="false">
      <c r="A7" s="29" t="n">
        <v>46291</v>
      </c>
      <c r="B7" s="30" t="s">
        <v>59</v>
      </c>
      <c r="C7" s="30" t="s">
        <v>100</v>
      </c>
      <c r="D7" s="30" t="s">
        <v>95</v>
      </c>
      <c r="E7" s="30" t="s">
        <v>66</v>
      </c>
      <c r="F7" s="30"/>
      <c r="G7" s="31" t="n">
        <v>0.24</v>
      </c>
      <c r="H7" s="32" t="n">
        <v>0</v>
      </c>
      <c r="I7" s="32" t="n">
        <v>0</v>
      </c>
      <c r="J7" s="31" t="n">
        <v>0</v>
      </c>
      <c r="K7" s="32" t="n">
        <v>0</v>
      </c>
      <c r="L7" s="31" t="n">
        <v>0</v>
      </c>
      <c r="M7" s="21" t="n">
        <f aca="false">IF(C7="","",IFERROR(I7/H7,0))</f>
        <v>0</v>
      </c>
      <c r="N7" s="9" t="n">
        <f aca="false">IF(C7="","",IFERROR(J7/I7,0))</f>
        <v>0</v>
      </c>
      <c r="O7" s="21" t="n">
        <f aca="false">IF(C7="","",IFERROR(J7/L7,0))</f>
        <v>0</v>
      </c>
      <c r="P7" s="22" t="n">
        <f aca="false">IF(C7="","",IFERROR(L7/J7,0))</f>
        <v>0</v>
      </c>
      <c r="Q7" s="30" t="s">
        <v>119</v>
      </c>
      <c r="R7" s="4" t="str">
        <f aca="false">IF(C7="","",B7&amp;" | "&amp;C7&amp;" | "&amp;D7)</f>
        <v>Pou - Principal V2 | muñeco de peluche pou | Frase</v>
      </c>
      <c r="S7" s="4" t="str">
        <f aca="false">IF(C7="","",R7&amp;"#"&amp;A7)</f>
        <v>Pou - Principal V2 | muñeco de peluche pou | Frase#46291</v>
      </c>
    </row>
    <row r="8" customFormat="false" ht="15" hidden="false" customHeight="false" outlineLevel="0" collapsed="false">
      <c r="A8" s="29" t="n">
        <v>46291</v>
      </c>
      <c r="B8" s="30" t="s">
        <v>59</v>
      </c>
      <c r="C8" s="30" t="s">
        <v>102</v>
      </c>
      <c r="D8" s="30" t="s">
        <v>95</v>
      </c>
      <c r="E8" s="30" t="s">
        <v>66</v>
      </c>
      <c r="F8" s="30"/>
      <c r="G8" s="31" t="n">
        <v>0.29</v>
      </c>
      <c r="H8" s="32" t="n">
        <v>0</v>
      </c>
      <c r="I8" s="32" t="n">
        <v>0</v>
      </c>
      <c r="J8" s="31" t="n">
        <v>0</v>
      </c>
      <c r="K8" s="32" t="n">
        <v>0</v>
      </c>
      <c r="L8" s="31" t="n">
        <v>0</v>
      </c>
      <c r="M8" s="21" t="n">
        <f aca="false">IF(C8="","",IFERROR(I8/H8,0))</f>
        <v>0</v>
      </c>
      <c r="N8" s="9" t="n">
        <f aca="false">IF(C8="","",IFERROR(J8/I8,0))</f>
        <v>0</v>
      </c>
      <c r="O8" s="21" t="n">
        <f aca="false">IF(C8="","",IFERROR(J8/L8,0))</f>
        <v>0</v>
      </c>
      <c r="P8" s="22" t="n">
        <f aca="false">IF(C8="","",IFERROR(L8/J8,0))</f>
        <v>0</v>
      </c>
      <c r="Q8" s="30" t="s">
        <v>119</v>
      </c>
      <c r="R8" s="4" t="str">
        <f aca="false">IF(C8="","",B8&amp;" | "&amp;C8&amp;" | "&amp;D8)</f>
        <v>Pou - Principal V2 | alien pou | Frase</v>
      </c>
      <c r="S8" s="4" t="str">
        <f aca="false">IF(C8="","",R8&amp;"#"&amp;A8)</f>
        <v>Pou - Principal V2 | alien pou | Frase#46291</v>
      </c>
    </row>
    <row r="9" customFormat="false" ht="15" hidden="false" customHeight="false" outlineLevel="0" collapsed="false">
      <c r="A9" s="29" t="n">
        <v>46291</v>
      </c>
      <c r="B9" s="30" t="s">
        <v>59</v>
      </c>
      <c r="C9" s="30" t="s">
        <v>104</v>
      </c>
      <c r="D9" s="30" t="s">
        <v>95</v>
      </c>
      <c r="E9" s="30" t="s">
        <v>66</v>
      </c>
      <c r="F9" s="30"/>
      <c r="G9" s="31" t="n">
        <v>0.24</v>
      </c>
      <c r="H9" s="32" t="n">
        <v>0</v>
      </c>
      <c r="I9" s="32" t="n">
        <v>0</v>
      </c>
      <c r="J9" s="31" t="n">
        <v>0</v>
      </c>
      <c r="K9" s="32" t="n">
        <v>0</v>
      </c>
      <c r="L9" s="31" t="n">
        <v>0</v>
      </c>
      <c r="M9" s="21" t="n">
        <f aca="false">IF(C9="","",IFERROR(I9/H9,0))</f>
        <v>0</v>
      </c>
      <c r="N9" s="9" t="n">
        <f aca="false">IF(C9="","",IFERROR(J9/I9,0))</f>
        <v>0</v>
      </c>
      <c r="O9" s="21" t="n">
        <f aca="false">IF(C9="","",IFERROR(J9/L9,0))</f>
        <v>0</v>
      </c>
      <c r="P9" s="22" t="n">
        <f aca="false">IF(C9="","",IFERROR(L9/J9,0))</f>
        <v>0</v>
      </c>
      <c r="Q9" s="30" t="s">
        <v>119</v>
      </c>
      <c r="R9" s="4" t="str">
        <f aca="false">IF(C9="","",B9&amp;" | "&amp;C9&amp;" | "&amp;D9)</f>
        <v>Pou - Principal V2 | peluche pou alienígena | Frase</v>
      </c>
      <c r="S9" s="4" t="str">
        <f aca="false">IF(C9="","",R9&amp;"#"&amp;A9)</f>
        <v>Pou - Principal V2 | peluche pou alienígena | Frase#46291</v>
      </c>
    </row>
    <row r="10" customFormat="false" ht="15" hidden="false" customHeight="false" outlineLevel="0" collapsed="false">
      <c r="A10" s="29" t="n">
        <v>46291</v>
      </c>
      <c r="B10" s="30" t="s">
        <v>59</v>
      </c>
      <c r="C10" s="30" t="s">
        <v>106</v>
      </c>
      <c r="D10" s="30" t="s">
        <v>95</v>
      </c>
      <c r="E10" s="30" t="s">
        <v>66</v>
      </c>
      <c r="F10" s="30"/>
      <c r="G10" s="31" t="n">
        <v>0.25</v>
      </c>
      <c r="H10" s="32" t="n">
        <v>0</v>
      </c>
      <c r="I10" s="32" t="n">
        <v>0</v>
      </c>
      <c r="J10" s="31" t="n">
        <v>0</v>
      </c>
      <c r="K10" s="32" t="n">
        <v>0</v>
      </c>
      <c r="L10" s="31" t="n">
        <v>0</v>
      </c>
      <c r="M10" s="21" t="n">
        <f aca="false">IF(C10="","",IFERROR(I10/H10,0))</f>
        <v>0</v>
      </c>
      <c r="N10" s="9" t="n">
        <f aca="false">IF(C10="","",IFERROR(J10/I10,0))</f>
        <v>0</v>
      </c>
      <c r="O10" s="21" t="n">
        <f aca="false">IF(C10="","",IFERROR(J10/L10,0))</f>
        <v>0</v>
      </c>
      <c r="P10" s="22" t="n">
        <f aca="false">IF(C10="","",IFERROR(L10/J10,0))</f>
        <v>0</v>
      </c>
      <c r="Q10" s="30" t="s">
        <v>119</v>
      </c>
      <c r="R10" s="4" t="str">
        <f aca="false">IF(C10="","",B10&amp;" | "&amp;C10&amp;" | "&amp;D10)</f>
        <v>Pou - Principal V2 | peluche pou 22 cm | Frase</v>
      </c>
      <c r="S10" s="4" t="str">
        <f aca="false">IF(C10="","",R10&amp;"#"&amp;A10)</f>
        <v>Pou - Principal V2 | peluche pou 22 cm | Frase#46291</v>
      </c>
    </row>
    <row r="11" customFormat="false" ht="15" hidden="false" customHeight="false" outlineLevel="0" collapsed="false">
      <c r="A11" s="29" t="n">
        <v>46291</v>
      </c>
      <c r="B11" s="30" t="s">
        <v>59</v>
      </c>
      <c r="C11" s="30" t="s">
        <v>108</v>
      </c>
      <c r="D11" s="30" t="s">
        <v>95</v>
      </c>
      <c r="E11" s="30" t="s">
        <v>66</v>
      </c>
      <c r="F11" s="30"/>
      <c r="G11" s="31" t="n">
        <v>0.24</v>
      </c>
      <c r="H11" s="32" t="n">
        <v>0</v>
      </c>
      <c r="I11" s="32" t="n">
        <v>0</v>
      </c>
      <c r="J11" s="31" t="n">
        <v>0</v>
      </c>
      <c r="K11" s="32" t="n">
        <v>0</v>
      </c>
      <c r="L11" s="31" t="n">
        <v>0</v>
      </c>
      <c r="M11" s="21" t="n">
        <f aca="false">IF(C11="","",IFERROR(I11/H11,0))</f>
        <v>0</v>
      </c>
      <c r="N11" s="9" t="n">
        <f aca="false">IF(C11="","",IFERROR(J11/I11,0))</f>
        <v>0</v>
      </c>
      <c r="O11" s="21" t="n">
        <f aca="false">IF(C11="","",IFERROR(J11/L11,0))</f>
        <v>0</v>
      </c>
      <c r="P11" s="22" t="n">
        <f aca="false">IF(C11="","",IFERROR(L11/J11,0))</f>
        <v>0</v>
      </c>
      <c r="Q11" s="30" t="s">
        <v>119</v>
      </c>
      <c r="R11" s="4" t="str">
        <f aca="false">IF(C11="","",B11&amp;" | "&amp;C11&amp;" | "&amp;D11)</f>
        <v>Pou - Principal V2 | peluche pou regalo | Frase</v>
      </c>
      <c r="S11" s="4" t="str">
        <f aca="false">IF(C11="","",R11&amp;"#"&amp;A11)</f>
        <v>Pou - Principal V2 | peluche pou regalo | Frase#46291</v>
      </c>
    </row>
    <row r="12" customFormat="false" ht="15" hidden="false" customHeight="false" outlineLevel="0" collapsed="false">
      <c r="A12" s="29" t="n">
        <v>46291</v>
      </c>
      <c r="B12" s="30" t="s">
        <v>59</v>
      </c>
      <c r="C12" s="30" t="s">
        <v>110</v>
      </c>
      <c r="D12" s="30" t="s">
        <v>95</v>
      </c>
      <c r="E12" s="30" t="s">
        <v>66</v>
      </c>
      <c r="F12" s="30"/>
      <c r="G12" s="31" t="n">
        <v>0.3</v>
      </c>
      <c r="H12" s="32" t="n">
        <v>0</v>
      </c>
      <c r="I12" s="32" t="n">
        <v>0</v>
      </c>
      <c r="J12" s="31" t="n">
        <v>0</v>
      </c>
      <c r="K12" s="32" t="n">
        <v>0</v>
      </c>
      <c r="L12" s="31" t="n">
        <v>0</v>
      </c>
      <c r="M12" s="21" t="n">
        <f aca="false">IF(C12="","",IFERROR(I12/H12,0))</f>
        <v>0</v>
      </c>
      <c r="N12" s="9" t="n">
        <f aca="false">IF(C12="","",IFERROR(J12/I12,0))</f>
        <v>0</v>
      </c>
      <c r="O12" s="21" t="n">
        <f aca="false">IF(C12="","",IFERROR(J12/L12,0))</f>
        <v>0</v>
      </c>
      <c r="P12" s="22" t="n">
        <f aca="false">IF(C12="","",IFERROR(L12/J12,0))</f>
        <v>0</v>
      </c>
      <c r="Q12" s="30" t="s">
        <v>119</v>
      </c>
      <c r="R12" s="4" t="str">
        <f aca="false">IF(C12="","",B12&amp;" | "&amp;C12&amp;" | "&amp;D12)</f>
        <v>Pou - Principal V2 | muñeco pou regalo niño | Frase</v>
      </c>
      <c r="S12" s="4" t="str">
        <f aca="false">IF(C12="","",R12&amp;"#"&amp;A12)</f>
        <v>Pou - Principal V2 | muñeco pou regalo niño | Frase#46291</v>
      </c>
    </row>
    <row r="13" customFormat="false" ht="15" hidden="false" customHeight="false" outlineLevel="0" collapsed="false">
      <c r="A13" s="29" t="n">
        <v>46291</v>
      </c>
      <c r="B13" s="30" t="s">
        <v>59</v>
      </c>
      <c r="C13" s="30" t="s">
        <v>112</v>
      </c>
      <c r="D13" s="30" t="s">
        <v>95</v>
      </c>
      <c r="E13" s="30" t="s">
        <v>66</v>
      </c>
      <c r="F13" s="30"/>
      <c r="G13" s="31" t="n">
        <v>0.24</v>
      </c>
      <c r="H13" s="32" t="n">
        <v>0</v>
      </c>
      <c r="I13" s="32" t="n">
        <v>0</v>
      </c>
      <c r="J13" s="31" t="n">
        <v>0</v>
      </c>
      <c r="K13" s="32" t="n">
        <v>0</v>
      </c>
      <c r="L13" s="31" t="n">
        <v>0</v>
      </c>
      <c r="M13" s="21" t="n">
        <f aca="false">IF(C13="","",IFERROR(I13/H13,0))</f>
        <v>0</v>
      </c>
      <c r="N13" s="9" t="n">
        <f aca="false">IF(C13="","",IFERROR(J13/I13,0))</f>
        <v>0</v>
      </c>
      <c r="O13" s="21" t="n">
        <f aca="false">IF(C13="","",IFERROR(J13/L13,0))</f>
        <v>0</v>
      </c>
      <c r="P13" s="22" t="n">
        <f aca="false">IF(C13="","",IFERROR(L13/J13,0))</f>
        <v>0</v>
      </c>
      <c r="Q13" s="30" t="s">
        <v>119</v>
      </c>
      <c r="R13" s="4" t="str">
        <f aca="false">IF(C13="","",B13&amp;" | "&amp;C13&amp;" | "&amp;D13)</f>
        <v>Pou - Principal V2 | pou peluche | Frase</v>
      </c>
      <c r="S13" s="4" t="str">
        <f aca="false">IF(C13="","",R13&amp;"#"&amp;A13)</f>
        <v>Pou - Principal V2 | pou peluche | Frase#46291</v>
      </c>
    </row>
    <row r="14" customFormat="false" ht="15" hidden="false" customHeight="false" outlineLevel="0" collapsed="false">
      <c r="A14" s="33"/>
      <c r="B14" s="34"/>
      <c r="C14" s="34"/>
      <c r="D14" s="34"/>
      <c r="E14" s="34"/>
      <c r="F14" s="34"/>
      <c r="G14" s="7"/>
      <c r="H14" s="35"/>
      <c r="I14" s="35"/>
      <c r="J14" s="7"/>
      <c r="K14" s="35"/>
      <c r="L14" s="7"/>
      <c r="M14" s="21" t="str">
        <f aca="false">IF(C14="","",IFERROR(I14/H14,0))</f>
        <v/>
      </c>
      <c r="N14" s="9" t="str">
        <f aca="false">IF(C14="","",IFERROR(J14/I14,0))</f>
        <v/>
      </c>
      <c r="O14" s="21" t="str">
        <f aca="false">IF(C14="","",IFERROR(J14/L14,0))</f>
        <v/>
      </c>
      <c r="P14" s="22" t="str">
        <f aca="false">IF(C14="","",IFERROR(L14/J14,0))</f>
        <v/>
      </c>
      <c r="Q14" s="34"/>
      <c r="R14" s="4" t="str">
        <f aca="false">IF(C14="","",B14&amp;" | "&amp;C14&amp;" | "&amp;D14)</f>
        <v/>
      </c>
      <c r="S14" s="4" t="str">
        <f aca="false">IF(C14="","",R14&amp;"#"&amp;A14)</f>
        <v/>
      </c>
    </row>
    <row r="15" customFormat="false" ht="15" hidden="false" customHeight="false" outlineLevel="0" collapsed="false">
      <c r="A15" s="33"/>
      <c r="B15" s="34"/>
      <c r="C15" s="34"/>
      <c r="D15" s="34"/>
      <c r="E15" s="34"/>
      <c r="F15" s="34"/>
      <c r="G15" s="7"/>
      <c r="H15" s="35"/>
      <c r="I15" s="35"/>
      <c r="J15" s="7"/>
      <c r="K15" s="35"/>
      <c r="L15" s="7"/>
      <c r="M15" s="21" t="str">
        <f aca="false">IF(C15="","",IFERROR(I15/H15,0))</f>
        <v/>
      </c>
      <c r="N15" s="9" t="str">
        <f aca="false">IF(C15="","",IFERROR(J15/I15,0))</f>
        <v/>
      </c>
      <c r="O15" s="21" t="str">
        <f aca="false">IF(C15="","",IFERROR(J15/L15,0))</f>
        <v/>
      </c>
      <c r="P15" s="22" t="str">
        <f aca="false">IF(C15="","",IFERROR(L15/J15,0))</f>
        <v/>
      </c>
      <c r="Q15" s="34"/>
      <c r="R15" s="4" t="str">
        <f aca="false">IF(C15="","",B15&amp;" | "&amp;C15&amp;" | "&amp;D15)</f>
        <v/>
      </c>
      <c r="S15" s="4" t="str">
        <f aca="false">IF(C15="","",R15&amp;"#"&amp;A15)</f>
        <v/>
      </c>
    </row>
    <row r="16" customFormat="false" ht="15" hidden="false" customHeight="false" outlineLevel="0" collapsed="false">
      <c r="A16" s="33"/>
      <c r="B16" s="34"/>
      <c r="C16" s="34"/>
      <c r="D16" s="34"/>
      <c r="E16" s="34"/>
      <c r="F16" s="34"/>
      <c r="G16" s="7"/>
      <c r="H16" s="35"/>
      <c r="I16" s="35"/>
      <c r="J16" s="7"/>
      <c r="K16" s="35"/>
      <c r="L16" s="7"/>
      <c r="M16" s="21" t="str">
        <f aca="false">IF(C16="","",IFERROR(I16/H16,0))</f>
        <v/>
      </c>
      <c r="N16" s="9" t="str">
        <f aca="false">IF(C16="","",IFERROR(J16/I16,0))</f>
        <v/>
      </c>
      <c r="O16" s="21" t="str">
        <f aca="false">IF(C16="","",IFERROR(J16/L16,0))</f>
        <v/>
      </c>
      <c r="P16" s="22" t="str">
        <f aca="false">IF(C16="","",IFERROR(L16/J16,0))</f>
        <v/>
      </c>
      <c r="Q16" s="34"/>
      <c r="R16" s="4" t="str">
        <f aca="false">IF(C16="","",B16&amp;" | "&amp;C16&amp;" | "&amp;D16)</f>
        <v/>
      </c>
      <c r="S16" s="4" t="str">
        <f aca="false">IF(C16="","",R16&amp;"#"&amp;A16)</f>
        <v/>
      </c>
    </row>
    <row r="17" customFormat="false" ht="15" hidden="false" customHeight="false" outlineLevel="0" collapsed="false">
      <c r="A17" s="33"/>
      <c r="B17" s="34"/>
      <c r="C17" s="34"/>
      <c r="D17" s="34"/>
      <c r="E17" s="34"/>
      <c r="F17" s="34"/>
      <c r="G17" s="7"/>
      <c r="H17" s="35"/>
      <c r="I17" s="35"/>
      <c r="J17" s="7"/>
      <c r="K17" s="35"/>
      <c r="L17" s="7"/>
      <c r="M17" s="21" t="str">
        <f aca="false">IF(C17="","",IFERROR(I17/H17,0))</f>
        <v/>
      </c>
      <c r="N17" s="9" t="str">
        <f aca="false">IF(C17="","",IFERROR(J17/I17,0))</f>
        <v/>
      </c>
      <c r="O17" s="21" t="str">
        <f aca="false">IF(C17="","",IFERROR(J17/L17,0))</f>
        <v/>
      </c>
      <c r="P17" s="22" t="str">
        <f aca="false">IF(C17="","",IFERROR(L17/J17,0))</f>
        <v/>
      </c>
      <c r="Q17" s="34"/>
      <c r="R17" s="4" t="str">
        <f aca="false">IF(C17="","",B17&amp;" | "&amp;C17&amp;" | "&amp;D17)</f>
        <v/>
      </c>
      <c r="S17" s="4" t="str">
        <f aca="false">IF(C17="","",R17&amp;"#"&amp;A17)</f>
        <v/>
      </c>
    </row>
    <row r="18" customFormat="false" ht="15" hidden="false" customHeight="false" outlineLevel="0" collapsed="false">
      <c r="A18" s="33"/>
      <c r="B18" s="34"/>
      <c r="C18" s="34"/>
      <c r="D18" s="34"/>
      <c r="E18" s="34"/>
      <c r="F18" s="34"/>
      <c r="G18" s="7"/>
      <c r="H18" s="35"/>
      <c r="I18" s="35"/>
      <c r="J18" s="7"/>
      <c r="K18" s="35"/>
      <c r="L18" s="7"/>
      <c r="M18" s="21" t="str">
        <f aca="false">IF(C18="","",IFERROR(I18/H18,0))</f>
        <v/>
      </c>
      <c r="N18" s="9" t="str">
        <f aca="false">IF(C18="","",IFERROR(J18/I18,0))</f>
        <v/>
      </c>
      <c r="O18" s="21" t="str">
        <f aca="false">IF(C18="","",IFERROR(J18/L18,0))</f>
        <v/>
      </c>
      <c r="P18" s="22" t="str">
        <f aca="false">IF(C18="","",IFERROR(L18/J18,0))</f>
        <v/>
      </c>
      <c r="Q18" s="34"/>
      <c r="R18" s="4" t="str">
        <f aca="false">IF(C18="","",B18&amp;" | "&amp;C18&amp;" | "&amp;D18)</f>
        <v/>
      </c>
      <c r="S18" s="4" t="str">
        <f aca="false">IF(C18="","",R18&amp;"#"&amp;A18)</f>
        <v/>
      </c>
    </row>
    <row r="19" customFormat="false" ht="15" hidden="false" customHeight="false" outlineLevel="0" collapsed="false">
      <c r="A19" s="33"/>
      <c r="B19" s="34"/>
      <c r="C19" s="34"/>
      <c r="D19" s="34"/>
      <c r="E19" s="34"/>
      <c r="F19" s="34"/>
      <c r="G19" s="7"/>
      <c r="H19" s="35"/>
      <c r="I19" s="35"/>
      <c r="J19" s="7"/>
      <c r="K19" s="35"/>
      <c r="L19" s="7"/>
      <c r="M19" s="21" t="str">
        <f aca="false">IF(C19="","",IFERROR(I19/H19,0))</f>
        <v/>
      </c>
      <c r="N19" s="9" t="str">
        <f aca="false">IF(C19="","",IFERROR(J19/I19,0))</f>
        <v/>
      </c>
      <c r="O19" s="21" t="str">
        <f aca="false">IF(C19="","",IFERROR(J19/L19,0))</f>
        <v/>
      </c>
      <c r="P19" s="22" t="str">
        <f aca="false">IF(C19="","",IFERROR(L19/J19,0))</f>
        <v/>
      </c>
      <c r="Q19" s="34"/>
      <c r="R19" s="4" t="str">
        <f aca="false">IF(C19="","",B19&amp;" | "&amp;C19&amp;" | "&amp;D19)</f>
        <v/>
      </c>
      <c r="S19" s="4" t="str">
        <f aca="false">IF(C19="","",R19&amp;"#"&amp;A19)</f>
        <v/>
      </c>
    </row>
    <row r="20" customFormat="false" ht="15" hidden="false" customHeight="false" outlineLevel="0" collapsed="false">
      <c r="A20" s="33"/>
      <c r="B20" s="34"/>
      <c r="C20" s="34"/>
      <c r="D20" s="34"/>
      <c r="E20" s="34"/>
      <c r="F20" s="34"/>
      <c r="G20" s="7"/>
      <c r="H20" s="35"/>
      <c r="I20" s="35"/>
      <c r="J20" s="7"/>
      <c r="K20" s="35"/>
      <c r="L20" s="7"/>
      <c r="M20" s="21" t="str">
        <f aca="false">IF(C20="","",IFERROR(I20/H20,0))</f>
        <v/>
      </c>
      <c r="N20" s="9" t="str">
        <f aca="false">IF(C20="","",IFERROR(J20/I20,0))</f>
        <v/>
      </c>
      <c r="O20" s="21" t="str">
        <f aca="false">IF(C20="","",IFERROR(J20/L20,0))</f>
        <v/>
      </c>
      <c r="P20" s="22" t="str">
        <f aca="false">IF(C20="","",IFERROR(L20/J20,0))</f>
        <v/>
      </c>
      <c r="Q20" s="34"/>
      <c r="R20" s="4" t="str">
        <f aca="false">IF(C20="","",B20&amp;" | "&amp;C20&amp;" | "&amp;D20)</f>
        <v/>
      </c>
      <c r="S20" s="4" t="str">
        <f aca="false">IF(C20="","",R20&amp;"#"&amp;A20)</f>
        <v/>
      </c>
    </row>
    <row r="21" customFormat="false" ht="15" hidden="false" customHeight="false" outlineLevel="0" collapsed="false">
      <c r="A21" s="33"/>
      <c r="B21" s="34"/>
      <c r="C21" s="34"/>
      <c r="D21" s="34"/>
      <c r="E21" s="34"/>
      <c r="F21" s="34"/>
      <c r="G21" s="7"/>
      <c r="H21" s="35"/>
      <c r="I21" s="35"/>
      <c r="J21" s="7"/>
      <c r="K21" s="35"/>
      <c r="L21" s="7"/>
      <c r="M21" s="21" t="str">
        <f aca="false">IF(C21="","",IFERROR(I21/H21,0))</f>
        <v/>
      </c>
      <c r="N21" s="9" t="str">
        <f aca="false">IF(C21="","",IFERROR(J21/I21,0))</f>
        <v/>
      </c>
      <c r="O21" s="21" t="str">
        <f aca="false">IF(C21="","",IFERROR(J21/L21,0))</f>
        <v/>
      </c>
      <c r="P21" s="22" t="str">
        <f aca="false">IF(C21="","",IFERROR(L21/J21,0))</f>
        <v/>
      </c>
      <c r="Q21" s="34"/>
      <c r="R21" s="4" t="str">
        <f aca="false">IF(C21="","",B21&amp;" | "&amp;C21&amp;" | "&amp;D21)</f>
        <v/>
      </c>
      <c r="S21" s="4" t="str">
        <f aca="false">IF(C21="","",R21&amp;"#"&amp;A21)</f>
        <v/>
      </c>
    </row>
    <row r="22" customFormat="false" ht="15" hidden="false" customHeight="false" outlineLevel="0" collapsed="false">
      <c r="A22" s="33"/>
      <c r="B22" s="34"/>
      <c r="C22" s="34"/>
      <c r="D22" s="34"/>
      <c r="E22" s="34"/>
      <c r="F22" s="34"/>
      <c r="G22" s="7"/>
      <c r="H22" s="35"/>
      <c r="I22" s="35"/>
      <c r="J22" s="7"/>
      <c r="K22" s="35"/>
      <c r="L22" s="7"/>
      <c r="M22" s="21" t="str">
        <f aca="false">IF(C22="","",IFERROR(I22/H22,0))</f>
        <v/>
      </c>
      <c r="N22" s="9" t="str">
        <f aca="false">IF(C22="","",IFERROR(J22/I22,0))</f>
        <v/>
      </c>
      <c r="O22" s="21" t="str">
        <f aca="false">IF(C22="","",IFERROR(J22/L22,0))</f>
        <v/>
      </c>
      <c r="P22" s="22" t="str">
        <f aca="false">IF(C22="","",IFERROR(L22/J22,0))</f>
        <v/>
      </c>
      <c r="Q22" s="34"/>
      <c r="R22" s="4" t="str">
        <f aca="false">IF(C22="","",B22&amp;" | "&amp;C22&amp;" | "&amp;D22)</f>
        <v/>
      </c>
      <c r="S22" s="4" t="str">
        <f aca="false">IF(C22="","",R22&amp;"#"&amp;A22)</f>
        <v/>
      </c>
    </row>
    <row r="23" customFormat="false" ht="15" hidden="false" customHeight="false" outlineLevel="0" collapsed="false">
      <c r="A23" s="33"/>
      <c r="B23" s="34"/>
      <c r="C23" s="34"/>
      <c r="D23" s="34"/>
      <c r="E23" s="34"/>
      <c r="F23" s="34"/>
      <c r="G23" s="7"/>
      <c r="H23" s="35"/>
      <c r="I23" s="35"/>
      <c r="J23" s="7"/>
      <c r="K23" s="35"/>
      <c r="L23" s="7"/>
      <c r="M23" s="21" t="str">
        <f aca="false">IF(C23="","",IFERROR(I23/H23,0))</f>
        <v/>
      </c>
      <c r="N23" s="9" t="str">
        <f aca="false">IF(C23="","",IFERROR(J23/I23,0))</f>
        <v/>
      </c>
      <c r="O23" s="21" t="str">
        <f aca="false">IF(C23="","",IFERROR(J23/L23,0))</f>
        <v/>
      </c>
      <c r="P23" s="22" t="str">
        <f aca="false">IF(C23="","",IFERROR(L23/J23,0))</f>
        <v/>
      </c>
      <c r="Q23" s="34"/>
      <c r="R23" s="4" t="str">
        <f aca="false">IF(C23="","",B23&amp;" | "&amp;C23&amp;" | "&amp;D23)</f>
        <v/>
      </c>
      <c r="S23" s="4" t="str">
        <f aca="false">IF(C23="","",R23&amp;"#"&amp;A23)</f>
        <v/>
      </c>
    </row>
    <row r="24" customFormat="false" ht="15" hidden="false" customHeight="false" outlineLevel="0" collapsed="false">
      <c r="A24" s="33"/>
      <c r="B24" s="34"/>
      <c r="C24" s="34"/>
      <c r="D24" s="34"/>
      <c r="E24" s="34"/>
      <c r="F24" s="34"/>
      <c r="G24" s="7"/>
      <c r="H24" s="35"/>
      <c r="I24" s="35"/>
      <c r="J24" s="7"/>
      <c r="K24" s="35"/>
      <c r="L24" s="7"/>
      <c r="M24" s="21" t="str">
        <f aca="false">IF(C24="","",IFERROR(I24/H24,0))</f>
        <v/>
      </c>
      <c r="N24" s="9" t="str">
        <f aca="false">IF(C24="","",IFERROR(J24/I24,0))</f>
        <v/>
      </c>
      <c r="O24" s="21" t="str">
        <f aca="false">IF(C24="","",IFERROR(J24/L24,0))</f>
        <v/>
      </c>
      <c r="P24" s="22" t="str">
        <f aca="false">IF(C24="","",IFERROR(L24/J24,0))</f>
        <v/>
      </c>
      <c r="Q24" s="34"/>
      <c r="R24" s="4" t="str">
        <f aca="false">IF(C24="","",B24&amp;" | "&amp;C24&amp;" | "&amp;D24)</f>
        <v/>
      </c>
      <c r="S24" s="4" t="str">
        <f aca="false">IF(C24="","",R24&amp;"#"&amp;A24)</f>
        <v/>
      </c>
    </row>
    <row r="25" customFormat="false" ht="15" hidden="false" customHeight="false" outlineLevel="0" collapsed="false">
      <c r="A25" s="33"/>
      <c r="B25" s="34"/>
      <c r="C25" s="34"/>
      <c r="D25" s="34"/>
      <c r="E25" s="34"/>
      <c r="F25" s="34"/>
      <c r="G25" s="7"/>
      <c r="H25" s="35"/>
      <c r="I25" s="35"/>
      <c r="J25" s="7"/>
      <c r="K25" s="35"/>
      <c r="L25" s="7"/>
      <c r="M25" s="21" t="str">
        <f aca="false">IF(C25="","",IFERROR(I25/H25,0))</f>
        <v/>
      </c>
      <c r="N25" s="9" t="str">
        <f aca="false">IF(C25="","",IFERROR(J25/I25,0))</f>
        <v/>
      </c>
      <c r="O25" s="21" t="str">
        <f aca="false">IF(C25="","",IFERROR(J25/L25,0))</f>
        <v/>
      </c>
      <c r="P25" s="22" t="str">
        <f aca="false">IF(C25="","",IFERROR(L25/J25,0))</f>
        <v/>
      </c>
      <c r="Q25" s="34"/>
      <c r="R25" s="4" t="str">
        <f aca="false">IF(C25="","",B25&amp;" | "&amp;C25&amp;" | "&amp;D25)</f>
        <v/>
      </c>
      <c r="S25" s="4" t="str">
        <f aca="false">IF(C25="","",R25&amp;"#"&amp;A25)</f>
        <v/>
      </c>
    </row>
    <row r="26" customFormat="false" ht="15" hidden="false" customHeight="false" outlineLevel="0" collapsed="false">
      <c r="A26" s="33"/>
      <c r="B26" s="34"/>
      <c r="C26" s="34"/>
      <c r="D26" s="34"/>
      <c r="E26" s="34"/>
      <c r="F26" s="34"/>
      <c r="G26" s="7"/>
      <c r="H26" s="35"/>
      <c r="I26" s="35"/>
      <c r="J26" s="7"/>
      <c r="K26" s="35"/>
      <c r="L26" s="7"/>
      <c r="M26" s="21" t="str">
        <f aca="false">IF(C26="","",IFERROR(I26/H26,0))</f>
        <v/>
      </c>
      <c r="N26" s="9" t="str">
        <f aca="false">IF(C26="","",IFERROR(J26/I26,0))</f>
        <v/>
      </c>
      <c r="O26" s="21" t="str">
        <f aca="false">IF(C26="","",IFERROR(J26/L26,0))</f>
        <v/>
      </c>
      <c r="P26" s="22" t="str">
        <f aca="false">IF(C26="","",IFERROR(L26/J26,0))</f>
        <v/>
      </c>
      <c r="Q26" s="34"/>
      <c r="R26" s="4" t="str">
        <f aca="false">IF(C26="","",B26&amp;" | "&amp;C26&amp;" | "&amp;D26)</f>
        <v/>
      </c>
      <c r="S26" s="4" t="str">
        <f aca="false">IF(C26="","",R26&amp;"#"&amp;A26)</f>
        <v/>
      </c>
    </row>
    <row r="27" customFormat="false" ht="15" hidden="false" customHeight="false" outlineLevel="0" collapsed="false">
      <c r="A27" s="33"/>
      <c r="B27" s="34"/>
      <c r="C27" s="34"/>
      <c r="D27" s="34"/>
      <c r="E27" s="34"/>
      <c r="F27" s="34"/>
      <c r="G27" s="7"/>
      <c r="H27" s="35"/>
      <c r="I27" s="35"/>
      <c r="J27" s="7"/>
      <c r="K27" s="35"/>
      <c r="L27" s="7"/>
      <c r="M27" s="21" t="str">
        <f aca="false">IF(C27="","",IFERROR(I27/H27,0))</f>
        <v/>
      </c>
      <c r="N27" s="9" t="str">
        <f aca="false">IF(C27="","",IFERROR(J27/I27,0))</f>
        <v/>
      </c>
      <c r="O27" s="21" t="str">
        <f aca="false">IF(C27="","",IFERROR(J27/L27,0))</f>
        <v/>
      </c>
      <c r="P27" s="22" t="str">
        <f aca="false">IF(C27="","",IFERROR(L27/J27,0))</f>
        <v/>
      </c>
      <c r="Q27" s="34"/>
      <c r="R27" s="4" t="str">
        <f aca="false">IF(C27="","",B27&amp;" | "&amp;C27&amp;" | "&amp;D27)</f>
        <v/>
      </c>
      <c r="S27" s="4" t="str">
        <f aca="false">IF(C27="","",R27&amp;"#"&amp;A27)</f>
        <v/>
      </c>
    </row>
    <row r="28" customFormat="false" ht="15" hidden="false" customHeight="false" outlineLevel="0" collapsed="false">
      <c r="A28" s="33"/>
      <c r="B28" s="34"/>
      <c r="C28" s="34"/>
      <c r="D28" s="34"/>
      <c r="E28" s="34"/>
      <c r="F28" s="34"/>
      <c r="G28" s="7"/>
      <c r="H28" s="35"/>
      <c r="I28" s="35"/>
      <c r="J28" s="7"/>
      <c r="K28" s="35"/>
      <c r="L28" s="7"/>
      <c r="M28" s="21" t="str">
        <f aca="false">IF(C28="","",IFERROR(I28/H28,0))</f>
        <v/>
      </c>
      <c r="N28" s="9" t="str">
        <f aca="false">IF(C28="","",IFERROR(J28/I28,0))</f>
        <v/>
      </c>
      <c r="O28" s="21" t="str">
        <f aca="false">IF(C28="","",IFERROR(J28/L28,0))</f>
        <v/>
      </c>
      <c r="P28" s="22" t="str">
        <f aca="false">IF(C28="","",IFERROR(L28/J28,0))</f>
        <v/>
      </c>
      <c r="Q28" s="34"/>
      <c r="R28" s="4" t="str">
        <f aca="false">IF(C28="","",B28&amp;" | "&amp;C28&amp;" | "&amp;D28)</f>
        <v/>
      </c>
      <c r="S28" s="4" t="str">
        <f aca="false">IF(C28="","",R28&amp;"#"&amp;A28)</f>
        <v/>
      </c>
    </row>
    <row r="29" customFormat="false" ht="15" hidden="false" customHeight="false" outlineLevel="0" collapsed="false">
      <c r="A29" s="33"/>
      <c r="B29" s="34"/>
      <c r="C29" s="34"/>
      <c r="D29" s="34"/>
      <c r="E29" s="34"/>
      <c r="F29" s="34"/>
      <c r="G29" s="7"/>
      <c r="H29" s="35"/>
      <c r="I29" s="35"/>
      <c r="J29" s="7"/>
      <c r="K29" s="35"/>
      <c r="L29" s="7"/>
      <c r="M29" s="21" t="str">
        <f aca="false">IF(C29="","",IFERROR(I29/H29,0))</f>
        <v/>
      </c>
      <c r="N29" s="9" t="str">
        <f aca="false">IF(C29="","",IFERROR(J29/I29,0))</f>
        <v/>
      </c>
      <c r="O29" s="21" t="str">
        <f aca="false">IF(C29="","",IFERROR(J29/L29,0))</f>
        <v/>
      </c>
      <c r="P29" s="22" t="str">
        <f aca="false">IF(C29="","",IFERROR(L29/J29,0))</f>
        <v/>
      </c>
      <c r="Q29" s="34"/>
      <c r="R29" s="4" t="str">
        <f aca="false">IF(C29="","",B29&amp;" | "&amp;C29&amp;" | "&amp;D29)</f>
        <v/>
      </c>
      <c r="S29" s="4" t="str">
        <f aca="false">IF(C29="","",R29&amp;"#"&amp;A29)</f>
        <v/>
      </c>
    </row>
    <row r="30" customFormat="false" ht="15" hidden="false" customHeight="false" outlineLevel="0" collapsed="false">
      <c r="A30" s="33"/>
      <c r="B30" s="34"/>
      <c r="C30" s="34"/>
      <c r="D30" s="34"/>
      <c r="E30" s="34"/>
      <c r="F30" s="34"/>
      <c r="G30" s="7"/>
      <c r="H30" s="35"/>
      <c r="I30" s="35"/>
      <c r="J30" s="7"/>
      <c r="K30" s="35"/>
      <c r="L30" s="7"/>
      <c r="M30" s="21" t="str">
        <f aca="false">IF(C30="","",IFERROR(I30/H30,0))</f>
        <v/>
      </c>
      <c r="N30" s="9" t="str">
        <f aca="false">IF(C30="","",IFERROR(J30/I30,0))</f>
        <v/>
      </c>
      <c r="O30" s="21" t="str">
        <f aca="false">IF(C30="","",IFERROR(J30/L30,0))</f>
        <v/>
      </c>
      <c r="P30" s="22" t="str">
        <f aca="false">IF(C30="","",IFERROR(L30/J30,0))</f>
        <v/>
      </c>
      <c r="Q30" s="34"/>
      <c r="R30" s="4" t="str">
        <f aca="false">IF(C30="","",B30&amp;" | "&amp;C30&amp;" | "&amp;D30)</f>
        <v/>
      </c>
      <c r="S30" s="4" t="str">
        <f aca="false">IF(C30="","",R30&amp;"#"&amp;A30)</f>
        <v/>
      </c>
    </row>
    <row r="31" customFormat="false" ht="15" hidden="false" customHeight="false" outlineLevel="0" collapsed="false">
      <c r="A31" s="33"/>
      <c r="B31" s="34"/>
      <c r="C31" s="34"/>
      <c r="D31" s="34"/>
      <c r="E31" s="34"/>
      <c r="F31" s="34"/>
      <c r="G31" s="7"/>
      <c r="H31" s="35"/>
      <c r="I31" s="35"/>
      <c r="J31" s="7"/>
      <c r="K31" s="35"/>
      <c r="L31" s="7"/>
      <c r="M31" s="21" t="str">
        <f aca="false">IF(C31="","",IFERROR(I31/H31,0))</f>
        <v/>
      </c>
      <c r="N31" s="9" t="str">
        <f aca="false">IF(C31="","",IFERROR(J31/I31,0))</f>
        <v/>
      </c>
      <c r="O31" s="21" t="str">
        <f aca="false">IF(C31="","",IFERROR(J31/L31,0))</f>
        <v/>
      </c>
      <c r="P31" s="22" t="str">
        <f aca="false">IF(C31="","",IFERROR(L31/J31,0))</f>
        <v/>
      </c>
      <c r="Q31" s="34"/>
      <c r="R31" s="4" t="str">
        <f aca="false">IF(C31="","",B31&amp;" | "&amp;C31&amp;" | "&amp;D31)</f>
        <v/>
      </c>
      <c r="S31" s="4" t="str">
        <f aca="false">IF(C31="","",R31&amp;"#"&amp;A31)</f>
        <v/>
      </c>
    </row>
    <row r="32" customFormat="false" ht="15" hidden="false" customHeight="false" outlineLevel="0" collapsed="false">
      <c r="A32" s="33"/>
      <c r="B32" s="34"/>
      <c r="C32" s="34"/>
      <c r="D32" s="34"/>
      <c r="E32" s="34"/>
      <c r="F32" s="34"/>
      <c r="G32" s="7"/>
      <c r="H32" s="35"/>
      <c r="I32" s="35"/>
      <c r="J32" s="7"/>
      <c r="K32" s="35"/>
      <c r="L32" s="7"/>
      <c r="M32" s="21" t="str">
        <f aca="false">IF(C32="","",IFERROR(I32/H32,0))</f>
        <v/>
      </c>
      <c r="N32" s="9" t="str">
        <f aca="false">IF(C32="","",IFERROR(J32/I32,0))</f>
        <v/>
      </c>
      <c r="O32" s="21" t="str">
        <f aca="false">IF(C32="","",IFERROR(J32/L32,0))</f>
        <v/>
      </c>
      <c r="P32" s="22" t="str">
        <f aca="false">IF(C32="","",IFERROR(L32/J32,0))</f>
        <v/>
      </c>
      <c r="Q32" s="34"/>
      <c r="R32" s="4" t="str">
        <f aca="false">IF(C32="","",B32&amp;" | "&amp;C32&amp;" | "&amp;D32)</f>
        <v/>
      </c>
      <c r="S32" s="4" t="str">
        <f aca="false">IF(C32="","",R32&amp;"#"&amp;A32)</f>
        <v/>
      </c>
    </row>
    <row r="33" customFormat="false" ht="15" hidden="false" customHeight="false" outlineLevel="0" collapsed="false">
      <c r="A33" s="33"/>
      <c r="B33" s="34"/>
      <c r="C33" s="34"/>
      <c r="D33" s="34"/>
      <c r="E33" s="34"/>
      <c r="F33" s="34"/>
      <c r="G33" s="7"/>
      <c r="H33" s="35"/>
      <c r="I33" s="35"/>
      <c r="J33" s="7"/>
      <c r="K33" s="35"/>
      <c r="L33" s="7"/>
      <c r="M33" s="21" t="str">
        <f aca="false">IF(C33="","",IFERROR(I33/H33,0))</f>
        <v/>
      </c>
      <c r="N33" s="9" t="str">
        <f aca="false">IF(C33="","",IFERROR(J33/I33,0))</f>
        <v/>
      </c>
      <c r="O33" s="21" t="str">
        <f aca="false">IF(C33="","",IFERROR(J33/L33,0))</f>
        <v/>
      </c>
      <c r="P33" s="22" t="str">
        <f aca="false">IF(C33="","",IFERROR(L33/J33,0))</f>
        <v/>
      </c>
      <c r="Q33" s="34"/>
      <c r="R33" s="4" t="str">
        <f aca="false">IF(C33="","",B33&amp;" | "&amp;C33&amp;" | "&amp;D33)</f>
        <v/>
      </c>
      <c r="S33" s="4" t="str">
        <f aca="false">IF(C33="","",R33&amp;"#"&amp;A33)</f>
        <v/>
      </c>
    </row>
    <row r="34" customFormat="false" ht="15" hidden="false" customHeight="false" outlineLevel="0" collapsed="false">
      <c r="A34" s="33"/>
      <c r="B34" s="34"/>
      <c r="C34" s="34"/>
      <c r="D34" s="34"/>
      <c r="E34" s="34"/>
      <c r="F34" s="34"/>
      <c r="G34" s="7"/>
      <c r="H34" s="35"/>
      <c r="I34" s="35"/>
      <c r="J34" s="7"/>
      <c r="K34" s="35"/>
      <c r="L34" s="7"/>
      <c r="M34" s="21" t="str">
        <f aca="false">IF(C34="","",IFERROR(I34/H34,0))</f>
        <v/>
      </c>
      <c r="N34" s="9" t="str">
        <f aca="false">IF(C34="","",IFERROR(J34/I34,0))</f>
        <v/>
      </c>
      <c r="O34" s="21" t="str">
        <f aca="false">IF(C34="","",IFERROR(J34/L34,0))</f>
        <v/>
      </c>
      <c r="P34" s="22" t="str">
        <f aca="false">IF(C34="","",IFERROR(L34/J34,0))</f>
        <v/>
      </c>
      <c r="Q34" s="34"/>
      <c r="R34" s="4" t="str">
        <f aca="false">IF(C34="","",B34&amp;" | "&amp;C34&amp;" | "&amp;D34)</f>
        <v/>
      </c>
      <c r="S34" s="4" t="str">
        <f aca="false">IF(C34="","",R34&amp;"#"&amp;A34)</f>
        <v/>
      </c>
    </row>
    <row r="35" customFormat="false" ht="15" hidden="false" customHeight="false" outlineLevel="0" collapsed="false">
      <c r="A35" s="33"/>
      <c r="B35" s="34"/>
      <c r="C35" s="34"/>
      <c r="D35" s="34"/>
      <c r="E35" s="34"/>
      <c r="F35" s="34"/>
      <c r="G35" s="7"/>
      <c r="H35" s="35"/>
      <c r="I35" s="35"/>
      <c r="J35" s="7"/>
      <c r="K35" s="35"/>
      <c r="L35" s="7"/>
      <c r="M35" s="21" t="str">
        <f aca="false">IF(C35="","",IFERROR(I35/H35,0))</f>
        <v/>
      </c>
      <c r="N35" s="9" t="str">
        <f aca="false">IF(C35="","",IFERROR(J35/I35,0))</f>
        <v/>
      </c>
      <c r="O35" s="21" t="str">
        <f aca="false">IF(C35="","",IFERROR(J35/L35,0))</f>
        <v/>
      </c>
      <c r="P35" s="22" t="str">
        <f aca="false">IF(C35="","",IFERROR(L35/J35,0))</f>
        <v/>
      </c>
      <c r="Q35" s="34"/>
      <c r="R35" s="4" t="str">
        <f aca="false">IF(C35="","",B35&amp;" | "&amp;C35&amp;" | "&amp;D35)</f>
        <v/>
      </c>
      <c r="S35" s="4" t="str">
        <f aca="false">IF(C35="","",R35&amp;"#"&amp;A35)</f>
        <v/>
      </c>
    </row>
    <row r="36" customFormat="false" ht="15" hidden="false" customHeight="false" outlineLevel="0" collapsed="false">
      <c r="A36" s="33"/>
      <c r="B36" s="34"/>
      <c r="C36" s="34"/>
      <c r="D36" s="34"/>
      <c r="E36" s="34"/>
      <c r="F36" s="34"/>
      <c r="G36" s="7"/>
      <c r="H36" s="35"/>
      <c r="I36" s="35"/>
      <c r="J36" s="7"/>
      <c r="K36" s="35"/>
      <c r="L36" s="7"/>
      <c r="M36" s="21" t="str">
        <f aca="false">IF(C36="","",IFERROR(I36/H36,0))</f>
        <v/>
      </c>
      <c r="N36" s="9" t="str">
        <f aca="false">IF(C36="","",IFERROR(J36/I36,0))</f>
        <v/>
      </c>
      <c r="O36" s="21" t="str">
        <f aca="false">IF(C36="","",IFERROR(J36/L36,0))</f>
        <v/>
      </c>
      <c r="P36" s="22" t="str">
        <f aca="false">IF(C36="","",IFERROR(L36/J36,0))</f>
        <v/>
      </c>
      <c r="Q36" s="34"/>
      <c r="R36" s="4" t="str">
        <f aca="false">IF(C36="","",B36&amp;" | "&amp;C36&amp;" | "&amp;D36)</f>
        <v/>
      </c>
      <c r="S36" s="4" t="str">
        <f aca="false">IF(C36="","",R36&amp;"#"&amp;A36)</f>
        <v/>
      </c>
    </row>
    <row r="37" customFormat="false" ht="15" hidden="false" customHeight="false" outlineLevel="0" collapsed="false">
      <c r="A37" s="33"/>
      <c r="B37" s="34"/>
      <c r="C37" s="34"/>
      <c r="D37" s="34"/>
      <c r="E37" s="34"/>
      <c r="F37" s="34"/>
      <c r="G37" s="7"/>
      <c r="H37" s="35"/>
      <c r="I37" s="35"/>
      <c r="J37" s="7"/>
      <c r="K37" s="35"/>
      <c r="L37" s="7"/>
      <c r="M37" s="21" t="str">
        <f aca="false">IF(C37="","",IFERROR(I37/H37,0))</f>
        <v/>
      </c>
      <c r="N37" s="9" t="str">
        <f aca="false">IF(C37="","",IFERROR(J37/I37,0))</f>
        <v/>
      </c>
      <c r="O37" s="21" t="str">
        <f aca="false">IF(C37="","",IFERROR(J37/L37,0))</f>
        <v/>
      </c>
      <c r="P37" s="22" t="str">
        <f aca="false">IF(C37="","",IFERROR(L37/J37,0))</f>
        <v/>
      </c>
      <c r="Q37" s="34"/>
      <c r="R37" s="4" t="str">
        <f aca="false">IF(C37="","",B37&amp;" | "&amp;C37&amp;" | "&amp;D37)</f>
        <v/>
      </c>
      <c r="S37" s="4" t="str">
        <f aca="false">IF(C37="","",R37&amp;"#"&amp;A37)</f>
        <v/>
      </c>
    </row>
    <row r="38" customFormat="false" ht="15" hidden="false" customHeight="false" outlineLevel="0" collapsed="false">
      <c r="A38" s="33"/>
      <c r="B38" s="34"/>
      <c r="C38" s="34"/>
      <c r="D38" s="34"/>
      <c r="E38" s="34"/>
      <c r="F38" s="34"/>
      <c r="G38" s="7"/>
      <c r="H38" s="35"/>
      <c r="I38" s="35"/>
      <c r="J38" s="7"/>
      <c r="K38" s="35"/>
      <c r="L38" s="7"/>
      <c r="M38" s="21" t="str">
        <f aca="false">IF(C38="","",IFERROR(I38/H38,0))</f>
        <v/>
      </c>
      <c r="N38" s="9" t="str">
        <f aca="false">IF(C38="","",IFERROR(J38/I38,0))</f>
        <v/>
      </c>
      <c r="O38" s="21" t="str">
        <f aca="false">IF(C38="","",IFERROR(J38/L38,0))</f>
        <v/>
      </c>
      <c r="P38" s="22" t="str">
        <f aca="false">IF(C38="","",IFERROR(L38/J38,0))</f>
        <v/>
      </c>
      <c r="Q38" s="34"/>
      <c r="R38" s="4" t="str">
        <f aca="false">IF(C38="","",B38&amp;" | "&amp;C38&amp;" | "&amp;D38)</f>
        <v/>
      </c>
      <c r="S38" s="4" t="str">
        <f aca="false">IF(C38="","",R38&amp;"#"&amp;A38)</f>
        <v/>
      </c>
    </row>
    <row r="39" customFormat="false" ht="15" hidden="false" customHeight="false" outlineLevel="0" collapsed="false">
      <c r="A39" s="33"/>
      <c r="B39" s="34"/>
      <c r="C39" s="34"/>
      <c r="D39" s="34"/>
      <c r="E39" s="34"/>
      <c r="F39" s="34"/>
      <c r="G39" s="7"/>
      <c r="H39" s="35"/>
      <c r="I39" s="35"/>
      <c r="J39" s="7"/>
      <c r="K39" s="35"/>
      <c r="L39" s="7"/>
      <c r="M39" s="21" t="str">
        <f aca="false">IF(C39="","",IFERROR(I39/H39,0))</f>
        <v/>
      </c>
      <c r="N39" s="9" t="str">
        <f aca="false">IF(C39="","",IFERROR(J39/I39,0))</f>
        <v/>
      </c>
      <c r="O39" s="21" t="str">
        <f aca="false">IF(C39="","",IFERROR(J39/L39,0))</f>
        <v/>
      </c>
      <c r="P39" s="22" t="str">
        <f aca="false">IF(C39="","",IFERROR(L39/J39,0))</f>
        <v/>
      </c>
      <c r="Q39" s="34"/>
      <c r="R39" s="4" t="str">
        <f aca="false">IF(C39="","",B39&amp;" | "&amp;C39&amp;" | "&amp;D39)</f>
        <v/>
      </c>
      <c r="S39" s="4" t="str">
        <f aca="false">IF(C39="","",R39&amp;"#"&amp;A39)</f>
        <v/>
      </c>
    </row>
    <row r="40" customFormat="false" ht="15" hidden="false" customHeight="false" outlineLevel="0" collapsed="false">
      <c r="A40" s="33"/>
      <c r="B40" s="34"/>
      <c r="C40" s="34"/>
      <c r="D40" s="34"/>
      <c r="E40" s="34"/>
      <c r="F40" s="34"/>
      <c r="G40" s="7"/>
      <c r="H40" s="35"/>
      <c r="I40" s="35"/>
      <c r="J40" s="7"/>
      <c r="K40" s="35"/>
      <c r="L40" s="7"/>
      <c r="M40" s="21" t="str">
        <f aca="false">IF(C40="","",IFERROR(I40/H40,0))</f>
        <v/>
      </c>
      <c r="N40" s="9" t="str">
        <f aca="false">IF(C40="","",IFERROR(J40/I40,0))</f>
        <v/>
      </c>
      <c r="O40" s="21" t="str">
        <f aca="false">IF(C40="","",IFERROR(J40/L40,0))</f>
        <v/>
      </c>
      <c r="P40" s="22" t="str">
        <f aca="false">IF(C40="","",IFERROR(L40/J40,0))</f>
        <v/>
      </c>
      <c r="Q40" s="34"/>
      <c r="R40" s="4" t="str">
        <f aca="false">IF(C40="","",B40&amp;" | "&amp;C40&amp;" | "&amp;D40)</f>
        <v/>
      </c>
      <c r="S40" s="4" t="str">
        <f aca="false">IF(C40="","",R40&amp;"#"&amp;A40)</f>
        <v/>
      </c>
    </row>
    <row r="41" customFormat="false" ht="15" hidden="false" customHeight="false" outlineLevel="0" collapsed="false">
      <c r="A41" s="33"/>
      <c r="B41" s="34"/>
      <c r="C41" s="34"/>
      <c r="D41" s="34"/>
      <c r="E41" s="34"/>
      <c r="F41" s="34"/>
      <c r="G41" s="7"/>
      <c r="H41" s="35"/>
      <c r="I41" s="35"/>
      <c r="J41" s="7"/>
      <c r="K41" s="35"/>
      <c r="L41" s="7"/>
      <c r="M41" s="21" t="str">
        <f aca="false">IF(C41="","",IFERROR(I41/H41,0))</f>
        <v/>
      </c>
      <c r="N41" s="9" t="str">
        <f aca="false">IF(C41="","",IFERROR(J41/I41,0))</f>
        <v/>
      </c>
      <c r="O41" s="21" t="str">
        <f aca="false">IF(C41="","",IFERROR(J41/L41,0))</f>
        <v/>
      </c>
      <c r="P41" s="22" t="str">
        <f aca="false">IF(C41="","",IFERROR(L41/J41,0))</f>
        <v/>
      </c>
      <c r="Q41" s="34"/>
      <c r="R41" s="4" t="str">
        <f aca="false">IF(C41="","",B41&amp;" | "&amp;C41&amp;" | "&amp;D41)</f>
        <v/>
      </c>
      <c r="S41" s="4" t="str">
        <f aca="false">IF(C41="","",R41&amp;"#"&amp;A41)</f>
        <v/>
      </c>
    </row>
    <row r="42" customFormat="false" ht="15" hidden="false" customHeight="false" outlineLevel="0" collapsed="false">
      <c r="A42" s="33"/>
      <c r="B42" s="34"/>
      <c r="C42" s="34"/>
      <c r="D42" s="34"/>
      <c r="E42" s="34"/>
      <c r="F42" s="34"/>
      <c r="G42" s="7"/>
      <c r="H42" s="35"/>
      <c r="I42" s="35"/>
      <c r="J42" s="7"/>
      <c r="K42" s="35"/>
      <c r="L42" s="7"/>
      <c r="M42" s="21" t="str">
        <f aca="false">IF(C42="","",IFERROR(I42/H42,0))</f>
        <v/>
      </c>
      <c r="N42" s="9" t="str">
        <f aca="false">IF(C42="","",IFERROR(J42/I42,0))</f>
        <v/>
      </c>
      <c r="O42" s="21" t="str">
        <f aca="false">IF(C42="","",IFERROR(J42/L42,0))</f>
        <v/>
      </c>
      <c r="P42" s="22" t="str">
        <f aca="false">IF(C42="","",IFERROR(L42/J42,0))</f>
        <v/>
      </c>
      <c r="Q42" s="34"/>
      <c r="R42" s="4" t="str">
        <f aca="false">IF(C42="","",B42&amp;" | "&amp;C42&amp;" | "&amp;D42)</f>
        <v/>
      </c>
      <c r="S42" s="4" t="str">
        <f aca="false">IF(C42="","",R42&amp;"#"&amp;A42)</f>
        <v/>
      </c>
    </row>
    <row r="43" customFormat="false" ht="15" hidden="false" customHeight="false" outlineLevel="0" collapsed="false">
      <c r="A43" s="33"/>
      <c r="B43" s="34"/>
      <c r="C43" s="34"/>
      <c r="D43" s="34"/>
      <c r="E43" s="34"/>
      <c r="F43" s="34"/>
      <c r="G43" s="7"/>
      <c r="H43" s="35"/>
      <c r="I43" s="35"/>
      <c r="J43" s="7"/>
      <c r="K43" s="35"/>
      <c r="L43" s="7"/>
      <c r="M43" s="21" t="str">
        <f aca="false">IF(C43="","",IFERROR(I43/H43,0))</f>
        <v/>
      </c>
      <c r="N43" s="9" t="str">
        <f aca="false">IF(C43="","",IFERROR(J43/I43,0))</f>
        <v/>
      </c>
      <c r="O43" s="21" t="str">
        <f aca="false">IF(C43="","",IFERROR(J43/L43,0))</f>
        <v/>
      </c>
      <c r="P43" s="22" t="str">
        <f aca="false">IF(C43="","",IFERROR(L43/J43,0))</f>
        <v/>
      </c>
      <c r="Q43" s="34"/>
      <c r="R43" s="4" t="str">
        <f aca="false">IF(C43="","",B43&amp;" | "&amp;C43&amp;" | "&amp;D43)</f>
        <v/>
      </c>
      <c r="S43" s="4" t="str">
        <f aca="false">IF(C43="","",R43&amp;"#"&amp;A43)</f>
        <v/>
      </c>
    </row>
    <row r="44" customFormat="false" ht="15" hidden="false" customHeight="false" outlineLevel="0" collapsed="false">
      <c r="A44" s="33"/>
      <c r="B44" s="34"/>
      <c r="C44" s="34"/>
      <c r="D44" s="34"/>
      <c r="E44" s="34"/>
      <c r="F44" s="34"/>
      <c r="G44" s="7"/>
      <c r="H44" s="35"/>
      <c r="I44" s="35"/>
      <c r="J44" s="7"/>
      <c r="K44" s="35"/>
      <c r="L44" s="7"/>
      <c r="M44" s="21" t="str">
        <f aca="false">IF(C44="","",IFERROR(I44/H44,0))</f>
        <v/>
      </c>
      <c r="N44" s="9" t="str">
        <f aca="false">IF(C44="","",IFERROR(J44/I44,0))</f>
        <v/>
      </c>
      <c r="O44" s="21" t="str">
        <f aca="false">IF(C44="","",IFERROR(J44/L44,0))</f>
        <v/>
      </c>
      <c r="P44" s="22" t="str">
        <f aca="false">IF(C44="","",IFERROR(L44/J44,0))</f>
        <v/>
      </c>
      <c r="Q44" s="34"/>
      <c r="R44" s="4" t="str">
        <f aca="false">IF(C44="","",B44&amp;" | "&amp;C44&amp;" | "&amp;D44)</f>
        <v/>
      </c>
      <c r="S44" s="4" t="str">
        <f aca="false">IF(C44="","",R44&amp;"#"&amp;A44)</f>
        <v/>
      </c>
    </row>
    <row r="45" customFormat="false" ht="15" hidden="false" customHeight="false" outlineLevel="0" collapsed="false">
      <c r="A45" s="33"/>
      <c r="B45" s="34"/>
      <c r="C45" s="34"/>
      <c r="D45" s="34"/>
      <c r="E45" s="34"/>
      <c r="F45" s="34"/>
      <c r="G45" s="7"/>
      <c r="H45" s="35"/>
      <c r="I45" s="35"/>
      <c r="J45" s="7"/>
      <c r="K45" s="35"/>
      <c r="L45" s="7"/>
      <c r="M45" s="21" t="str">
        <f aca="false">IF(C45="","",IFERROR(I45/H45,0))</f>
        <v/>
      </c>
      <c r="N45" s="9" t="str">
        <f aca="false">IF(C45="","",IFERROR(J45/I45,0))</f>
        <v/>
      </c>
      <c r="O45" s="21" t="str">
        <f aca="false">IF(C45="","",IFERROR(J45/L45,0))</f>
        <v/>
      </c>
      <c r="P45" s="22" t="str">
        <f aca="false">IF(C45="","",IFERROR(L45/J45,0))</f>
        <v/>
      </c>
      <c r="Q45" s="34"/>
      <c r="R45" s="4" t="str">
        <f aca="false">IF(C45="","",B45&amp;" | "&amp;C45&amp;" | "&amp;D45)</f>
        <v/>
      </c>
      <c r="S45" s="4" t="str">
        <f aca="false">IF(C45="","",R45&amp;"#"&amp;A45)</f>
        <v/>
      </c>
    </row>
    <row r="46" customFormat="false" ht="15" hidden="false" customHeight="false" outlineLevel="0" collapsed="false">
      <c r="A46" s="33"/>
      <c r="B46" s="34"/>
      <c r="C46" s="34"/>
      <c r="D46" s="34"/>
      <c r="E46" s="34"/>
      <c r="F46" s="34"/>
      <c r="G46" s="7"/>
      <c r="H46" s="35"/>
      <c r="I46" s="35"/>
      <c r="J46" s="7"/>
      <c r="K46" s="35"/>
      <c r="L46" s="7"/>
      <c r="M46" s="21" t="str">
        <f aca="false">IF(C46="","",IFERROR(I46/H46,0))</f>
        <v/>
      </c>
      <c r="N46" s="9" t="str">
        <f aca="false">IF(C46="","",IFERROR(J46/I46,0))</f>
        <v/>
      </c>
      <c r="O46" s="21" t="str">
        <f aca="false">IF(C46="","",IFERROR(J46/L46,0))</f>
        <v/>
      </c>
      <c r="P46" s="22" t="str">
        <f aca="false">IF(C46="","",IFERROR(L46/J46,0))</f>
        <v/>
      </c>
      <c r="Q46" s="34"/>
      <c r="R46" s="4" t="str">
        <f aca="false">IF(C46="","",B46&amp;" | "&amp;C46&amp;" | "&amp;D46)</f>
        <v/>
      </c>
      <c r="S46" s="4" t="str">
        <f aca="false">IF(C46="","",R46&amp;"#"&amp;A46)</f>
        <v/>
      </c>
    </row>
    <row r="47" customFormat="false" ht="15" hidden="false" customHeight="false" outlineLevel="0" collapsed="false">
      <c r="A47" s="33"/>
      <c r="B47" s="34"/>
      <c r="C47" s="34"/>
      <c r="D47" s="34"/>
      <c r="E47" s="34"/>
      <c r="F47" s="34"/>
      <c r="G47" s="7"/>
      <c r="H47" s="35"/>
      <c r="I47" s="35"/>
      <c r="J47" s="7"/>
      <c r="K47" s="35"/>
      <c r="L47" s="7"/>
      <c r="M47" s="21" t="str">
        <f aca="false">IF(C47="","",IFERROR(I47/H47,0))</f>
        <v/>
      </c>
      <c r="N47" s="9" t="str">
        <f aca="false">IF(C47="","",IFERROR(J47/I47,0))</f>
        <v/>
      </c>
      <c r="O47" s="21" t="str">
        <f aca="false">IF(C47="","",IFERROR(J47/L47,0))</f>
        <v/>
      </c>
      <c r="P47" s="22" t="str">
        <f aca="false">IF(C47="","",IFERROR(L47/J47,0))</f>
        <v/>
      </c>
      <c r="Q47" s="34"/>
      <c r="R47" s="4" t="str">
        <f aca="false">IF(C47="","",B47&amp;" | "&amp;C47&amp;" | "&amp;D47)</f>
        <v/>
      </c>
      <c r="S47" s="4" t="str">
        <f aca="false">IF(C47="","",R47&amp;"#"&amp;A47)</f>
        <v/>
      </c>
    </row>
    <row r="48" customFormat="false" ht="15" hidden="false" customHeight="false" outlineLevel="0" collapsed="false">
      <c r="A48" s="33"/>
      <c r="B48" s="34"/>
      <c r="C48" s="34"/>
      <c r="D48" s="34"/>
      <c r="E48" s="34"/>
      <c r="F48" s="34"/>
      <c r="G48" s="7"/>
      <c r="H48" s="35"/>
      <c r="I48" s="35"/>
      <c r="J48" s="7"/>
      <c r="K48" s="35"/>
      <c r="L48" s="7"/>
      <c r="M48" s="21" t="str">
        <f aca="false">IF(C48="","",IFERROR(I48/H48,0))</f>
        <v/>
      </c>
      <c r="N48" s="9" t="str">
        <f aca="false">IF(C48="","",IFERROR(J48/I48,0))</f>
        <v/>
      </c>
      <c r="O48" s="21" t="str">
        <f aca="false">IF(C48="","",IFERROR(J48/L48,0))</f>
        <v/>
      </c>
      <c r="P48" s="22" t="str">
        <f aca="false">IF(C48="","",IFERROR(L48/J48,0))</f>
        <v/>
      </c>
      <c r="Q48" s="34"/>
      <c r="R48" s="4" t="str">
        <f aca="false">IF(C48="","",B48&amp;" | "&amp;C48&amp;" | "&amp;D48)</f>
        <v/>
      </c>
      <c r="S48" s="4" t="str">
        <f aca="false">IF(C48="","",R48&amp;"#"&amp;A48)</f>
        <v/>
      </c>
    </row>
    <row r="49" customFormat="false" ht="15" hidden="false" customHeight="false" outlineLevel="0" collapsed="false">
      <c r="A49" s="33"/>
      <c r="B49" s="34"/>
      <c r="C49" s="34"/>
      <c r="D49" s="34"/>
      <c r="E49" s="34"/>
      <c r="F49" s="34"/>
      <c r="G49" s="7"/>
      <c r="H49" s="35"/>
      <c r="I49" s="35"/>
      <c r="J49" s="7"/>
      <c r="K49" s="35"/>
      <c r="L49" s="7"/>
      <c r="M49" s="21" t="str">
        <f aca="false">IF(C49="","",IFERROR(I49/H49,0))</f>
        <v/>
      </c>
      <c r="N49" s="9" t="str">
        <f aca="false">IF(C49="","",IFERROR(J49/I49,0))</f>
        <v/>
      </c>
      <c r="O49" s="21" t="str">
        <f aca="false">IF(C49="","",IFERROR(J49/L49,0))</f>
        <v/>
      </c>
      <c r="P49" s="22" t="str">
        <f aca="false">IF(C49="","",IFERROR(L49/J49,0))</f>
        <v/>
      </c>
      <c r="Q49" s="34"/>
      <c r="R49" s="4" t="str">
        <f aca="false">IF(C49="","",B49&amp;" | "&amp;C49&amp;" | "&amp;D49)</f>
        <v/>
      </c>
      <c r="S49" s="4" t="str">
        <f aca="false">IF(C49="","",R49&amp;"#"&amp;A49)</f>
        <v/>
      </c>
    </row>
    <row r="50" customFormat="false" ht="15" hidden="false" customHeight="false" outlineLevel="0" collapsed="false">
      <c r="A50" s="33"/>
      <c r="B50" s="34"/>
      <c r="C50" s="34"/>
      <c r="D50" s="34"/>
      <c r="E50" s="34"/>
      <c r="F50" s="34"/>
      <c r="G50" s="7"/>
      <c r="H50" s="35"/>
      <c r="I50" s="35"/>
      <c r="J50" s="7"/>
      <c r="K50" s="35"/>
      <c r="L50" s="7"/>
      <c r="M50" s="21" t="str">
        <f aca="false">IF(C50="","",IFERROR(I50/H50,0))</f>
        <v/>
      </c>
      <c r="N50" s="9" t="str">
        <f aca="false">IF(C50="","",IFERROR(J50/I50,0))</f>
        <v/>
      </c>
      <c r="O50" s="21" t="str">
        <f aca="false">IF(C50="","",IFERROR(J50/L50,0))</f>
        <v/>
      </c>
      <c r="P50" s="22" t="str">
        <f aca="false">IF(C50="","",IFERROR(L50/J50,0))</f>
        <v/>
      </c>
      <c r="Q50" s="34"/>
      <c r="R50" s="4" t="str">
        <f aca="false">IF(C50="","",B50&amp;" | "&amp;C50&amp;" | "&amp;D50)</f>
        <v/>
      </c>
      <c r="S50" s="4" t="str">
        <f aca="false">IF(C50="","",R50&amp;"#"&amp;A50)</f>
        <v/>
      </c>
    </row>
    <row r="51" customFormat="false" ht="15" hidden="false" customHeight="false" outlineLevel="0" collapsed="false">
      <c r="A51" s="33"/>
      <c r="B51" s="34"/>
      <c r="C51" s="34"/>
      <c r="D51" s="34"/>
      <c r="E51" s="34"/>
      <c r="F51" s="34"/>
      <c r="G51" s="7"/>
      <c r="H51" s="35"/>
      <c r="I51" s="35"/>
      <c r="J51" s="7"/>
      <c r="K51" s="35"/>
      <c r="L51" s="7"/>
      <c r="M51" s="21" t="str">
        <f aca="false">IF(C51="","",IFERROR(I51/H51,0))</f>
        <v/>
      </c>
      <c r="N51" s="9" t="str">
        <f aca="false">IF(C51="","",IFERROR(J51/I51,0))</f>
        <v/>
      </c>
      <c r="O51" s="21" t="str">
        <f aca="false">IF(C51="","",IFERROR(J51/L51,0))</f>
        <v/>
      </c>
      <c r="P51" s="22" t="str">
        <f aca="false">IF(C51="","",IFERROR(L51/J51,0))</f>
        <v/>
      </c>
      <c r="Q51" s="34"/>
      <c r="R51" s="4" t="str">
        <f aca="false">IF(C51="","",B51&amp;" | "&amp;C51&amp;" | "&amp;D51)</f>
        <v/>
      </c>
      <c r="S51" s="4" t="str">
        <f aca="false">IF(C51="","",R51&amp;"#"&amp;A51)</f>
        <v/>
      </c>
    </row>
    <row r="52" customFormat="false" ht="15" hidden="false" customHeight="false" outlineLevel="0" collapsed="false">
      <c r="A52" s="33"/>
      <c r="B52" s="34"/>
      <c r="C52" s="34"/>
      <c r="D52" s="34"/>
      <c r="E52" s="34"/>
      <c r="F52" s="34"/>
      <c r="G52" s="7"/>
      <c r="H52" s="35"/>
      <c r="I52" s="35"/>
      <c r="J52" s="7"/>
      <c r="K52" s="35"/>
      <c r="L52" s="7"/>
      <c r="M52" s="21" t="str">
        <f aca="false">IF(C52="","",IFERROR(I52/H52,0))</f>
        <v/>
      </c>
      <c r="N52" s="9" t="str">
        <f aca="false">IF(C52="","",IFERROR(J52/I52,0))</f>
        <v/>
      </c>
      <c r="O52" s="21" t="str">
        <f aca="false">IF(C52="","",IFERROR(J52/L52,0))</f>
        <v/>
      </c>
      <c r="P52" s="22" t="str">
        <f aca="false">IF(C52="","",IFERROR(L52/J52,0))</f>
        <v/>
      </c>
      <c r="Q52" s="34"/>
      <c r="R52" s="4" t="str">
        <f aca="false">IF(C52="","",B52&amp;" | "&amp;C52&amp;" | "&amp;D52)</f>
        <v/>
      </c>
      <c r="S52" s="4" t="str">
        <f aca="false">IF(C52="","",R52&amp;"#"&amp;A52)</f>
        <v/>
      </c>
    </row>
    <row r="53" customFormat="false" ht="15" hidden="false" customHeight="false" outlineLevel="0" collapsed="false">
      <c r="A53" s="33"/>
      <c r="B53" s="34"/>
      <c r="C53" s="34"/>
      <c r="D53" s="34"/>
      <c r="E53" s="34"/>
      <c r="F53" s="34"/>
      <c r="G53" s="7"/>
      <c r="H53" s="35"/>
      <c r="I53" s="35"/>
      <c r="J53" s="7"/>
      <c r="K53" s="35"/>
      <c r="L53" s="7"/>
      <c r="M53" s="21" t="str">
        <f aca="false">IF(C53="","",IFERROR(I53/H53,0))</f>
        <v/>
      </c>
      <c r="N53" s="9" t="str">
        <f aca="false">IF(C53="","",IFERROR(J53/I53,0))</f>
        <v/>
      </c>
      <c r="O53" s="21" t="str">
        <f aca="false">IF(C53="","",IFERROR(J53/L53,0))</f>
        <v/>
      </c>
      <c r="P53" s="22" t="str">
        <f aca="false">IF(C53="","",IFERROR(L53/J53,0))</f>
        <v/>
      </c>
      <c r="Q53" s="34"/>
      <c r="R53" s="4" t="str">
        <f aca="false">IF(C53="","",B53&amp;" | "&amp;C53&amp;" | "&amp;D53)</f>
        <v/>
      </c>
      <c r="S53" s="4" t="str">
        <f aca="false">IF(C53="","",R53&amp;"#"&amp;A53)</f>
        <v/>
      </c>
    </row>
    <row r="54" customFormat="false" ht="15" hidden="false" customHeight="false" outlineLevel="0" collapsed="false">
      <c r="A54" s="33"/>
      <c r="B54" s="34"/>
      <c r="C54" s="34"/>
      <c r="D54" s="34"/>
      <c r="E54" s="34"/>
      <c r="F54" s="34"/>
      <c r="G54" s="7"/>
      <c r="H54" s="35"/>
      <c r="I54" s="35"/>
      <c r="J54" s="7"/>
      <c r="K54" s="35"/>
      <c r="L54" s="7"/>
      <c r="M54" s="21" t="str">
        <f aca="false">IF(C54="","",IFERROR(I54/H54,0))</f>
        <v/>
      </c>
      <c r="N54" s="9" t="str">
        <f aca="false">IF(C54="","",IFERROR(J54/I54,0))</f>
        <v/>
      </c>
      <c r="O54" s="21" t="str">
        <f aca="false">IF(C54="","",IFERROR(J54/L54,0))</f>
        <v/>
      </c>
      <c r="P54" s="22" t="str">
        <f aca="false">IF(C54="","",IFERROR(L54/J54,0))</f>
        <v/>
      </c>
      <c r="Q54" s="34"/>
      <c r="R54" s="4" t="str">
        <f aca="false">IF(C54="","",B54&amp;" | "&amp;C54&amp;" | "&amp;D54)</f>
        <v/>
      </c>
      <c r="S54" s="4" t="str">
        <f aca="false">IF(C54="","",R54&amp;"#"&amp;A54)</f>
        <v/>
      </c>
    </row>
    <row r="55" customFormat="false" ht="15" hidden="false" customHeight="false" outlineLevel="0" collapsed="false">
      <c r="A55" s="33"/>
      <c r="B55" s="34"/>
      <c r="C55" s="34"/>
      <c r="D55" s="34"/>
      <c r="E55" s="34"/>
      <c r="F55" s="34"/>
      <c r="G55" s="7"/>
      <c r="H55" s="35"/>
      <c r="I55" s="35"/>
      <c r="J55" s="7"/>
      <c r="K55" s="35"/>
      <c r="L55" s="7"/>
      <c r="M55" s="21" t="str">
        <f aca="false">IF(C55="","",IFERROR(I55/H55,0))</f>
        <v/>
      </c>
      <c r="N55" s="9" t="str">
        <f aca="false">IF(C55="","",IFERROR(J55/I55,0))</f>
        <v/>
      </c>
      <c r="O55" s="21" t="str">
        <f aca="false">IF(C55="","",IFERROR(J55/L55,0))</f>
        <v/>
      </c>
      <c r="P55" s="22" t="str">
        <f aca="false">IF(C55="","",IFERROR(L55/J55,0))</f>
        <v/>
      </c>
      <c r="Q55" s="34"/>
      <c r="R55" s="4" t="str">
        <f aca="false">IF(C55="","",B55&amp;" | "&amp;C55&amp;" | "&amp;D55)</f>
        <v/>
      </c>
      <c r="S55" s="4" t="str">
        <f aca="false">IF(C55="","",R55&amp;"#"&amp;A55)</f>
        <v/>
      </c>
    </row>
    <row r="56" customFormat="false" ht="15" hidden="false" customHeight="false" outlineLevel="0" collapsed="false">
      <c r="A56" s="33"/>
      <c r="B56" s="34"/>
      <c r="C56" s="34"/>
      <c r="D56" s="34"/>
      <c r="E56" s="34"/>
      <c r="F56" s="34"/>
      <c r="G56" s="7"/>
      <c r="H56" s="35"/>
      <c r="I56" s="35"/>
      <c r="J56" s="7"/>
      <c r="K56" s="35"/>
      <c r="L56" s="7"/>
      <c r="M56" s="21" t="str">
        <f aca="false">IF(C56="","",IFERROR(I56/H56,0))</f>
        <v/>
      </c>
      <c r="N56" s="9" t="str">
        <f aca="false">IF(C56="","",IFERROR(J56/I56,0))</f>
        <v/>
      </c>
      <c r="O56" s="21" t="str">
        <f aca="false">IF(C56="","",IFERROR(J56/L56,0))</f>
        <v/>
      </c>
      <c r="P56" s="22" t="str">
        <f aca="false">IF(C56="","",IFERROR(L56/J56,0))</f>
        <v/>
      </c>
      <c r="Q56" s="34"/>
      <c r="R56" s="4" t="str">
        <f aca="false">IF(C56="","",B56&amp;" | "&amp;C56&amp;" | "&amp;D56)</f>
        <v/>
      </c>
      <c r="S56" s="4" t="str">
        <f aca="false">IF(C56="","",R56&amp;"#"&amp;A56)</f>
        <v/>
      </c>
    </row>
    <row r="57" customFormat="false" ht="15" hidden="false" customHeight="false" outlineLevel="0" collapsed="false">
      <c r="A57" s="33"/>
      <c r="B57" s="34"/>
      <c r="C57" s="34"/>
      <c r="D57" s="34"/>
      <c r="E57" s="34"/>
      <c r="F57" s="34"/>
      <c r="G57" s="7"/>
      <c r="H57" s="35"/>
      <c r="I57" s="35"/>
      <c r="J57" s="7"/>
      <c r="K57" s="35"/>
      <c r="L57" s="7"/>
      <c r="M57" s="21" t="str">
        <f aca="false">IF(C57="","",IFERROR(I57/H57,0))</f>
        <v/>
      </c>
      <c r="N57" s="9" t="str">
        <f aca="false">IF(C57="","",IFERROR(J57/I57,0))</f>
        <v/>
      </c>
      <c r="O57" s="21" t="str">
        <f aca="false">IF(C57="","",IFERROR(J57/L57,0))</f>
        <v/>
      </c>
      <c r="P57" s="22" t="str">
        <f aca="false">IF(C57="","",IFERROR(L57/J57,0))</f>
        <v/>
      </c>
      <c r="Q57" s="34"/>
      <c r="R57" s="4" t="str">
        <f aca="false">IF(C57="","",B57&amp;" | "&amp;C57&amp;" | "&amp;D57)</f>
        <v/>
      </c>
      <c r="S57" s="4" t="str">
        <f aca="false">IF(C57="","",R57&amp;"#"&amp;A57)</f>
        <v/>
      </c>
    </row>
    <row r="58" customFormat="false" ht="15" hidden="false" customHeight="false" outlineLevel="0" collapsed="false">
      <c r="A58" s="33"/>
      <c r="B58" s="34"/>
      <c r="C58" s="34"/>
      <c r="D58" s="34"/>
      <c r="E58" s="34"/>
      <c r="F58" s="34"/>
      <c r="G58" s="7"/>
      <c r="H58" s="35"/>
      <c r="I58" s="35"/>
      <c r="J58" s="7"/>
      <c r="K58" s="35"/>
      <c r="L58" s="7"/>
      <c r="M58" s="21" t="str">
        <f aca="false">IF(C58="","",IFERROR(I58/H58,0))</f>
        <v/>
      </c>
      <c r="N58" s="9" t="str">
        <f aca="false">IF(C58="","",IFERROR(J58/I58,0))</f>
        <v/>
      </c>
      <c r="O58" s="21" t="str">
        <f aca="false">IF(C58="","",IFERROR(J58/L58,0))</f>
        <v/>
      </c>
      <c r="P58" s="22" t="str">
        <f aca="false">IF(C58="","",IFERROR(L58/J58,0))</f>
        <v/>
      </c>
      <c r="Q58" s="34"/>
      <c r="R58" s="4" t="str">
        <f aca="false">IF(C58="","",B58&amp;" | "&amp;C58&amp;" | "&amp;D58)</f>
        <v/>
      </c>
      <c r="S58" s="4" t="str">
        <f aca="false">IF(C58="","",R58&amp;"#"&amp;A58)</f>
        <v/>
      </c>
    </row>
    <row r="59" customFormat="false" ht="15" hidden="false" customHeight="false" outlineLevel="0" collapsed="false">
      <c r="A59" s="33"/>
      <c r="B59" s="34"/>
      <c r="C59" s="34"/>
      <c r="D59" s="34"/>
      <c r="E59" s="34"/>
      <c r="F59" s="34"/>
      <c r="G59" s="7"/>
      <c r="H59" s="35"/>
      <c r="I59" s="35"/>
      <c r="J59" s="7"/>
      <c r="K59" s="35"/>
      <c r="L59" s="7"/>
      <c r="M59" s="21" t="str">
        <f aca="false">IF(C59="","",IFERROR(I59/H59,0))</f>
        <v/>
      </c>
      <c r="N59" s="9" t="str">
        <f aca="false">IF(C59="","",IFERROR(J59/I59,0))</f>
        <v/>
      </c>
      <c r="O59" s="21" t="str">
        <f aca="false">IF(C59="","",IFERROR(J59/L59,0))</f>
        <v/>
      </c>
      <c r="P59" s="22" t="str">
        <f aca="false">IF(C59="","",IFERROR(L59/J59,0))</f>
        <v/>
      </c>
      <c r="Q59" s="34"/>
      <c r="R59" s="4" t="str">
        <f aca="false">IF(C59="","",B59&amp;" | "&amp;C59&amp;" | "&amp;D59)</f>
        <v/>
      </c>
      <c r="S59" s="4" t="str">
        <f aca="false">IF(C59="","",R59&amp;"#"&amp;A59)</f>
        <v/>
      </c>
    </row>
    <row r="60" customFormat="false" ht="15" hidden="false" customHeight="false" outlineLevel="0" collapsed="false">
      <c r="A60" s="33"/>
      <c r="B60" s="34"/>
      <c r="C60" s="34"/>
      <c r="D60" s="34"/>
      <c r="E60" s="34"/>
      <c r="F60" s="34"/>
      <c r="G60" s="7"/>
      <c r="H60" s="35"/>
      <c r="I60" s="35"/>
      <c r="J60" s="7"/>
      <c r="K60" s="35"/>
      <c r="L60" s="7"/>
      <c r="M60" s="21" t="str">
        <f aca="false">IF(C60="","",IFERROR(I60/H60,0))</f>
        <v/>
      </c>
      <c r="N60" s="9" t="str">
        <f aca="false">IF(C60="","",IFERROR(J60/I60,0))</f>
        <v/>
      </c>
      <c r="O60" s="21" t="str">
        <f aca="false">IF(C60="","",IFERROR(J60/L60,0))</f>
        <v/>
      </c>
      <c r="P60" s="22" t="str">
        <f aca="false">IF(C60="","",IFERROR(L60/J60,0))</f>
        <v/>
      </c>
      <c r="Q60" s="34"/>
      <c r="R60" s="4" t="str">
        <f aca="false">IF(C60="","",B60&amp;" | "&amp;C60&amp;" | "&amp;D60)</f>
        <v/>
      </c>
      <c r="S60" s="4" t="str">
        <f aca="false">IF(C60="","",R60&amp;"#"&amp;A60)</f>
        <v/>
      </c>
    </row>
    <row r="61" customFormat="false" ht="15" hidden="false" customHeight="false" outlineLevel="0" collapsed="false">
      <c r="A61" s="33"/>
      <c r="B61" s="34"/>
      <c r="C61" s="34"/>
      <c r="D61" s="34"/>
      <c r="E61" s="34"/>
      <c r="F61" s="34"/>
      <c r="G61" s="7"/>
      <c r="H61" s="35"/>
      <c r="I61" s="35"/>
      <c r="J61" s="7"/>
      <c r="K61" s="35"/>
      <c r="L61" s="7"/>
      <c r="M61" s="21" t="str">
        <f aca="false">IF(C61="","",IFERROR(I61/H61,0))</f>
        <v/>
      </c>
      <c r="N61" s="9" t="str">
        <f aca="false">IF(C61="","",IFERROR(J61/I61,0))</f>
        <v/>
      </c>
      <c r="O61" s="21" t="str">
        <f aca="false">IF(C61="","",IFERROR(J61/L61,0))</f>
        <v/>
      </c>
      <c r="P61" s="22" t="str">
        <f aca="false">IF(C61="","",IFERROR(L61/J61,0))</f>
        <v/>
      </c>
      <c r="Q61" s="34"/>
      <c r="R61" s="4" t="str">
        <f aca="false">IF(C61="","",B61&amp;" | "&amp;C61&amp;" | "&amp;D61)</f>
        <v/>
      </c>
      <c r="S61" s="4" t="str">
        <f aca="false">IF(C61="","",R61&amp;"#"&amp;A61)</f>
        <v/>
      </c>
    </row>
    <row r="62" customFormat="false" ht="15" hidden="false" customHeight="false" outlineLevel="0" collapsed="false">
      <c r="A62" s="33"/>
      <c r="B62" s="34"/>
      <c r="C62" s="34"/>
      <c r="D62" s="34"/>
      <c r="E62" s="34"/>
      <c r="F62" s="34"/>
      <c r="G62" s="7"/>
      <c r="H62" s="35"/>
      <c r="I62" s="35"/>
      <c r="J62" s="7"/>
      <c r="K62" s="35"/>
      <c r="L62" s="7"/>
      <c r="M62" s="21" t="str">
        <f aca="false">IF(C62="","",IFERROR(I62/H62,0))</f>
        <v/>
      </c>
      <c r="N62" s="9" t="str">
        <f aca="false">IF(C62="","",IFERROR(J62/I62,0))</f>
        <v/>
      </c>
      <c r="O62" s="21" t="str">
        <f aca="false">IF(C62="","",IFERROR(J62/L62,0))</f>
        <v/>
      </c>
      <c r="P62" s="22" t="str">
        <f aca="false">IF(C62="","",IFERROR(L62/J62,0))</f>
        <v/>
      </c>
      <c r="Q62" s="34"/>
      <c r="R62" s="4" t="str">
        <f aca="false">IF(C62="","",B62&amp;" | "&amp;C62&amp;" | "&amp;D62)</f>
        <v/>
      </c>
      <c r="S62" s="4" t="str">
        <f aca="false">IF(C62="","",R62&amp;"#"&amp;A62)</f>
        <v/>
      </c>
    </row>
    <row r="63" customFormat="false" ht="15" hidden="false" customHeight="false" outlineLevel="0" collapsed="false">
      <c r="A63" s="33"/>
      <c r="B63" s="34"/>
      <c r="C63" s="34"/>
      <c r="D63" s="34"/>
      <c r="E63" s="34"/>
      <c r="F63" s="34"/>
      <c r="G63" s="7"/>
      <c r="H63" s="35"/>
      <c r="I63" s="35"/>
      <c r="J63" s="7"/>
      <c r="K63" s="35"/>
      <c r="L63" s="7"/>
      <c r="M63" s="21" t="str">
        <f aca="false">IF(C63="","",IFERROR(I63/H63,0))</f>
        <v/>
      </c>
      <c r="N63" s="9" t="str">
        <f aca="false">IF(C63="","",IFERROR(J63/I63,0))</f>
        <v/>
      </c>
      <c r="O63" s="21" t="str">
        <f aca="false">IF(C63="","",IFERROR(J63/L63,0))</f>
        <v/>
      </c>
      <c r="P63" s="22" t="str">
        <f aca="false">IF(C63="","",IFERROR(L63/J63,0))</f>
        <v/>
      </c>
      <c r="Q63" s="34"/>
      <c r="R63" s="4" t="str">
        <f aca="false">IF(C63="","",B63&amp;" | "&amp;C63&amp;" | "&amp;D63)</f>
        <v/>
      </c>
      <c r="S63" s="4" t="str">
        <f aca="false">IF(C63="","",R63&amp;"#"&amp;A63)</f>
        <v/>
      </c>
    </row>
    <row r="64" customFormat="false" ht="15" hidden="false" customHeight="false" outlineLevel="0" collapsed="false">
      <c r="A64" s="33"/>
      <c r="B64" s="34"/>
      <c r="C64" s="34"/>
      <c r="D64" s="34"/>
      <c r="E64" s="34"/>
      <c r="F64" s="34"/>
      <c r="G64" s="7"/>
      <c r="H64" s="35"/>
      <c r="I64" s="35"/>
      <c r="J64" s="7"/>
      <c r="K64" s="35"/>
      <c r="L64" s="7"/>
      <c r="M64" s="21" t="str">
        <f aca="false">IF(C64="","",IFERROR(I64/H64,0))</f>
        <v/>
      </c>
      <c r="N64" s="9" t="str">
        <f aca="false">IF(C64="","",IFERROR(J64/I64,0))</f>
        <v/>
      </c>
      <c r="O64" s="21" t="str">
        <f aca="false">IF(C64="","",IFERROR(J64/L64,0))</f>
        <v/>
      </c>
      <c r="P64" s="22" t="str">
        <f aca="false">IF(C64="","",IFERROR(L64/J64,0))</f>
        <v/>
      </c>
      <c r="Q64" s="34"/>
      <c r="R64" s="4" t="str">
        <f aca="false">IF(C64="","",B64&amp;" | "&amp;C64&amp;" | "&amp;D64)</f>
        <v/>
      </c>
      <c r="S64" s="4" t="str">
        <f aca="false">IF(C64="","",R64&amp;"#"&amp;A64)</f>
        <v/>
      </c>
    </row>
    <row r="65" customFormat="false" ht="15" hidden="false" customHeight="false" outlineLevel="0" collapsed="false">
      <c r="A65" s="33"/>
      <c r="B65" s="34"/>
      <c r="C65" s="34"/>
      <c r="D65" s="34"/>
      <c r="E65" s="34"/>
      <c r="F65" s="34"/>
      <c r="G65" s="7"/>
      <c r="H65" s="35"/>
      <c r="I65" s="35"/>
      <c r="J65" s="7"/>
      <c r="K65" s="35"/>
      <c r="L65" s="7"/>
      <c r="M65" s="21" t="str">
        <f aca="false">IF(C65="","",IFERROR(I65/H65,0))</f>
        <v/>
      </c>
      <c r="N65" s="9" t="str">
        <f aca="false">IF(C65="","",IFERROR(J65/I65,0))</f>
        <v/>
      </c>
      <c r="O65" s="21" t="str">
        <f aca="false">IF(C65="","",IFERROR(J65/L65,0))</f>
        <v/>
      </c>
      <c r="P65" s="22" t="str">
        <f aca="false">IF(C65="","",IFERROR(L65/J65,0))</f>
        <v/>
      </c>
      <c r="Q65" s="34"/>
      <c r="R65" s="4" t="str">
        <f aca="false">IF(C65="","",B65&amp;" | "&amp;C65&amp;" | "&amp;D65)</f>
        <v/>
      </c>
      <c r="S65" s="4" t="str">
        <f aca="false">IF(C65="","",R65&amp;"#"&amp;A65)</f>
        <v/>
      </c>
    </row>
    <row r="66" customFormat="false" ht="15" hidden="false" customHeight="false" outlineLevel="0" collapsed="false">
      <c r="A66" s="33"/>
      <c r="B66" s="34"/>
      <c r="C66" s="34"/>
      <c r="D66" s="34"/>
      <c r="E66" s="34"/>
      <c r="F66" s="34"/>
      <c r="G66" s="7"/>
      <c r="H66" s="35"/>
      <c r="I66" s="35"/>
      <c r="J66" s="7"/>
      <c r="K66" s="35"/>
      <c r="L66" s="7"/>
      <c r="M66" s="21" t="str">
        <f aca="false">IF(C66="","",IFERROR(I66/H66,0))</f>
        <v/>
      </c>
      <c r="N66" s="9" t="str">
        <f aca="false">IF(C66="","",IFERROR(J66/I66,0))</f>
        <v/>
      </c>
      <c r="O66" s="21" t="str">
        <f aca="false">IF(C66="","",IFERROR(J66/L66,0))</f>
        <v/>
      </c>
      <c r="P66" s="22" t="str">
        <f aca="false">IF(C66="","",IFERROR(L66/J66,0))</f>
        <v/>
      </c>
      <c r="Q66" s="34"/>
      <c r="R66" s="4" t="str">
        <f aca="false">IF(C66="","",B66&amp;" | "&amp;C66&amp;" | "&amp;D66)</f>
        <v/>
      </c>
      <c r="S66" s="4" t="str">
        <f aca="false">IF(C66="","",R66&amp;"#"&amp;A66)</f>
        <v/>
      </c>
    </row>
    <row r="67" customFormat="false" ht="15" hidden="false" customHeight="false" outlineLevel="0" collapsed="false">
      <c r="A67" s="33"/>
      <c r="B67" s="34"/>
      <c r="C67" s="34"/>
      <c r="D67" s="34"/>
      <c r="E67" s="34"/>
      <c r="F67" s="34"/>
      <c r="G67" s="7"/>
      <c r="H67" s="35"/>
      <c r="I67" s="35"/>
      <c r="J67" s="7"/>
      <c r="K67" s="35"/>
      <c r="L67" s="7"/>
      <c r="M67" s="21" t="str">
        <f aca="false">IF(C67="","",IFERROR(I67/H67,0))</f>
        <v/>
      </c>
      <c r="N67" s="9" t="str">
        <f aca="false">IF(C67="","",IFERROR(J67/I67,0))</f>
        <v/>
      </c>
      <c r="O67" s="21" t="str">
        <f aca="false">IF(C67="","",IFERROR(J67/L67,0))</f>
        <v/>
      </c>
      <c r="P67" s="22" t="str">
        <f aca="false">IF(C67="","",IFERROR(L67/J67,0))</f>
        <v/>
      </c>
      <c r="Q67" s="34"/>
      <c r="R67" s="4" t="str">
        <f aca="false">IF(C67="","",B67&amp;" | "&amp;C67&amp;" | "&amp;D67)</f>
        <v/>
      </c>
      <c r="S67" s="4" t="str">
        <f aca="false">IF(C67="","",R67&amp;"#"&amp;A67)</f>
        <v/>
      </c>
    </row>
    <row r="68" customFormat="false" ht="15" hidden="false" customHeight="false" outlineLevel="0" collapsed="false">
      <c r="A68" s="33"/>
      <c r="B68" s="34"/>
      <c r="C68" s="34"/>
      <c r="D68" s="34"/>
      <c r="E68" s="34"/>
      <c r="F68" s="34"/>
      <c r="G68" s="7"/>
      <c r="H68" s="35"/>
      <c r="I68" s="35"/>
      <c r="J68" s="7"/>
      <c r="K68" s="35"/>
      <c r="L68" s="7"/>
      <c r="M68" s="21" t="str">
        <f aca="false">IF(C68="","",IFERROR(I68/H68,0))</f>
        <v/>
      </c>
      <c r="N68" s="9" t="str">
        <f aca="false">IF(C68="","",IFERROR(J68/I68,0))</f>
        <v/>
      </c>
      <c r="O68" s="21" t="str">
        <f aca="false">IF(C68="","",IFERROR(J68/L68,0))</f>
        <v/>
      </c>
      <c r="P68" s="22" t="str">
        <f aca="false">IF(C68="","",IFERROR(L68/J68,0))</f>
        <v/>
      </c>
      <c r="Q68" s="34"/>
      <c r="R68" s="4" t="str">
        <f aca="false">IF(C68="","",B68&amp;" | "&amp;C68&amp;" | "&amp;D68)</f>
        <v/>
      </c>
      <c r="S68" s="4" t="str">
        <f aca="false">IF(C68="","",R68&amp;"#"&amp;A68)</f>
        <v/>
      </c>
    </row>
    <row r="69" customFormat="false" ht="15" hidden="false" customHeight="false" outlineLevel="0" collapsed="false">
      <c r="A69" s="33"/>
      <c r="B69" s="34"/>
      <c r="C69" s="34"/>
      <c r="D69" s="34"/>
      <c r="E69" s="34"/>
      <c r="F69" s="34"/>
      <c r="G69" s="7"/>
      <c r="H69" s="35"/>
      <c r="I69" s="35"/>
      <c r="J69" s="7"/>
      <c r="K69" s="35"/>
      <c r="L69" s="7"/>
      <c r="M69" s="21" t="str">
        <f aca="false">IF(C69="","",IFERROR(I69/H69,0))</f>
        <v/>
      </c>
      <c r="N69" s="9" t="str">
        <f aca="false">IF(C69="","",IFERROR(J69/I69,0))</f>
        <v/>
      </c>
      <c r="O69" s="21" t="str">
        <f aca="false">IF(C69="","",IFERROR(J69/L69,0))</f>
        <v/>
      </c>
      <c r="P69" s="22" t="str">
        <f aca="false">IF(C69="","",IFERROR(L69/J69,0))</f>
        <v/>
      </c>
      <c r="Q69" s="34"/>
      <c r="R69" s="4" t="str">
        <f aca="false">IF(C69="","",B69&amp;" | "&amp;C69&amp;" | "&amp;D69)</f>
        <v/>
      </c>
      <c r="S69" s="4" t="str">
        <f aca="false">IF(C69="","",R69&amp;"#"&amp;A69)</f>
        <v/>
      </c>
    </row>
    <row r="70" customFormat="false" ht="15" hidden="false" customHeight="false" outlineLevel="0" collapsed="false">
      <c r="A70" s="33"/>
      <c r="B70" s="34"/>
      <c r="C70" s="34"/>
      <c r="D70" s="34"/>
      <c r="E70" s="34"/>
      <c r="F70" s="34"/>
      <c r="G70" s="7"/>
      <c r="H70" s="35"/>
      <c r="I70" s="35"/>
      <c r="J70" s="7"/>
      <c r="K70" s="35"/>
      <c r="L70" s="7"/>
      <c r="M70" s="21" t="str">
        <f aca="false">IF(C70="","",IFERROR(I70/H70,0))</f>
        <v/>
      </c>
      <c r="N70" s="9" t="str">
        <f aca="false">IF(C70="","",IFERROR(J70/I70,0))</f>
        <v/>
      </c>
      <c r="O70" s="21" t="str">
        <f aca="false">IF(C70="","",IFERROR(J70/L70,0))</f>
        <v/>
      </c>
      <c r="P70" s="22" t="str">
        <f aca="false">IF(C70="","",IFERROR(L70/J70,0))</f>
        <v/>
      </c>
      <c r="Q70" s="34"/>
      <c r="R70" s="4" t="str">
        <f aca="false">IF(C70="","",B70&amp;" | "&amp;C70&amp;" | "&amp;D70)</f>
        <v/>
      </c>
      <c r="S70" s="4" t="str">
        <f aca="false">IF(C70="","",R70&amp;"#"&amp;A70)</f>
        <v/>
      </c>
    </row>
    <row r="71" customFormat="false" ht="15" hidden="false" customHeight="false" outlineLevel="0" collapsed="false">
      <c r="A71" s="33"/>
      <c r="B71" s="34"/>
      <c r="C71" s="34"/>
      <c r="D71" s="34"/>
      <c r="E71" s="34"/>
      <c r="F71" s="34"/>
      <c r="G71" s="7"/>
      <c r="H71" s="35"/>
      <c r="I71" s="35"/>
      <c r="J71" s="7"/>
      <c r="K71" s="35"/>
      <c r="L71" s="7"/>
      <c r="M71" s="21" t="str">
        <f aca="false">IF(C71="","",IFERROR(I71/H71,0))</f>
        <v/>
      </c>
      <c r="N71" s="9" t="str">
        <f aca="false">IF(C71="","",IFERROR(J71/I71,0))</f>
        <v/>
      </c>
      <c r="O71" s="21" t="str">
        <f aca="false">IF(C71="","",IFERROR(J71/L71,0))</f>
        <v/>
      </c>
      <c r="P71" s="22" t="str">
        <f aca="false">IF(C71="","",IFERROR(L71/J71,0))</f>
        <v/>
      </c>
      <c r="Q71" s="34"/>
      <c r="R71" s="4" t="str">
        <f aca="false">IF(C71="","",B71&amp;" | "&amp;C71&amp;" | "&amp;D71)</f>
        <v/>
      </c>
      <c r="S71" s="4" t="str">
        <f aca="false">IF(C71="","",R71&amp;"#"&amp;A71)</f>
        <v/>
      </c>
    </row>
    <row r="72" customFormat="false" ht="15" hidden="false" customHeight="false" outlineLevel="0" collapsed="false">
      <c r="A72" s="33"/>
      <c r="B72" s="34"/>
      <c r="C72" s="34"/>
      <c r="D72" s="34"/>
      <c r="E72" s="34"/>
      <c r="F72" s="34"/>
      <c r="G72" s="7"/>
      <c r="H72" s="35"/>
      <c r="I72" s="35"/>
      <c r="J72" s="7"/>
      <c r="K72" s="35"/>
      <c r="L72" s="7"/>
      <c r="M72" s="21" t="str">
        <f aca="false">IF(C72="","",IFERROR(I72/H72,0))</f>
        <v/>
      </c>
      <c r="N72" s="9" t="str">
        <f aca="false">IF(C72="","",IFERROR(J72/I72,0))</f>
        <v/>
      </c>
      <c r="O72" s="21" t="str">
        <f aca="false">IF(C72="","",IFERROR(J72/L72,0))</f>
        <v/>
      </c>
      <c r="P72" s="22" t="str">
        <f aca="false">IF(C72="","",IFERROR(L72/J72,0))</f>
        <v/>
      </c>
      <c r="Q72" s="34"/>
      <c r="R72" s="4" t="str">
        <f aca="false">IF(C72="","",B72&amp;" | "&amp;C72&amp;" | "&amp;D72)</f>
        <v/>
      </c>
      <c r="S72" s="4" t="str">
        <f aca="false">IF(C72="","",R72&amp;"#"&amp;A72)</f>
        <v/>
      </c>
    </row>
    <row r="73" customFormat="false" ht="15" hidden="false" customHeight="false" outlineLevel="0" collapsed="false">
      <c r="A73" s="33"/>
      <c r="B73" s="34"/>
      <c r="C73" s="34"/>
      <c r="D73" s="34"/>
      <c r="E73" s="34"/>
      <c r="F73" s="34"/>
      <c r="G73" s="7"/>
      <c r="H73" s="35"/>
      <c r="I73" s="35"/>
      <c r="J73" s="7"/>
      <c r="K73" s="35"/>
      <c r="L73" s="7"/>
      <c r="M73" s="21" t="str">
        <f aca="false">IF(C73="","",IFERROR(I73/H73,0))</f>
        <v/>
      </c>
      <c r="N73" s="9" t="str">
        <f aca="false">IF(C73="","",IFERROR(J73/I73,0))</f>
        <v/>
      </c>
      <c r="O73" s="21" t="str">
        <f aca="false">IF(C73="","",IFERROR(J73/L73,0))</f>
        <v/>
      </c>
      <c r="P73" s="22" t="str">
        <f aca="false">IF(C73="","",IFERROR(L73/J73,0))</f>
        <v/>
      </c>
      <c r="Q73" s="34"/>
      <c r="R73" s="4" t="str">
        <f aca="false">IF(C73="","",B73&amp;" | "&amp;C73&amp;" | "&amp;D73)</f>
        <v/>
      </c>
      <c r="S73" s="4" t="str">
        <f aca="false">IF(C73="","",R73&amp;"#"&amp;A73)</f>
        <v/>
      </c>
    </row>
    <row r="74" customFormat="false" ht="15" hidden="false" customHeight="false" outlineLevel="0" collapsed="false">
      <c r="A74" s="33"/>
      <c r="B74" s="34"/>
      <c r="C74" s="34"/>
      <c r="D74" s="34"/>
      <c r="E74" s="34"/>
      <c r="F74" s="34"/>
      <c r="G74" s="7"/>
      <c r="H74" s="35"/>
      <c r="I74" s="35"/>
      <c r="J74" s="7"/>
      <c r="K74" s="35"/>
      <c r="L74" s="7"/>
      <c r="M74" s="21" t="str">
        <f aca="false">IF(C74="","",IFERROR(I74/H74,0))</f>
        <v/>
      </c>
      <c r="N74" s="9" t="str">
        <f aca="false">IF(C74="","",IFERROR(J74/I74,0))</f>
        <v/>
      </c>
      <c r="O74" s="21" t="str">
        <f aca="false">IF(C74="","",IFERROR(J74/L74,0))</f>
        <v/>
      </c>
      <c r="P74" s="22" t="str">
        <f aca="false">IF(C74="","",IFERROR(L74/J74,0))</f>
        <v/>
      </c>
      <c r="Q74" s="34"/>
      <c r="R74" s="4" t="str">
        <f aca="false">IF(C74="","",B74&amp;" | "&amp;C74&amp;" | "&amp;D74)</f>
        <v/>
      </c>
      <c r="S74" s="4" t="str">
        <f aca="false">IF(C74="","",R74&amp;"#"&amp;A74)</f>
        <v/>
      </c>
    </row>
    <row r="75" customFormat="false" ht="15" hidden="false" customHeight="false" outlineLevel="0" collapsed="false">
      <c r="A75" s="33"/>
      <c r="B75" s="34"/>
      <c r="C75" s="34"/>
      <c r="D75" s="34"/>
      <c r="E75" s="34"/>
      <c r="F75" s="34"/>
      <c r="G75" s="7"/>
      <c r="H75" s="35"/>
      <c r="I75" s="35"/>
      <c r="J75" s="7"/>
      <c r="K75" s="35"/>
      <c r="L75" s="7"/>
      <c r="M75" s="21" t="str">
        <f aca="false">IF(C75="","",IFERROR(I75/H75,0))</f>
        <v/>
      </c>
      <c r="N75" s="9" t="str">
        <f aca="false">IF(C75="","",IFERROR(J75/I75,0))</f>
        <v/>
      </c>
      <c r="O75" s="21" t="str">
        <f aca="false">IF(C75="","",IFERROR(J75/L75,0))</f>
        <v/>
      </c>
      <c r="P75" s="22" t="str">
        <f aca="false">IF(C75="","",IFERROR(L75/J75,0))</f>
        <v/>
      </c>
      <c r="Q75" s="34"/>
      <c r="R75" s="4" t="str">
        <f aca="false">IF(C75="","",B75&amp;" | "&amp;C75&amp;" | "&amp;D75)</f>
        <v/>
      </c>
      <c r="S75" s="4" t="str">
        <f aca="false">IF(C75="","",R75&amp;"#"&amp;A75)</f>
        <v/>
      </c>
    </row>
    <row r="76" customFormat="false" ht="15" hidden="false" customHeight="false" outlineLevel="0" collapsed="false">
      <c r="A76" s="33"/>
      <c r="B76" s="34"/>
      <c r="C76" s="34"/>
      <c r="D76" s="34"/>
      <c r="E76" s="34"/>
      <c r="F76" s="34"/>
      <c r="G76" s="7"/>
      <c r="H76" s="35"/>
      <c r="I76" s="35"/>
      <c r="J76" s="7"/>
      <c r="K76" s="35"/>
      <c r="L76" s="7"/>
      <c r="M76" s="21" t="str">
        <f aca="false">IF(C76="","",IFERROR(I76/H76,0))</f>
        <v/>
      </c>
      <c r="N76" s="9" t="str">
        <f aca="false">IF(C76="","",IFERROR(J76/I76,0))</f>
        <v/>
      </c>
      <c r="O76" s="21" t="str">
        <f aca="false">IF(C76="","",IFERROR(J76/L76,0))</f>
        <v/>
      </c>
      <c r="P76" s="22" t="str">
        <f aca="false">IF(C76="","",IFERROR(L76/J76,0))</f>
        <v/>
      </c>
      <c r="Q76" s="34"/>
      <c r="R76" s="4" t="str">
        <f aca="false">IF(C76="","",B76&amp;" | "&amp;C76&amp;" | "&amp;D76)</f>
        <v/>
      </c>
      <c r="S76" s="4" t="str">
        <f aca="false">IF(C76="","",R76&amp;"#"&amp;A76)</f>
        <v/>
      </c>
    </row>
    <row r="77" customFormat="false" ht="15" hidden="false" customHeight="false" outlineLevel="0" collapsed="false">
      <c r="A77" s="33"/>
      <c r="B77" s="34"/>
      <c r="C77" s="34"/>
      <c r="D77" s="34"/>
      <c r="E77" s="34"/>
      <c r="F77" s="34"/>
      <c r="G77" s="7"/>
      <c r="H77" s="35"/>
      <c r="I77" s="35"/>
      <c r="J77" s="7"/>
      <c r="K77" s="35"/>
      <c r="L77" s="7"/>
      <c r="M77" s="21" t="str">
        <f aca="false">IF(C77="","",IFERROR(I77/H77,0))</f>
        <v/>
      </c>
      <c r="N77" s="9" t="str">
        <f aca="false">IF(C77="","",IFERROR(J77/I77,0))</f>
        <v/>
      </c>
      <c r="O77" s="21" t="str">
        <f aca="false">IF(C77="","",IFERROR(J77/L77,0))</f>
        <v/>
      </c>
      <c r="P77" s="22" t="str">
        <f aca="false">IF(C77="","",IFERROR(L77/J77,0))</f>
        <v/>
      </c>
      <c r="Q77" s="34"/>
      <c r="R77" s="4" t="str">
        <f aca="false">IF(C77="","",B77&amp;" | "&amp;C77&amp;" | "&amp;D77)</f>
        <v/>
      </c>
      <c r="S77" s="4" t="str">
        <f aca="false">IF(C77="","",R77&amp;"#"&amp;A77)</f>
        <v/>
      </c>
    </row>
    <row r="78" customFormat="false" ht="15" hidden="false" customHeight="false" outlineLevel="0" collapsed="false">
      <c r="A78" s="33"/>
      <c r="B78" s="34"/>
      <c r="C78" s="34"/>
      <c r="D78" s="34"/>
      <c r="E78" s="34"/>
      <c r="F78" s="34"/>
      <c r="G78" s="7"/>
      <c r="H78" s="35"/>
      <c r="I78" s="35"/>
      <c r="J78" s="7"/>
      <c r="K78" s="35"/>
      <c r="L78" s="7"/>
      <c r="M78" s="21" t="str">
        <f aca="false">IF(C78="","",IFERROR(I78/H78,0))</f>
        <v/>
      </c>
      <c r="N78" s="9" t="str">
        <f aca="false">IF(C78="","",IFERROR(J78/I78,0))</f>
        <v/>
      </c>
      <c r="O78" s="21" t="str">
        <f aca="false">IF(C78="","",IFERROR(J78/L78,0))</f>
        <v/>
      </c>
      <c r="P78" s="22" t="str">
        <f aca="false">IF(C78="","",IFERROR(L78/J78,0))</f>
        <v/>
      </c>
      <c r="Q78" s="34"/>
      <c r="R78" s="4" t="str">
        <f aca="false">IF(C78="","",B78&amp;" | "&amp;C78&amp;" | "&amp;D78)</f>
        <v/>
      </c>
      <c r="S78" s="4" t="str">
        <f aca="false">IF(C78="","",R78&amp;"#"&amp;A78)</f>
        <v/>
      </c>
    </row>
    <row r="79" customFormat="false" ht="15" hidden="false" customHeight="false" outlineLevel="0" collapsed="false">
      <c r="A79" s="33"/>
      <c r="B79" s="34"/>
      <c r="C79" s="34"/>
      <c r="D79" s="34"/>
      <c r="E79" s="34"/>
      <c r="F79" s="34"/>
      <c r="G79" s="7"/>
      <c r="H79" s="35"/>
      <c r="I79" s="35"/>
      <c r="J79" s="7"/>
      <c r="K79" s="35"/>
      <c r="L79" s="7"/>
      <c r="M79" s="21" t="str">
        <f aca="false">IF(C79="","",IFERROR(I79/H79,0))</f>
        <v/>
      </c>
      <c r="N79" s="9" t="str">
        <f aca="false">IF(C79="","",IFERROR(J79/I79,0))</f>
        <v/>
      </c>
      <c r="O79" s="21" t="str">
        <f aca="false">IF(C79="","",IFERROR(J79/L79,0))</f>
        <v/>
      </c>
      <c r="P79" s="22" t="str">
        <f aca="false">IF(C79="","",IFERROR(L79/J79,0))</f>
        <v/>
      </c>
      <c r="Q79" s="34"/>
      <c r="R79" s="4" t="str">
        <f aca="false">IF(C79="","",B79&amp;" | "&amp;C79&amp;" | "&amp;D79)</f>
        <v/>
      </c>
      <c r="S79" s="4" t="str">
        <f aca="false">IF(C79="","",R79&amp;"#"&amp;A79)</f>
        <v/>
      </c>
    </row>
    <row r="80" customFormat="false" ht="15" hidden="false" customHeight="false" outlineLevel="0" collapsed="false">
      <c r="A80" s="33"/>
      <c r="B80" s="34"/>
      <c r="C80" s="34"/>
      <c r="D80" s="34"/>
      <c r="E80" s="34"/>
      <c r="F80" s="34"/>
      <c r="G80" s="7"/>
      <c r="H80" s="35"/>
      <c r="I80" s="35"/>
      <c r="J80" s="7"/>
      <c r="K80" s="35"/>
      <c r="L80" s="7"/>
      <c r="M80" s="21" t="str">
        <f aca="false">IF(C80="","",IFERROR(I80/H80,0))</f>
        <v/>
      </c>
      <c r="N80" s="9" t="str">
        <f aca="false">IF(C80="","",IFERROR(J80/I80,0))</f>
        <v/>
      </c>
      <c r="O80" s="21" t="str">
        <f aca="false">IF(C80="","",IFERROR(J80/L80,0))</f>
        <v/>
      </c>
      <c r="P80" s="22" t="str">
        <f aca="false">IF(C80="","",IFERROR(L80/J80,0))</f>
        <v/>
      </c>
      <c r="Q80" s="34"/>
      <c r="R80" s="4" t="str">
        <f aca="false">IF(C80="","",B80&amp;" | "&amp;C80&amp;" | "&amp;D80)</f>
        <v/>
      </c>
      <c r="S80" s="4" t="str">
        <f aca="false">IF(C80="","",R80&amp;"#"&amp;A80)</f>
        <v/>
      </c>
    </row>
    <row r="81" customFormat="false" ht="15" hidden="false" customHeight="false" outlineLevel="0" collapsed="false">
      <c r="A81" s="33"/>
      <c r="B81" s="34"/>
      <c r="C81" s="34"/>
      <c r="D81" s="34"/>
      <c r="E81" s="34"/>
      <c r="F81" s="34"/>
      <c r="G81" s="7"/>
      <c r="H81" s="35"/>
      <c r="I81" s="35"/>
      <c r="J81" s="7"/>
      <c r="K81" s="35"/>
      <c r="L81" s="7"/>
      <c r="M81" s="21" t="str">
        <f aca="false">IF(C81="","",IFERROR(I81/H81,0))</f>
        <v/>
      </c>
      <c r="N81" s="9" t="str">
        <f aca="false">IF(C81="","",IFERROR(J81/I81,0))</f>
        <v/>
      </c>
      <c r="O81" s="21" t="str">
        <f aca="false">IF(C81="","",IFERROR(J81/L81,0))</f>
        <v/>
      </c>
      <c r="P81" s="22" t="str">
        <f aca="false">IF(C81="","",IFERROR(L81/J81,0))</f>
        <v/>
      </c>
      <c r="Q81" s="34"/>
      <c r="R81" s="4" t="str">
        <f aca="false">IF(C81="","",B81&amp;" | "&amp;C81&amp;" | "&amp;D81)</f>
        <v/>
      </c>
      <c r="S81" s="4" t="str">
        <f aca="false">IF(C81="","",R81&amp;"#"&amp;A81)</f>
        <v/>
      </c>
    </row>
    <row r="82" customFormat="false" ht="15" hidden="false" customHeight="false" outlineLevel="0" collapsed="false">
      <c r="A82" s="33"/>
      <c r="B82" s="34"/>
      <c r="C82" s="34"/>
      <c r="D82" s="34"/>
      <c r="E82" s="34"/>
      <c r="F82" s="34"/>
      <c r="G82" s="7"/>
      <c r="H82" s="35"/>
      <c r="I82" s="35"/>
      <c r="J82" s="7"/>
      <c r="K82" s="35"/>
      <c r="L82" s="7"/>
      <c r="M82" s="21" t="str">
        <f aca="false">IF(C82="","",IFERROR(I82/H82,0))</f>
        <v/>
      </c>
      <c r="N82" s="9" t="str">
        <f aca="false">IF(C82="","",IFERROR(J82/I82,0))</f>
        <v/>
      </c>
      <c r="O82" s="21" t="str">
        <f aca="false">IF(C82="","",IFERROR(J82/L82,0))</f>
        <v/>
      </c>
      <c r="P82" s="22" t="str">
        <f aca="false">IF(C82="","",IFERROR(L82/J82,0))</f>
        <v/>
      </c>
      <c r="Q82" s="34"/>
      <c r="R82" s="4" t="str">
        <f aca="false">IF(C82="","",B82&amp;" | "&amp;C82&amp;" | "&amp;D82)</f>
        <v/>
      </c>
      <c r="S82" s="4" t="str">
        <f aca="false">IF(C82="","",R82&amp;"#"&amp;A82)</f>
        <v/>
      </c>
    </row>
    <row r="83" customFormat="false" ht="15" hidden="false" customHeight="false" outlineLevel="0" collapsed="false">
      <c r="A83" s="33"/>
      <c r="B83" s="34"/>
      <c r="C83" s="34"/>
      <c r="D83" s="34"/>
      <c r="E83" s="34"/>
      <c r="F83" s="34"/>
      <c r="G83" s="7"/>
      <c r="H83" s="35"/>
      <c r="I83" s="35"/>
      <c r="J83" s="7"/>
      <c r="K83" s="35"/>
      <c r="L83" s="7"/>
      <c r="M83" s="21" t="str">
        <f aca="false">IF(C83="","",IFERROR(I83/H83,0))</f>
        <v/>
      </c>
      <c r="N83" s="9" t="str">
        <f aca="false">IF(C83="","",IFERROR(J83/I83,0))</f>
        <v/>
      </c>
      <c r="O83" s="21" t="str">
        <f aca="false">IF(C83="","",IFERROR(J83/L83,0))</f>
        <v/>
      </c>
      <c r="P83" s="22" t="str">
        <f aca="false">IF(C83="","",IFERROR(L83/J83,0))</f>
        <v/>
      </c>
      <c r="Q83" s="34"/>
      <c r="R83" s="4" t="str">
        <f aca="false">IF(C83="","",B83&amp;" | "&amp;C83&amp;" | "&amp;D83)</f>
        <v/>
      </c>
      <c r="S83" s="4" t="str">
        <f aca="false">IF(C83="","",R83&amp;"#"&amp;A83)</f>
        <v/>
      </c>
    </row>
    <row r="84" customFormat="false" ht="15" hidden="false" customHeight="false" outlineLevel="0" collapsed="false">
      <c r="A84" s="33"/>
      <c r="B84" s="34"/>
      <c r="C84" s="34"/>
      <c r="D84" s="34"/>
      <c r="E84" s="34"/>
      <c r="F84" s="34"/>
      <c r="G84" s="7"/>
      <c r="H84" s="35"/>
      <c r="I84" s="35"/>
      <c r="J84" s="7"/>
      <c r="K84" s="35"/>
      <c r="L84" s="7"/>
      <c r="M84" s="21" t="str">
        <f aca="false">IF(C84="","",IFERROR(I84/H84,0))</f>
        <v/>
      </c>
      <c r="N84" s="9" t="str">
        <f aca="false">IF(C84="","",IFERROR(J84/I84,0))</f>
        <v/>
      </c>
      <c r="O84" s="21" t="str">
        <f aca="false">IF(C84="","",IFERROR(J84/L84,0))</f>
        <v/>
      </c>
      <c r="P84" s="22" t="str">
        <f aca="false">IF(C84="","",IFERROR(L84/J84,0))</f>
        <v/>
      </c>
      <c r="Q84" s="34"/>
      <c r="R84" s="4" t="str">
        <f aca="false">IF(C84="","",B84&amp;" | "&amp;C84&amp;" | "&amp;D84)</f>
        <v/>
      </c>
      <c r="S84" s="4" t="str">
        <f aca="false">IF(C84="","",R84&amp;"#"&amp;A84)</f>
        <v/>
      </c>
    </row>
    <row r="85" customFormat="false" ht="15" hidden="false" customHeight="false" outlineLevel="0" collapsed="false">
      <c r="A85" s="33"/>
      <c r="B85" s="34"/>
      <c r="C85" s="34"/>
      <c r="D85" s="34"/>
      <c r="E85" s="34"/>
      <c r="F85" s="34"/>
      <c r="G85" s="7"/>
      <c r="H85" s="35"/>
      <c r="I85" s="35"/>
      <c r="J85" s="7"/>
      <c r="K85" s="35"/>
      <c r="L85" s="7"/>
      <c r="M85" s="21" t="str">
        <f aca="false">IF(C85="","",IFERROR(I85/H85,0))</f>
        <v/>
      </c>
      <c r="N85" s="9" t="str">
        <f aca="false">IF(C85="","",IFERROR(J85/I85,0))</f>
        <v/>
      </c>
      <c r="O85" s="21" t="str">
        <f aca="false">IF(C85="","",IFERROR(J85/L85,0))</f>
        <v/>
      </c>
      <c r="P85" s="22" t="str">
        <f aca="false">IF(C85="","",IFERROR(L85/J85,0))</f>
        <v/>
      </c>
      <c r="Q85" s="34"/>
      <c r="R85" s="4" t="str">
        <f aca="false">IF(C85="","",B85&amp;" | "&amp;C85&amp;" | "&amp;D85)</f>
        <v/>
      </c>
      <c r="S85" s="4" t="str">
        <f aca="false">IF(C85="","",R85&amp;"#"&amp;A85)</f>
        <v/>
      </c>
    </row>
    <row r="86" customFormat="false" ht="15" hidden="false" customHeight="false" outlineLevel="0" collapsed="false">
      <c r="A86" s="33"/>
      <c r="B86" s="34"/>
      <c r="C86" s="34"/>
      <c r="D86" s="34"/>
      <c r="E86" s="34"/>
      <c r="F86" s="34"/>
      <c r="G86" s="7"/>
      <c r="H86" s="35"/>
      <c r="I86" s="35"/>
      <c r="J86" s="7"/>
      <c r="K86" s="35"/>
      <c r="L86" s="7"/>
      <c r="M86" s="21" t="str">
        <f aca="false">IF(C86="","",IFERROR(I86/H86,0))</f>
        <v/>
      </c>
      <c r="N86" s="9" t="str">
        <f aca="false">IF(C86="","",IFERROR(J86/I86,0))</f>
        <v/>
      </c>
      <c r="O86" s="21" t="str">
        <f aca="false">IF(C86="","",IFERROR(J86/L86,0))</f>
        <v/>
      </c>
      <c r="P86" s="22" t="str">
        <f aca="false">IF(C86="","",IFERROR(L86/J86,0))</f>
        <v/>
      </c>
      <c r="Q86" s="34"/>
      <c r="R86" s="4" t="str">
        <f aca="false">IF(C86="","",B86&amp;" | "&amp;C86&amp;" | "&amp;D86)</f>
        <v/>
      </c>
      <c r="S86" s="4" t="str">
        <f aca="false">IF(C86="","",R86&amp;"#"&amp;A86)</f>
        <v/>
      </c>
    </row>
    <row r="87" customFormat="false" ht="15" hidden="false" customHeight="false" outlineLevel="0" collapsed="false">
      <c r="A87" s="33"/>
      <c r="B87" s="34"/>
      <c r="C87" s="34"/>
      <c r="D87" s="34"/>
      <c r="E87" s="34"/>
      <c r="F87" s="34"/>
      <c r="G87" s="7"/>
      <c r="H87" s="35"/>
      <c r="I87" s="35"/>
      <c r="J87" s="7"/>
      <c r="K87" s="35"/>
      <c r="L87" s="7"/>
      <c r="M87" s="21" t="str">
        <f aca="false">IF(C87="","",IFERROR(I87/H87,0))</f>
        <v/>
      </c>
      <c r="N87" s="9" t="str">
        <f aca="false">IF(C87="","",IFERROR(J87/I87,0))</f>
        <v/>
      </c>
      <c r="O87" s="21" t="str">
        <f aca="false">IF(C87="","",IFERROR(J87/L87,0))</f>
        <v/>
      </c>
      <c r="P87" s="22" t="str">
        <f aca="false">IF(C87="","",IFERROR(L87/J87,0))</f>
        <v/>
      </c>
      <c r="Q87" s="34"/>
      <c r="R87" s="4" t="str">
        <f aca="false">IF(C87="","",B87&amp;" | "&amp;C87&amp;" | "&amp;D87)</f>
        <v/>
      </c>
      <c r="S87" s="4" t="str">
        <f aca="false">IF(C87="","",R87&amp;"#"&amp;A87)</f>
        <v/>
      </c>
    </row>
    <row r="88" customFormat="false" ht="15" hidden="false" customHeight="false" outlineLevel="0" collapsed="false">
      <c r="A88" s="33"/>
      <c r="B88" s="34"/>
      <c r="C88" s="34"/>
      <c r="D88" s="34"/>
      <c r="E88" s="34"/>
      <c r="F88" s="34"/>
      <c r="G88" s="7"/>
      <c r="H88" s="35"/>
      <c r="I88" s="35"/>
      <c r="J88" s="7"/>
      <c r="K88" s="35"/>
      <c r="L88" s="7"/>
      <c r="M88" s="21" t="str">
        <f aca="false">IF(C88="","",IFERROR(I88/H88,0))</f>
        <v/>
      </c>
      <c r="N88" s="9" t="str">
        <f aca="false">IF(C88="","",IFERROR(J88/I88,0))</f>
        <v/>
      </c>
      <c r="O88" s="21" t="str">
        <f aca="false">IF(C88="","",IFERROR(J88/L88,0))</f>
        <v/>
      </c>
      <c r="P88" s="22" t="str">
        <f aca="false">IF(C88="","",IFERROR(L88/J88,0))</f>
        <v/>
      </c>
      <c r="Q88" s="34"/>
      <c r="R88" s="4" t="str">
        <f aca="false">IF(C88="","",B88&amp;" | "&amp;C88&amp;" | "&amp;D88)</f>
        <v/>
      </c>
      <c r="S88" s="4" t="str">
        <f aca="false">IF(C88="","",R88&amp;"#"&amp;A88)</f>
        <v/>
      </c>
    </row>
    <row r="89" customFormat="false" ht="15" hidden="false" customHeight="false" outlineLevel="0" collapsed="false">
      <c r="A89" s="33"/>
      <c r="B89" s="34"/>
      <c r="C89" s="34"/>
      <c r="D89" s="34"/>
      <c r="E89" s="34"/>
      <c r="F89" s="34"/>
      <c r="G89" s="7"/>
      <c r="H89" s="35"/>
      <c r="I89" s="35"/>
      <c r="J89" s="7"/>
      <c r="K89" s="35"/>
      <c r="L89" s="7"/>
      <c r="M89" s="21" t="str">
        <f aca="false">IF(C89="","",IFERROR(I89/H89,0))</f>
        <v/>
      </c>
      <c r="N89" s="9" t="str">
        <f aca="false">IF(C89="","",IFERROR(J89/I89,0))</f>
        <v/>
      </c>
      <c r="O89" s="21" t="str">
        <f aca="false">IF(C89="","",IFERROR(J89/L89,0))</f>
        <v/>
      </c>
      <c r="P89" s="22" t="str">
        <f aca="false">IF(C89="","",IFERROR(L89/J89,0))</f>
        <v/>
      </c>
      <c r="Q89" s="34"/>
      <c r="R89" s="4" t="str">
        <f aca="false">IF(C89="","",B89&amp;" | "&amp;C89&amp;" | "&amp;D89)</f>
        <v/>
      </c>
      <c r="S89" s="4" t="str">
        <f aca="false">IF(C89="","",R89&amp;"#"&amp;A89)</f>
        <v/>
      </c>
    </row>
    <row r="90" customFormat="false" ht="15" hidden="false" customHeight="false" outlineLevel="0" collapsed="false">
      <c r="A90" s="33"/>
      <c r="B90" s="34"/>
      <c r="C90" s="34"/>
      <c r="D90" s="34"/>
      <c r="E90" s="34"/>
      <c r="F90" s="34"/>
      <c r="G90" s="7"/>
      <c r="H90" s="35"/>
      <c r="I90" s="35"/>
      <c r="J90" s="7"/>
      <c r="K90" s="35"/>
      <c r="L90" s="7"/>
      <c r="M90" s="21" t="str">
        <f aca="false">IF(C90="","",IFERROR(I90/H90,0))</f>
        <v/>
      </c>
      <c r="N90" s="9" t="str">
        <f aca="false">IF(C90="","",IFERROR(J90/I90,0))</f>
        <v/>
      </c>
      <c r="O90" s="21" t="str">
        <f aca="false">IF(C90="","",IFERROR(J90/L90,0))</f>
        <v/>
      </c>
      <c r="P90" s="22" t="str">
        <f aca="false">IF(C90="","",IFERROR(L90/J90,0))</f>
        <v/>
      </c>
      <c r="Q90" s="34"/>
      <c r="R90" s="4" t="str">
        <f aca="false">IF(C90="","",B90&amp;" | "&amp;C90&amp;" | "&amp;D90)</f>
        <v/>
      </c>
      <c r="S90" s="4" t="str">
        <f aca="false">IF(C90="","",R90&amp;"#"&amp;A90)</f>
        <v/>
      </c>
    </row>
    <row r="91" customFormat="false" ht="15" hidden="false" customHeight="false" outlineLevel="0" collapsed="false">
      <c r="A91" s="33"/>
      <c r="B91" s="34"/>
      <c r="C91" s="34"/>
      <c r="D91" s="34"/>
      <c r="E91" s="34"/>
      <c r="F91" s="34"/>
      <c r="G91" s="7"/>
      <c r="H91" s="35"/>
      <c r="I91" s="35"/>
      <c r="J91" s="7"/>
      <c r="K91" s="35"/>
      <c r="L91" s="7"/>
      <c r="M91" s="21" t="str">
        <f aca="false">IF(C91="","",IFERROR(I91/H91,0))</f>
        <v/>
      </c>
      <c r="N91" s="9" t="str">
        <f aca="false">IF(C91="","",IFERROR(J91/I91,0))</f>
        <v/>
      </c>
      <c r="O91" s="21" t="str">
        <f aca="false">IF(C91="","",IFERROR(J91/L91,0))</f>
        <v/>
      </c>
      <c r="P91" s="22" t="str">
        <f aca="false">IF(C91="","",IFERROR(L91/J91,0))</f>
        <v/>
      </c>
      <c r="Q91" s="34"/>
      <c r="R91" s="4" t="str">
        <f aca="false">IF(C91="","",B91&amp;" | "&amp;C91&amp;" | "&amp;D91)</f>
        <v/>
      </c>
      <c r="S91" s="4" t="str">
        <f aca="false">IF(C91="","",R91&amp;"#"&amp;A91)</f>
        <v/>
      </c>
    </row>
    <row r="92" customFormat="false" ht="15" hidden="false" customHeight="false" outlineLevel="0" collapsed="false">
      <c r="A92" s="33"/>
      <c r="B92" s="34"/>
      <c r="C92" s="34"/>
      <c r="D92" s="34"/>
      <c r="E92" s="34"/>
      <c r="F92" s="34"/>
      <c r="G92" s="7"/>
      <c r="H92" s="35"/>
      <c r="I92" s="35"/>
      <c r="J92" s="7"/>
      <c r="K92" s="35"/>
      <c r="L92" s="7"/>
      <c r="M92" s="21" t="str">
        <f aca="false">IF(C92="","",IFERROR(I92/H92,0))</f>
        <v/>
      </c>
      <c r="N92" s="9" t="str">
        <f aca="false">IF(C92="","",IFERROR(J92/I92,0))</f>
        <v/>
      </c>
      <c r="O92" s="21" t="str">
        <f aca="false">IF(C92="","",IFERROR(J92/L92,0))</f>
        <v/>
      </c>
      <c r="P92" s="22" t="str">
        <f aca="false">IF(C92="","",IFERROR(L92/J92,0))</f>
        <v/>
      </c>
      <c r="Q92" s="34"/>
      <c r="R92" s="4" t="str">
        <f aca="false">IF(C92="","",B92&amp;" | "&amp;C92&amp;" | "&amp;D92)</f>
        <v/>
      </c>
      <c r="S92" s="4" t="str">
        <f aca="false">IF(C92="","",R92&amp;"#"&amp;A92)</f>
        <v/>
      </c>
    </row>
    <row r="93" customFormat="false" ht="15" hidden="false" customHeight="false" outlineLevel="0" collapsed="false">
      <c r="A93" s="33"/>
      <c r="B93" s="34"/>
      <c r="C93" s="34"/>
      <c r="D93" s="34"/>
      <c r="E93" s="34"/>
      <c r="F93" s="34"/>
      <c r="G93" s="7"/>
      <c r="H93" s="35"/>
      <c r="I93" s="35"/>
      <c r="J93" s="7"/>
      <c r="K93" s="35"/>
      <c r="L93" s="7"/>
      <c r="M93" s="21" t="str">
        <f aca="false">IF(C93="","",IFERROR(I93/H93,0))</f>
        <v/>
      </c>
      <c r="N93" s="9" t="str">
        <f aca="false">IF(C93="","",IFERROR(J93/I93,0))</f>
        <v/>
      </c>
      <c r="O93" s="21" t="str">
        <f aca="false">IF(C93="","",IFERROR(J93/L93,0))</f>
        <v/>
      </c>
      <c r="P93" s="22" t="str">
        <f aca="false">IF(C93="","",IFERROR(L93/J93,0))</f>
        <v/>
      </c>
      <c r="Q93" s="34"/>
      <c r="R93" s="4" t="str">
        <f aca="false">IF(C93="","",B93&amp;" | "&amp;C93&amp;" | "&amp;D93)</f>
        <v/>
      </c>
      <c r="S93" s="4" t="str">
        <f aca="false">IF(C93="","",R93&amp;"#"&amp;A93)</f>
        <v/>
      </c>
    </row>
    <row r="94" customFormat="false" ht="15" hidden="false" customHeight="false" outlineLevel="0" collapsed="false">
      <c r="A94" s="33"/>
      <c r="B94" s="34"/>
      <c r="C94" s="34"/>
      <c r="D94" s="34"/>
      <c r="E94" s="34"/>
      <c r="F94" s="34"/>
      <c r="G94" s="7"/>
      <c r="H94" s="35"/>
      <c r="I94" s="35"/>
      <c r="J94" s="7"/>
      <c r="K94" s="35"/>
      <c r="L94" s="7"/>
      <c r="M94" s="21" t="str">
        <f aca="false">IF(C94="","",IFERROR(I94/H94,0))</f>
        <v/>
      </c>
      <c r="N94" s="9" t="str">
        <f aca="false">IF(C94="","",IFERROR(J94/I94,0))</f>
        <v/>
      </c>
      <c r="O94" s="21" t="str">
        <f aca="false">IF(C94="","",IFERROR(J94/L94,0))</f>
        <v/>
      </c>
      <c r="P94" s="22" t="str">
        <f aca="false">IF(C94="","",IFERROR(L94/J94,0))</f>
        <v/>
      </c>
      <c r="Q94" s="34"/>
      <c r="R94" s="4" t="str">
        <f aca="false">IF(C94="","",B94&amp;" | "&amp;C94&amp;" | "&amp;D94)</f>
        <v/>
      </c>
      <c r="S94" s="4" t="str">
        <f aca="false">IF(C94="","",R94&amp;"#"&amp;A94)</f>
        <v/>
      </c>
    </row>
    <row r="95" customFormat="false" ht="15" hidden="false" customHeight="false" outlineLevel="0" collapsed="false">
      <c r="A95" s="33"/>
      <c r="B95" s="34"/>
      <c r="C95" s="34"/>
      <c r="D95" s="34"/>
      <c r="E95" s="34"/>
      <c r="F95" s="34"/>
      <c r="G95" s="7"/>
      <c r="H95" s="35"/>
      <c r="I95" s="35"/>
      <c r="J95" s="7"/>
      <c r="K95" s="35"/>
      <c r="L95" s="7"/>
      <c r="M95" s="21" t="str">
        <f aca="false">IF(C95="","",IFERROR(I95/H95,0))</f>
        <v/>
      </c>
      <c r="N95" s="9" t="str">
        <f aca="false">IF(C95="","",IFERROR(J95/I95,0))</f>
        <v/>
      </c>
      <c r="O95" s="21" t="str">
        <f aca="false">IF(C95="","",IFERROR(J95/L95,0))</f>
        <v/>
      </c>
      <c r="P95" s="22" t="str">
        <f aca="false">IF(C95="","",IFERROR(L95/J95,0))</f>
        <v/>
      </c>
      <c r="Q95" s="34"/>
      <c r="R95" s="4" t="str">
        <f aca="false">IF(C95="","",B95&amp;" | "&amp;C95&amp;" | "&amp;D95)</f>
        <v/>
      </c>
      <c r="S95" s="4" t="str">
        <f aca="false">IF(C95="","",R95&amp;"#"&amp;A95)</f>
        <v/>
      </c>
    </row>
    <row r="96" customFormat="false" ht="15" hidden="false" customHeight="false" outlineLevel="0" collapsed="false">
      <c r="A96" s="33"/>
      <c r="B96" s="34"/>
      <c r="C96" s="34"/>
      <c r="D96" s="34"/>
      <c r="E96" s="34"/>
      <c r="F96" s="34"/>
      <c r="G96" s="7"/>
      <c r="H96" s="35"/>
      <c r="I96" s="35"/>
      <c r="J96" s="7"/>
      <c r="K96" s="35"/>
      <c r="L96" s="7"/>
      <c r="M96" s="21" t="str">
        <f aca="false">IF(C96="","",IFERROR(I96/H96,0))</f>
        <v/>
      </c>
      <c r="N96" s="9" t="str">
        <f aca="false">IF(C96="","",IFERROR(J96/I96,0))</f>
        <v/>
      </c>
      <c r="O96" s="21" t="str">
        <f aca="false">IF(C96="","",IFERROR(J96/L96,0))</f>
        <v/>
      </c>
      <c r="P96" s="22" t="str">
        <f aca="false">IF(C96="","",IFERROR(L96/J96,0))</f>
        <v/>
      </c>
      <c r="Q96" s="34"/>
      <c r="R96" s="4" t="str">
        <f aca="false">IF(C96="","",B96&amp;" | "&amp;C96&amp;" | "&amp;D96)</f>
        <v/>
      </c>
      <c r="S96" s="4" t="str">
        <f aca="false">IF(C96="","",R96&amp;"#"&amp;A96)</f>
        <v/>
      </c>
    </row>
    <row r="97" customFormat="false" ht="15" hidden="false" customHeight="false" outlineLevel="0" collapsed="false">
      <c r="A97" s="33"/>
      <c r="B97" s="34"/>
      <c r="C97" s="34"/>
      <c r="D97" s="34"/>
      <c r="E97" s="34"/>
      <c r="F97" s="34"/>
      <c r="G97" s="7"/>
      <c r="H97" s="35"/>
      <c r="I97" s="35"/>
      <c r="J97" s="7"/>
      <c r="K97" s="35"/>
      <c r="L97" s="7"/>
      <c r="M97" s="21" t="str">
        <f aca="false">IF(C97="","",IFERROR(I97/H97,0))</f>
        <v/>
      </c>
      <c r="N97" s="9" t="str">
        <f aca="false">IF(C97="","",IFERROR(J97/I97,0))</f>
        <v/>
      </c>
      <c r="O97" s="21" t="str">
        <f aca="false">IF(C97="","",IFERROR(J97/L97,0))</f>
        <v/>
      </c>
      <c r="P97" s="22" t="str">
        <f aca="false">IF(C97="","",IFERROR(L97/J97,0))</f>
        <v/>
      </c>
      <c r="Q97" s="34"/>
      <c r="R97" s="4" t="str">
        <f aca="false">IF(C97="","",B97&amp;" | "&amp;C97&amp;" | "&amp;D97)</f>
        <v/>
      </c>
      <c r="S97" s="4" t="str">
        <f aca="false">IF(C97="","",R97&amp;"#"&amp;A97)</f>
        <v/>
      </c>
    </row>
    <row r="98" customFormat="false" ht="15" hidden="false" customHeight="false" outlineLevel="0" collapsed="false">
      <c r="A98" s="33"/>
      <c r="B98" s="34"/>
      <c r="C98" s="34"/>
      <c r="D98" s="34"/>
      <c r="E98" s="34"/>
      <c r="F98" s="34"/>
      <c r="G98" s="7"/>
      <c r="H98" s="35"/>
      <c r="I98" s="35"/>
      <c r="J98" s="7"/>
      <c r="K98" s="35"/>
      <c r="L98" s="7"/>
      <c r="M98" s="21" t="str">
        <f aca="false">IF(C98="","",IFERROR(I98/H98,0))</f>
        <v/>
      </c>
      <c r="N98" s="9" t="str">
        <f aca="false">IF(C98="","",IFERROR(J98/I98,0))</f>
        <v/>
      </c>
      <c r="O98" s="21" t="str">
        <f aca="false">IF(C98="","",IFERROR(J98/L98,0))</f>
        <v/>
      </c>
      <c r="P98" s="22" t="str">
        <f aca="false">IF(C98="","",IFERROR(L98/J98,0))</f>
        <v/>
      </c>
      <c r="Q98" s="34"/>
      <c r="R98" s="4" t="str">
        <f aca="false">IF(C98="","",B98&amp;" | "&amp;C98&amp;" | "&amp;D98)</f>
        <v/>
      </c>
      <c r="S98" s="4" t="str">
        <f aca="false">IF(C98="","",R98&amp;"#"&amp;A98)</f>
        <v/>
      </c>
    </row>
    <row r="99" customFormat="false" ht="15" hidden="false" customHeight="false" outlineLevel="0" collapsed="false">
      <c r="A99" s="33"/>
      <c r="B99" s="34"/>
      <c r="C99" s="34"/>
      <c r="D99" s="34"/>
      <c r="E99" s="34"/>
      <c r="F99" s="34"/>
      <c r="G99" s="7"/>
      <c r="H99" s="35"/>
      <c r="I99" s="35"/>
      <c r="J99" s="7"/>
      <c r="K99" s="35"/>
      <c r="L99" s="7"/>
      <c r="M99" s="21" t="str">
        <f aca="false">IF(C99="","",IFERROR(I99/H99,0))</f>
        <v/>
      </c>
      <c r="N99" s="9" t="str">
        <f aca="false">IF(C99="","",IFERROR(J99/I99,0))</f>
        <v/>
      </c>
      <c r="O99" s="21" t="str">
        <f aca="false">IF(C99="","",IFERROR(J99/L99,0))</f>
        <v/>
      </c>
      <c r="P99" s="22" t="str">
        <f aca="false">IF(C99="","",IFERROR(L99/J99,0))</f>
        <v/>
      </c>
      <c r="Q99" s="34"/>
      <c r="R99" s="4" t="str">
        <f aca="false">IF(C99="","",B99&amp;" | "&amp;C99&amp;" | "&amp;D99)</f>
        <v/>
      </c>
      <c r="S99" s="4" t="str">
        <f aca="false">IF(C99="","",R99&amp;"#"&amp;A99)</f>
        <v/>
      </c>
    </row>
    <row r="100" customFormat="false" ht="15" hidden="false" customHeight="false" outlineLevel="0" collapsed="false">
      <c r="A100" s="33"/>
      <c r="B100" s="34"/>
      <c r="C100" s="34"/>
      <c r="D100" s="34"/>
      <c r="E100" s="34"/>
      <c r="F100" s="34"/>
      <c r="G100" s="7"/>
      <c r="H100" s="35"/>
      <c r="I100" s="35"/>
      <c r="J100" s="7"/>
      <c r="K100" s="35"/>
      <c r="L100" s="7"/>
      <c r="M100" s="21" t="str">
        <f aca="false">IF(C100="","",IFERROR(I100/H100,0))</f>
        <v/>
      </c>
      <c r="N100" s="9" t="str">
        <f aca="false">IF(C100="","",IFERROR(J100/I100,0))</f>
        <v/>
      </c>
      <c r="O100" s="21" t="str">
        <f aca="false">IF(C100="","",IFERROR(J100/L100,0))</f>
        <v/>
      </c>
      <c r="P100" s="22" t="str">
        <f aca="false">IF(C100="","",IFERROR(L100/J100,0))</f>
        <v/>
      </c>
      <c r="Q100" s="34"/>
      <c r="R100" s="4" t="str">
        <f aca="false">IF(C100="","",B100&amp;" | "&amp;C100&amp;" | "&amp;D100)</f>
        <v/>
      </c>
      <c r="S100" s="4" t="str">
        <f aca="false">IF(C100="","",R100&amp;"#"&amp;A100)</f>
        <v/>
      </c>
    </row>
    <row r="101" customFormat="false" ht="15" hidden="false" customHeight="false" outlineLevel="0" collapsed="false">
      <c r="A101" s="33"/>
      <c r="B101" s="34"/>
      <c r="C101" s="34"/>
      <c r="D101" s="34"/>
      <c r="E101" s="34"/>
      <c r="F101" s="34"/>
      <c r="G101" s="7"/>
      <c r="H101" s="35"/>
      <c r="I101" s="35"/>
      <c r="J101" s="7"/>
      <c r="K101" s="35"/>
      <c r="L101" s="7"/>
      <c r="M101" s="21" t="str">
        <f aca="false">IF(C101="","",IFERROR(I101/H101,0))</f>
        <v/>
      </c>
      <c r="N101" s="9" t="str">
        <f aca="false">IF(C101="","",IFERROR(J101/I101,0))</f>
        <v/>
      </c>
      <c r="O101" s="21" t="str">
        <f aca="false">IF(C101="","",IFERROR(J101/L101,0))</f>
        <v/>
      </c>
      <c r="P101" s="22" t="str">
        <f aca="false">IF(C101="","",IFERROR(L101/J101,0))</f>
        <v/>
      </c>
      <c r="Q101" s="34"/>
      <c r="R101" s="4" t="str">
        <f aca="false">IF(C101="","",B101&amp;" | "&amp;C101&amp;" | "&amp;D101)</f>
        <v/>
      </c>
      <c r="S101" s="4" t="str">
        <f aca="false">IF(C101="","",R101&amp;"#"&amp;A101)</f>
        <v/>
      </c>
    </row>
    <row r="102" customFormat="false" ht="15" hidden="false" customHeight="false" outlineLevel="0" collapsed="false">
      <c r="A102" s="33"/>
      <c r="B102" s="34"/>
      <c r="C102" s="34"/>
      <c r="D102" s="34"/>
      <c r="E102" s="34"/>
      <c r="F102" s="34"/>
      <c r="G102" s="7"/>
      <c r="H102" s="35"/>
      <c r="I102" s="35"/>
      <c r="J102" s="7"/>
      <c r="K102" s="35"/>
      <c r="L102" s="7"/>
      <c r="M102" s="21" t="str">
        <f aca="false">IF(C102="","",IFERROR(I102/H102,0))</f>
        <v/>
      </c>
      <c r="N102" s="9" t="str">
        <f aca="false">IF(C102="","",IFERROR(J102/I102,0))</f>
        <v/>
      </c>
      <c r="O102" s="21" t="str">
        <f aca="false">IF(C102="","",IFERROR(J102/L102,0))</f>
        <v/>
      </c>
      <c r="P102" s="22" t="str">
        <f aca="false">IF(C102="","",IFERROR(L102/J102,0))</f>
        <v/>
      </c>
      <c r="Q102" s="34"/>
      <c r="R102" s="4" t="str">
        <f aca="false">IF(C102="","",B102&amp;" | "&amp;C102&amp;" | "&amp;D102)</f>
        <v/>
      </c>
      <c r="S102" s="4" t="str">
        <f aca="false">IF(C102="","",R102&amp;"#"&amp;A102)</f>
        <v/>
      </c>
    </row>
    <row r="103" customFormat="false" ht="15" hidden="false" customHeight="false" outlineLevel="0" collapsed="false">
      <c r="A103" s="33"/>
      <c r="B103" s="34"/>
      <c r="C103" s="34"/>
      <c r="D103" s="34"/>
      <c r="E103" s="34"/>
      <c r="F103" s="34"/>
      <c r="G103" s="7"/>
      <c r="H103" s="35"/>
      <c r="I103" s="35"/>
      <c r="J103" s="7"/>
      <c r="K103" s="35"/>
      <c r="L103" s="7"/>
      <c r="M103" s="21" t="str">
        <f aca="false">IF(C103="","",IFERROR(I103/H103,0))</f>
        <v/>
      </c>
      <c r="N103" s="9" t="str">
        <f aca="false">IF(C103="","",IFERROR(J103/I103,0))</f>
        <v/>
      </c>
      <c r="O103" s="21" t="str">
        <f aca="false">IF(C103="","",IFERROR(J103/L103,0))</f>
        <v/>
      </c>
      <c r="P103" s="22" t="str">
        <f aca="false">IF(C103="","",IFERROR(L103/J103,0))</f>
        <v/>
      </c>
      <c r="Q103" s="34"/>
      <c r="R103" s="4" t="str">
        <f aca="false">IF(C103="","",B103&amp;" | "&amp;C103&amp;" | "&amp;D103)</f>
        <v/>
      </c>
      <c r="S103" s="4" t="str">
        <f aca="false">IF(C103="","",R103&amp;"#"&amp;A103)</f>
        <v/>
      </c>
    </row>
    <row r="104" customFormat="false" ht="15" hidden="false" customHeight="false" outlineLevel="0" collapsed="false">
      <c r="A104" s="33"/>
      <c r="B104" s="34"/>
      <c r="C104" s="34"/>
      <c r="D104" s="34"/>
      <c r="E104" s="34"/>
      <c r="F104" s="34"/>
      <c r="G104" s="7"/>
      <c r="H104" s="35"/>
      <c r="I104" s="35"/>
      <c r="J104" s="7"/>
      <c r="K104" s="35"/>
      <c r="L104" s="7"/>
      <c r="M104" s="21" t="str">
        <f aca="false">IF(C104="","",IFERROR(I104/H104,0))</f>
        <v/>
      </c>
      <c r="N104" s="9" t="str">
        <f aca="false">IF(C104="","",IFERROR(J104/I104,0))</f>
        <v/>
      </c>
      <c r="O104" s="21" t="str">
        <f aca="false">IF(C104="","",IFERROR(J104/L104,0))</f>
        <v/>
      </c>
      <c r="P104" s="22" t="str">
        <f aca="false">IF(C104="","",IFERROR(L104/J104,0))</f>
        <v/>
      </c>
      <c r="Q104" s="34"/>
      <c r="R104" s="4" t="str">
        <f aca="false">IF(C104="","",B104&amp;" | "&amp;C104&amp;" | "&amp;D104)</f>
        <v/>
      </c>
      <c r="S104" s="4" t="str">
        <f aca="false">IF(C104="","",R104&amp;"#"&amp;A104)</f>
        <v/>
      </c>
    </row>
    <row r="105" customFormat="false" ht="15" hidden="false" customHeight="false" outlineLevel="0" collapsed="false">
      <c r="A105" s="33"/>
      <c r="B105" s="34"/>
      <c r="C105" s="34"/>
      <c r="D105" s="34"/>
      <c r="E105" s="34"/>
      <c r="F105" s="34"/>
      <c r="G105" s="7"/>
      <c r="H105" s="35"/>
      <c r="I105" s="35"/>
      <c r="J105" s="7"/>
      <c r="K105" s="35"/>
      <c r="L105" s="7"/>
      <c r="M105" s="21" t="str">
        <f aca="false">IF(C105="","",IFERROR(I105/H105,0))</f>
        <v/>
      </c>
      <c r="N105" s="9" t="str">
        <f aca="false">IF(C105="","",IFERROR(J105/I105,0))</f>
        <v/>
      </c>
      <c r="O105" s="21" t="str">
        <f aca="false">IF(C105="","",IFERROR(J105/L105,0))</f>
        <v/>
      </c>
      <c r="P105" s="22" t="str">
        <f aca="false">IF(C105="","",IFERROR(L105/J105,0))</f>
        <v/>
      </c>
      <c r="Q105" s="34"/>
      <c r="R105" s="4" t="str">
        <f aca="false">IF(C105="","",B105&amp;" | "&amp;C105&amp;" | "&amp;D105)</f>
        <v/>
      </c>
      <c r="S105" s="4" t="str">
        <f aca="false">IF(C105="","",R105&amp;"#"&amp;A105)</f>
        <v/>
      </c>
    </row>
    <row r="106" customFormat="false" ht="15" hidden="false" customHeight="false" outlineLevel="0" collapsed="false">
      <c r="A106" s="33"/>
      <c r="B106" s="34"/>
      <c r="C106" s="34"/>
      <c r="D106" s="34"/>
      <c r="E106" s="34"/>
      <c r="F106" s="34"/>
      <c r="G106" s="7"/>
      <c r="H106" s="35"/>
      <c r="I106" s="35"/>
      <c r="J106" s="7"/>
      <c r="K106" s="35"/>
      <c r="L106" s="7"/>
      <c r="M106" s="21" t="str">
        <f aca="false">IF(C106="","",IFERROR(I106/H106,0))</f>
        <v/>
      </c>
      <c r="N106" s="9" t="str">
        <f aca="false">IF(C106="","",IFERROR(J106/I106,0))</f>
        <v/>
      </c>
      <c r="O106" s="21" t="str">
        <f aca="false">IF(C106="","",IFERROR(J106/L106,0))</f>
        <v/>
      </c>
      <c r="P106" s="22" t="str">
        <f aca="false">IF(C106="","",IFERROR(L106/J106,0))</f>
        <v/>
      </c>
      <c r="Q106" s="34"/>
      <c r="R106" s="4" t="str">
        <f aca="false">IF(C106="","",B106&amp;" | "&amp;C106&amp;" | "&amp;D106)</f>
        <v/>
      </c>
      <c r="S106" s="4" t="str">
        <f aca="false">IF(C106="","",R106&amp;"#"&amp;A106)</f>
        <v/>
      </c>
    </row>
    <row r="107" customFormat="false" ht="15" hidden="false" customHeight="false" outlineLevel="0" collapsed="false">
      <c r="A107" s="33"/>
      <c r="B107" s="34"/>
      <c r="C107" s="34"/>
      <c r="D107" s="34"/>
      <c r="E107" s="34"/>
      <c r="F107" s="34"/>
      <c r="G107" s="7"/>
      <c r="H107" s="35"/>
      <c r="I107" s="35"/>
      <c r="J107" s="7"/>
      <c r="K107" s="35"/>
      <c r="L107" s="7"/>
      <c r="M107" s="21" t="str">
        <f aca="false">IF(C107="","",IFERROR(I107/H107,0))</f>
        <v/>
      </c>
      <c r="N107" s="9" t="str">
        <f aca="false">IF(C107="","",IFERROR(J107/I107,0))</f>
        <v/>
      </c>
      <c r="O107" s="21" t="str">
        <f aca="false">IF(C107="","",IFERROR(J107/L107,0))</f>
        <v/>
      </c>
      <c r="P107" s="22" t="str">
        <f aca="false">IF(C107="","",IFERROR(L107/J107,0))</f>
        <v/>
      </c>
      <c r="Q107" s="34"/>
      <c r="R107" s="4" t="str">
        <f aca="false">IF(C107="","",B107&amp;" | "&amp;C107&amp;" | "&amp;D107)</f>
        <v/>
      </c>
      <c r="S107" s="4" t="str">
        <f aca="false">IF(C107="","",R107&amp;"#"&amp;A107)</f>
        <v/>
      </c>
    </row>
    <row r="108" customFormat="false" ht="15" hidden="false" customHeight="false" outlineLevel="0" collapsed="false">
      <c r="A108" s="33"/>
      <c r="B108" s="34"/>
      <c r="C108" s="34"/>
      <c r="D108" s="34"/>
      <c r="E108" s="34"/>
      <c r="F108" s="34"/>
      <c r="G108" s="7"/>
      <c r="H108" s="35"/>
      <c r="I108" s="35"/>
      <c r="J108" s="7"/>
      <c r="K108" s="35"/>
      <c r="L108" s="7"/>
      <c r="M108" s="21" t="str">
        <f aca="false">IF(C108="","",IFERROR(I108/H108,0))</f>
        <v/>
      </c>
      <c r="N108" s="9" t="str">
        <f aca="false">IF(C108="","",IFERROR(J108/I108,0))</f>
        <v/>
      </c>
      <c r="O108" s="21" t="str">
        <f aca="false">IF(C108="","",IFERROR(J108/L108,0))</f>
        <v/>
      </c>
      <c r="P108" s="22" t="str">
        <f aca="false">IF(C108="","",IFERROR(L108/J108,0))</f>
        <v/>
      </c>
      <c r="Q108" s="34"/>
      <c r="R108" s="4" t="str">
        <f aca="false">IF(C108="","",B108&amp;" | "&amp;C108&amp;" | "&amp;D108)</f>
        <v/>
      </c>
      <c r="S108" s="4" t="str">
        <f aca="false">IF(C108="","",R108&amp;"#"&amp;A108)</f>
        <v/>
      </c>
    </row>
    <row r="109" customFormat="false" ht="15" hidden="false" customHeight="false" outlineLevel="0" collapsed="false">
      <c r="A109" s="33"/>
      <c r="B109" s="34"/>
      <c r="C109" s="34"/>
      <c r="D109" s="34"/>
      <c r="E109" s="34"/>
      <c r="F109" s="34"/>
      <c r="G109" s="7"/>
      <c r="H109" s="35"/>
      <c r="I109" s="35"/>
      <c r="J109" s="7"/>
      <c r="K109" s="35"/>
      <c r="L109" s="7"/>
      <c r="M109" s="21" t="str">
        <f aca="false">IF(C109="","",IFERROR(I109/H109,0))</f>
        <v/>
      </c>
      <c r="N109" s="9" t="str">
        <f aca="false">IF(C109="","",IFERROR(J109/I109,0))</f>
        <v/>
      </c>
      <c r="O109" s="21" t="str">
        <f aca="false">IF(C109="","",IFERROR(J109/L109,0))</f>
        <v/>
      </c>
      <c r="P109" s="22" t="str">
        <f aca="false">IF(C109="","",IFERROR(L109/J109,0))</f>
        <v/>
      </c>
      <c r="Q109" s="34"/>
      <c r="R109" s="4" t="str">
        <f aca="false">IF(C109="","",B109&amp;" | "&amp;C109&amp;" | "&amp;D109)</f>
        <v/>
      </c>
      <c r="S109" s="4" t="str">
        <f aca="false">IF(C109="","",R109&amp;"#"&amp;A109)</f>
        <v/>
      </c>
    </row>
    <row r="110" customFormat="false" ht="15" hidden="false" customHeight="false" outlineLevel="0" collapsed="false">
      <c r="A110" s="33"/>
      <c r="B110" s="34"/>
      <c r="C110" s="34"/>
      <c r="D110" s="34"/>
      <c r="E110" s="34"/>
      <c r="F110" s="34"/>
      <c r="G110" s="7"/>
      <c r="H110" s="35"/>
      <c r="I110" s="35"/>
      <c r="J110" s="7"/>
      <c r="K110" s="35"/>
      <c r="L110" s="7"/>
      <c r="M110" s="21" t="str">
        <f aca="false">IF(C110="","",IFERROR(I110/H110,0))</f>
        <v/>
      </c>
      <c r="N110" s="9" t="str">
        <f aca="false">IF(C110="","",IFERROR(J110/I110,0))</f>
        <v/>
      </c>
      <c r="O110" s="21" t="str">
        <f aca="false">IF(C110="","",IFERROR(J110/L110,0))</f>
        <v/>
      </c>
      <c r="P110" s="22" t="str">
        <f aca="false">IF(C110="","",IFERROR(L110/J110,0))</f>
        <v/>
      </c>
      <c r="Q110" s="34"/>
      <c r="R110" s="4" t="str">
        <f aca="false">IF(C110="","",B110&amp;" | "&amp;C110&amp;" | "&amp;D110)</f>
        <v/>
      </c>
      <c r="S110" s="4" t="str">
        <f aca="false">IF(C110="","",R110&amp;"#"&amp;A110)</f>
        <v/>
      </c>
    </row>
    <row r="111" customFormat="false" ht="15" hidden="false" customHeight="false" outlineLevel="0" collapsed="false">
      <c r="A111" s="33"/>
      <c r="B111" s="34"/>
      <c r="C111" s="34"/>
      <c r="D111" s="34"/>
      <c r="E111" s="34"/>
      <c r="F111" s="34"/>
      <c r="G111" s="7"/>
      <c r="H111" s="35"/>
      <c r="I111" s="35"/>
      <c r="J111" s="7"/>
      <c r="K111" s="35"/>
      <c r="L111" s="7"/>
      <c r="M111" s="21" t="str">
        <f aca="false">IF(C111="","",IFERROR(I111/H111,0))</f>
        <v/>
      </c>
      <c r="N111" s="9" t="str">
        <f aca="false">IF(C111="","",IFERROR(J111/I111,0))</f>
        <v/>
      </c>
      <c r="O111" s="21" t="str">
        <f aca="false">IF(C111="","",IFERROR(J111/L111,0))</f>
        <v/>
      </c>
      <c r="P111" s="22" t="str">
        <f aca="false">IF(C111="","",IFERROR(L111/J111,0))</f>
        <v/>
      </c>
      <c r="Q111" s="34"/>
      <c r="R111" s="4" t="str">
        <f aca="false">IF(C111="","",B111&amp;" | "&amp;C111&amp;" | "&amp;D111)</f>
        <v/>
      </c>
      <c r="S111" s="4" t="str">
        <f aca="false">IF(C111="","",R111&amp;"#"&amp;A111)</f>
        <v/>
      </c>
    </row>
    <row r="112" customFormat="false" ht="15" hidden="false" customHeight="false" outlineLevel="0" collapsed="false">
      <c r="A112" s="33"/>
      <c r="B112" s="34"/>
      <c r="C112" s="34"/>
      <c r="D112" s="34"/>
      <c r="E112" s="34"/>
      <c r="F112" s="34"/>
      <c r="G112" s="7"/>
      <c r="H112" s="35"/>
      <c r="I112" s="35"/>
      <c r="J112" s="7"/>
      <c r="K112" s="35"/>
      <c r="L112" s="7"/>
      <c r="M112" s="21" t="str">
        <f aca="false">IF(C112="","",IFERROR(I112/H112,0))</f>
        <v/>
      </c>
      <c r="N112" s="9" t="str">
        <f aca="false">IF(C112="","",IFERROR(J112/I112,0))</f>
        <v/>
      </c>
      <c r="O112" s="21" t="str">
        <f aca="false">IF(C112="","",IFERROR(J112/L112,0))</f>
        <v/>
      </c>
      <c r="P112" s="22" t="str">
        <f aca="false">IF(C112="","",IFERROR(L112/J112,0))</f>
        <v/>
      </c>
      <c r="Q112" s="34"/>
      <c r="R112" s="4" t="str">
        <f aca="false">IF(C112="","",B112&amp;" | "&amp;C112&amp;" | "&amp;D112)</f>
        <v/>
      </c>
      <c r="S112" s="4" t="str">
        <f aca="false">IF(C112="","",R112&amp;"#"&amp;A112)</f>
        <v/>
      </c>
    </row>
    <row r="113" customFormat="false" ht="15" hidden="false" customHeight="false" outlineLevel="0" collapsed="false">
      <c r="A113" s="33"/>
      <c r="B113" s="34"/>
      <c r="C113" s="34"/>
      <c r="D113" s="34"/>
      <c r="E113" s="34"/>
      <c r="F113" s="34"/>
      <c r="G113" s="7"/>
      <c r="H113" s="35"/>
      <c r="I113" s="35"/>
      <c r="J113" s="7"/>
      <c r="K113" s="35"/>
      <c r="L113" s="7"/>
      <c r="M113" s="21" t="str">
        <f aca="false">IF(C113="","",IFERROR(I113/H113,0))</f>
        <v/>
      </c>
      <c r="N113" s="9" t="str">
        <f aca="false">IF(C113="","",IFERROR(J113/I113,0))</f>
        <v/>
      </c>
      <c r="O113" s="21" t="str">
        <f aca="false">IF(C113="","",IFERROR(J113/L113,0))</f>
        <v/>
      </c>
      <c r="P113" s="22" t="str">
        <f aca="false">IF(C113="","",IFERROR(L113/J113,0))</f>
        <v/>
      </c>
      <c r="Q113" s="34"/>
      <c r="R113" s="4" t="str">
        <f aca="false">IF(C113="","",B113&amp;" | "&amp;C113&amp;" | "&amp;D113)</f>
        <v/>
      </c>
      <c r="S113" s="4" t="str">
        <f aca="false">IF(C113="","",R113&amp;"#"&amp;A113)</f>
        <v/>
      </c>
    </row>
    <row r="114" customFormat="false" ht="15" hidden="false" customHeight="false" outlineLevel="0" collapsed="false">
      <c r="A114" s="33"/>
      <c r="B114" s="34"/>
      <c r="C114" s="34"/>
      <c r="D114" s="34"/>
      <c r="E114" s="34"/>
      <c r="F114" s="34"/>
      <c r="G114" s="7"/>
      <c r="H114" s="35"/>
      <c r="I114" s="35"/>
      <c r="J114" s="7"/>
      <c r="K114" s="35"/>
      <c r="L114" s="7"/>
      <c r="M114" s="21" t="str">
        <f aca="false">IF(C114="","",IFERROR(I114/H114,0))</f>
        <v/>
      </c>
      <c r="N114" s="9" t="str">
        <f aca="false">IF(C114="","",IFERROR(J114/I114,0))</f>
        <v/>
      </c>
      <c r="O114" s="21" t="str">
        <f aca="false">IF(C114="","",IFERROR(J114/L114,0))</f>
        <v/>
      </c>
      <c r="P114" s="22" t="str">
        <f aca="false">IF(C114="","",IFERROR(L114/J114,0))</f>
        <v/>
      </c>
      <c r="Q114" s="34"/>
      <c r="R114" s="4" t="str">
        <f aca="false">IF(C114="","",B114&amp;" | "&amp;C114&amp;" | "&amp;D114)</f>
        <v/>
      </c>
      <c r="S114" s="4" t="str">
        <f aca="false">IF(C114="","",R114&amp;"#"&amp;A114)</f>
        <v/>
      </c>
    </row>
    <row r="115" customFormat="false" ht="15" hidden="false" customHeight="false" outlineLevel="0" collapsed="false">
      <c r="A115" s="33"/>
      <c r="B115" s="34"/>
      <c r="C115" s="34"/>
      <c r="D115" s="34"/>
      <c r="E115" s="34"/>
      <c r="F115" s="34"/>
      <c r="G115" s="7"/>
      <c r="H115" s="35"/>
      <c r="I115" s="35"/>
      <c r="J115" s="7"/>
      <c r="K115" s="35"/>
      <c r="L115" s="7"/>
      <c r="M115" s="21" t="str">
        <f aca="false">IF(C115="","",IFERROR(I115/H115,0))</f>
        <v/>
      </c>
      <c r="N115" s="9" t="str">
        <f aca="false">IF(C115="","",IFERROR(J115/I115,0))</f>
        <v/>
      </c>
      <c r="O115" s="21" t="str">
        <f aca="false">IF(C115="","",IFERROR(J115/L115,0))</f>
        <v/>
      </c>
      <c r="P115" s="22" t="str">
        <f aca="false">IF(C115="","",IFERROR(L115/J115,0))</f>
        <v/>
      </c>
      <c r="Q115" s="34"/>
      <c r="R115" s="4" t="str">
        <f aca="false">IF(C115="","",B115&amp;" | "&amp;C115&amp;" | "&amp;D115)</f>
        <v/>
      </c>
      <c r="S115" s="4" t="str">
        <f aca="false">IF(C115="","",R115&amp;"#"&amp;A115)</f>
        <v/>
      </c>
    </row>
    <row r="116" customFormat="false" ht="15" hidden="false" customHeight="false" outlineLevel="0" collapsed="false">
      <c r="A116" s="33"/>
      <c r="B116" s="34"/>
      <c r="C116" s="34"/>
      <c r="D116" s="34"/>
      <c r="E116" s="34"/>
      <c r="F116" s="34"/>
      <c r="G116" s="7"/>
      <c r="H116" s="35"/>
      <c r="I116" s="35"/>
      <c r="J116" s="7"/>
      <c r="K116" s="35"/>
      <c r="L116" s="7"/>
      <c r="M116" s="21" t="str">
        <f aca="false">IF(C116="","",IFERROR(I116/H116,0))</f>
        <v/>
      </c>
      <c r="N116" s="9" t="str">
        <f aca="false">IF(C116="","",IFERROR(J116/I116,0))</f>
        <v/>
      </c>
      <c r="O116" s="21" t="str">
        <f aca="false">IF(C116="","",IFERROR(J116/L116,0))</f>
        <v/>
      </c>
      <c r="P116" s="22" t="str">
        <f aca="false">IF(C116="","",IFERROR(L116/J116,0))</f>
        <v/>
      </c>
      <c r="Q116" s="34"/>
      <c r="R116" s="4" t="str">
        <f aca="false">IF(C116="","",B116&amp;" | "&amp;C116&amp;" | "&amp;D116)</f>
        <v/>
      </c>
      <c r="S116" s="4" t="str">
        <f aca="false">IF(C116="","",R116&amp;"#"&amp;A116)</f>
        <v/>
      </c>
    </row>
    <row r="117" customFormat="false" ht="15" hidden="false" customHeight="false" outlineLevel="0" collapsed="false">
      <c r="A117" s="33"/>
      <c r="B117" s="34"/>
      <c r="C117" s="34"/>
      <c r="D117" s="34"/>
      <c r="E117" s="34"/>
      <c r="F117" s="34"/>
      <c r="G117" s="7"/>
      <c r="H117" s="35"/>
      <c r="I117" s="35"/>
      <c r="J117" s="7"/>
      <c r="K117" s="35"/>
      <c r="L117" s="7"/>
      <c r="M117" s="21" t="str">
        <f aca="false">IF(C117="","",IFERROR(I117/H117,0))</f>
        <v/>
      </c>
      <c r="N117" s="9" t="str">
        <f aca="false">IF(C117="","",IFERROR(J117/I117,0))</f>
        <v/>
      </c>
      <c r="O117" s="21" t="str">
        <f aca="false">IF(C117="","",IFERROR(J117/L117,0))</f>
        <v/>
      </c>
      <c r="P117" s="22" t="str">
        <f aca="false">IF(C117="","",IFERROR(L117/J117,0))</f>
        <v/>
      </c>
      <c r="Q117" s="34"/>
      <c r="R117" s="4" t="str">
        <f aca="false">IF(C117="","",B117&amp;" | "&amp;C117&amp;" | "&amp;D117)</f>
        <v/>
      </c>
      <c r="S117" s="4" t="str">
        <f aca="false">IF(C117="","",R117&amp;"#"&amp;A117)</f>
        <v/>
      </c>
    </row>
    <row r="118" customFormat="false" ht="15" hidden="false" customHeight="false" outlineLevel="0" collapsed="false">
      <c r="A118" s="33"/>
      <c r="B118" s="34"/>
      <c r="C118" s="34"/>
      <c r="D118" s="34"/>
      <c r="E118" s="34"/>
      <c r="F118" s="34"/>
      <c r="G118" s="7"/>
      <c r="H118" s="35"/>
      <c r="I118" s="35"/>
      <c r="J118" s="7"/>
      <c r="K118" s="35"/>
      <c r="L118" s="7"/>
      <c r="M118" s="21" t="str">
        <f aca="false">IF(C118="","",IFERROR(I118/H118,0))</f>
        <v/>
      </c>
      <c r="N118" s="9" t="str">
        <f aca="false">IF(C118="","",IFERROR(J118/I118,0))</f>
        <v/>
      </c>
      <c r="O118" s="21" t="str">
        <f aca="false">IF(C118="","",IFERROR(J118/L118,0))</f>
        <v/>
      </c>
      <c r="P118" s="22" t="str">
        <f aca="false">IF(C118="","",IFERROR(L118/J118,0))</f>
        <v/>
      </c>
      <c r="Q118" s="34"/>
      <c r="R118" s="4" t="str">
        <f aca="false">IF(C118="","",B118&amp;" | "&amp;C118&amp;" | "&amp;D118)</f>
        <v/>
      </c>
      <c r="S118" s="4" t="str">
        <f aca="false">IF(C118="","",R118&amp;"#"&amp;A118)</f>
        <v/>
      </c>
    </row>
    <row r="119" customFormat="false" ht="15" hidden="false" customHeight="false" outlineLevel="0" collapsed="false">
      <c r="A119" s="33"/>
      <c r="B119" s="34"/>
      <c r="C119" s="34"/>
      <c r="D119" s="34"/>
      <c r="E119" s="34"/>
      <c r="F119" s="34"/>
      <c r="G119" s="7"/>
      <c r="H119" s="35"/>
      <c r="I119" s="35"/>
      <c r="J119" s="7"/>
      <c r="K119" s="35"/>
      <c r="L119" s="7"/>
      <c r="M119" s="21" t="str">
        <f aca="false">IF(C119="","",IFERROR(I119/H119,0))</f>
        <v/>
      </c>
      <c r="N119" s="9" t="str">
        <f aca="false">IF(C119="","",IFERROR(J119/I119,0))</f>
        <v/>
      </c>
      <c r="O119" s="21" t="str">
        <f aca="false">IF(C119="","",IFERROR(J119/L119,0))</f>
        <v/>
      </c>
      <c r="P119" s="22" t="str">
        <f aca="false">IF(C119="","",IFERROR(L119/J119,0))</f>
        <v/>
      </c>
      <c r="Q119" s="34"/>
      <c r="R119" s="4" t="str">
        <f aca="false">IF(C119="","",B119&amp;" | "&amp;C119&amp;" | "&amp;D119)</f>
        <v/>
      </c>
      <c r="S119" s="4" t="str">
        <f aca="false">IF(C119="","",R119&amp;"#"&amp;A119)</f>
        <v/>
      </c>
    </row>
    <row r="120" customFormat="false" ht="15" hidden="false" customHeight="false" outlineLevel="0" collapsed="false">
      <c r="A120" s="33"/>
      <c r="B120" s="34"/>
      <c r="C120" s="34"/>
      <c r="D120" s="34"/>
      <c r="E120" s="34"/>
      <c r="F120" s="34"/>
      <c r="G120" s="7"/>
      <c r="H120" s="35"/>
      <c r="I120" s="35"/>
      <c r="J120" s="7"/>
      <c r="K120" s="35"/>
      <c r="L120" s="7"/>
      <c r="M120" s="21" t="str">
        <f aca="false">IF(C120="","",IFERROR(I120/H120,0))</f>
        <v/>
      </c>
      <c r="N120" s="9" t="str">
        <f aca="false">IF(C120="","",IFERROR(J120/I120,0))</f>
        <v/>
      </c>
      <c r="O120" s="21" t="str">
        <f aca="false">IF(C120="","",IFERROR(J120/L120,0))</f>
        <v/>
      </c>
      <c r="P120" s="22" t="str">
        <f aca="false">IF(C120="","",IFERROR(L120/J120,0))</f>
        <v/>
      </c>
      <c r="Q120" s="34"/>
      <c r="R120" s="4" t="str">
        <f aca="false">IF(C120="","",B120&amp;" | "&amp;C120&amp;" | "&amp;D120)</f>
        <v/>
      </c>
      <c r="S120" s="4" t="str">
        <f aca="false">IF(C120="","",R120&amp;"#"&amp;A120)</f>
        <v/>
      </c>
    </row>
    <row r="121" customFormat="false" ht="15" hidden="false" customHeight="false" outlineLevel="0" collapsed="false">
      <c r="A121" s="33"/>
      <c r="B121" s="34"/>
      <c r="C121" s="34"/>
      <c r="D121" s="34"/>
      <c r="E121" s="34"/>
      <c r="F121" s="34"/>
      <c r="G121" s="7"/>
      <c r="H121" s="35"/>
      <c r="I121" s="35"/>
      <c r="J121" s="7"/>
      <c r="K121" s="35"/>
      <c r="L121" s="7"/>
      <c r="M121" s="21" t="str">
        <f aca="false">IF(C121="","",IFERROR(I121/H121,0))</f>
        <v/>
      </c>
      <c r="N121" s="9" t="str">
        <f aca="false">IF(C121="","",IFERROR(J121/I121,0))</f>
        <v/>
      </c>
      <c r="O121" s="21" t="str">
        <f aca="false">IF(C121="","",IFERROR(J121/L121,0))</f>
        <v/>
      </c>
      <c r="P121" s="22" t="str">
        <f aca="false">IF(C121="","",IFERROR(L121/J121,0))</f>
        <v/>
      </c>
      <c r="Q121" s="34"/>
      <c r="R121" s="4" t="str">
        <f aca="false">IF(C121="","",B121&amp;" | "&amp;C121&amp;" | "&amp;D121)</f>
        <v/>
      </c>
      <c r="S121" s="4" t="str">
        <f aca="false">IF(C121="","",R121&amp;"#"&amp;A121)</f>
        <v/>
      </c>
    </row>
    <row r="122" customFormat="false" ht="15" hidden="false" customHeight="false" outlineLevel="0" collapsed="false">
      <c r="A122" s="33"/>
      <c r="B122" s="34"/>
      <c r="C122" s="34"/>
      <c r="D122" s="34"/>
      <c r="E122" s="34"/>
      <c r="F122" s="34"/>
      <c r="G122" s="7"/>
      <c r="H122" s="35"/>
      <c r="I122" s="35"/>
      <c r="J122" s="7"/>
      <c r="K122" s="35"/>
      <c r="L122" s="7"/>
      <c r="M122" s="21" t="str">
        <f aca="false">IF(C122="","",IFERROR(I122/H122,0))</f>
        <v/>
      </c>
      <c r="N122" s="9" t="str">
        <f aca="false">IF(C122="","",IFERROR(J122/I122,0))</f>
        <v/>
      </c>
      <c r="O122" s="21" t="str">
        <f aca="false">IF(C122="","",IFERROR(J122/L122,0))</f>
        <v/>
      </c>
      <c r="P122" s="22" t="str">
        <f aca="false">IF(C122="","",IFERROR(L122/J122,0))</f>
        <v/>
      </c>
      <c r="Q122" s="34"/>
      <c r="R122" s="4" t="str">
        <f aca="false">IF(C122="","",B122&amp;" | "&amp;C122&amp;" | "&amp;D122)</f>
        <v/>
      </c>
      <c r="S122" s="4" t="str">
        <f aca="false">IF(C122="","",R122&amp;"#"&amp;A122)</f>
        <v/>
      </c>
    </row>
    <row r="123" customFormat="false" ht="15" hidden="false" customHeight="false" outlineLevel="0" collapsed="false">
      <c r="A123" s="33"/>
      <c r="B123" s="34"/>
      <c r="C123" s="34"/>
      <c r="D123" s="34"/>
      <c r="E123" s="34"/>
      <c r="F123" s="34"/>
      <c r="G123" s="7"/>
      <c r="H123" s="35"/>
      <c r="I123" s="35"/>
      <c r="J123" s="7"/>
      <c r="K123" s="35"/>
      <c r="L123" s="7"/>
      <c r="M123" s="21" t="str">
        <f aca="false">IF(C123="","",IFERROR(I123/H123,0))</f>
        <v/>
      </c>
      <c r="N123" s="9" t="str">
        <f aca="false">IF(C123="","",IFERROR(J123/I123,0))</f>
        <v/>
      </c>
      <c r="O123" s="21" t="str">
        <f aca="false">IF(C123="","",IFERROR(J123/L123,0))</f>
        <v/>
      </c>
      <c r="P123" s="22" t="str">
        <f aca="false">IF(C123="","",IFERROR(L123/J123,0))</f>
        <v/>
      </c>
      <c r="Q123" s="34"/>
      <c r="R123" s="4" t="str">
        <f aca="false">IF(C123="","",B123&amp;" | "&amp;C123&amp;" | "&amp;D123)</f>
        <v/>
      </c>
      <c r="S123" s="4" t="str">
        <f aca="false">IF(C123="","",R123&amp;"#"&amp;A123)</f>
        <v/>
      </c>
    </row>
    <row r="124" customFormat="false" ht="15" hidden="false" customHeight="false" outlineLevel="0" collapsed="false">
      <c r="A124" s="33"/>
      <c r="B124" s="34"/>
      <c r="C124" s="34"/>
      <c r="D124" s="34"/>
      <c r="E124" s="34"/>
      <c r="F124" s="34"/>
      <c r="G124" s="7"/>
      <c r="H124" s="35"/>
      <c r="I124" s="35"/>
      <c r="J124" s="7"/>
      <c r="K124" s="35"/>
      <c r="L124" s="7"/>
      <c r="M124" s="21" t="str">
        <f aca="false">IF(C124="","",IFERROR(I124/H124,0))</f>
        <v/>
      </c>
      <c r="N124" s="9" t="str">
        <f aca="false">IF(C124="","",IFERROR(J124/I124,0))</f>
        <v/>
      </c>
      <c r="O124" s="21" t="str">
        <f aca="false">IF(C124="","",IFERROR(J124/L124,0))</f>
        <v/>
      </c>
      <c r="P124" s="22" t="str">
        <f aca="false">IF(C124="","",IFERROR(L124/J124,0))</f>
        <v/>
      </c>
      <c r="Q124" s="34"/>
      <c r="R124" s="4" t="str">
        <f aca="false">IF(C124="","",B124&amp;" | "&amp;C124&amp;" | "&amp;D124)</f>
        <v/>
      </c>
      <c r="S124" s="4" t="str">
        <f aca="false">IF(C124="","",R124&amp;"#"&amp;A124)</f>
        <v/>
      </c>
    </row>
    <row r="125" customFormat="false" ht="15" hidden="false" customHeight="false" outlineLevel="0" collapsed="false">
      <c r="A125" s="33"/>
      <c r="B125" s="34"/>
      <c r="C125" s="34"/>
      <c r="D125" s="34"/>
      <c r="E125" s="34"/>
      <c r="F125" s="34"/>
      <c r="G125" s="7"/>
      <c r="H125" s="35"/>
      <c r="I125" s="35"/>
      <c r="J125" s="7"/>
      <c r="K125" s="35"/>
      <c r="L125" s="7"/>
      <c r="M125" s="21" t="str">
        <f aca="false">IF(C125="","",IFERROR(I125/H125,0))</f>
        <v/>
      </c>
      <c r="N125" s="9" t="str">
        <f aca="false">IF(C125="","",IFERROR(J125/I125,0))</f>
        <v/>
      </c>
      <c r="O125" s="21" t="str">
        <f aca="false">IF(C125="","",IFERROR(J125/L125,0))</f>
        <v/>
      </c>
      <c r="P125" s="22" t="str">
        <f aca="false">IF(C125="","",IFERROR(L125/J125,0))</f>
        <v/>
      </c>
      <c r="Q125" s="34"/>
      <c r="R125" s="4" t="str">
        <f aca="false">IF(C125="","",B125&amp;" | "&amp;C125&amp;" | "&amp;D125)</f>
        <v/>
      </c>
      <c r="S125" s="4" t="str">
        <f aca="false">IF(C125="","",R125&amp;"#"&amp;A125)</f>
        <v/>
      </c>
    </row>
    <row r="126" customFormat="false" ht="15" hidden="false" customHeight="false" outlineLevel="0" collapsed="false">
      <c r="A126" s="33"/>
      <c r="B126" s="34"/>
      <c r="C126" s="34"/>
      <c r="D126" s="34"/>
      <c r="E126" s="34"/>
      <c r="F126" s="34"/>
      <c r="G126" s="7"/>
      <c r="H126" s="35"/>
      <c r="I126" s="35"/>
      <c r="J126" s="7"/>
      <c r="K126" s="35"/>
      <c r="L126" s="7"/>
      <c r="M126" s="21" t="str">
        <f aca="false">IF(C126="","",IFERROR(I126/H126,0))</f>
        <v/>
      </c>
      <c r="N126" s="9" t="str">
        <f aca="false">IF(C126="","",IFERROR(J126/I126,0))</f>
        <v/>
      </c>
      <c r="O126" s="21" t="str">
        <f aca="false">IF(C126="","",IFERROR(J126/L126,0))</f>
        <v/>
      </c>
      <c r="P126" s="22" t="str">
        <f aca="false">IF(C126="","",IFERROR(L126/J126,0))</f>
        <v/>
      </c>
      <c r="Q126" s="34"/>
      <c r="R126" s="4" t="str">
        <f aca="false">IF(C126="","",B126&amp;" | "&amp;C126&amp;" | "&amp;D126)</f>
        <v/>
      </c>
      <c r="S126" s="4" t="str">
        <f aca="false">IF(C126="","",R126&amp;"#"&amp;A126)</f>
        <v/>
      </c>
    </row>
    <row r="127" customFormat="false" ht="15" hidden="false" customHeight="false" outlineLevel="0" collapsed="false">
      <c r="A127" s="33"/>
      <c r="B127" s="34"/>
      <c r="C127" s="34"/>
      <c r="D127" s="34"/>
      <c r="E127" s="34"/>
      <c r="F127" s="34"/>
      <c r="G127" s="7"/>
      <c r="H127" s="35"/>
      <c r="I127" s="35"/>
      <c r="J127" s="7"/>
      <c r="K127" s="35"/>
      <c r="L127" s="7"/>
      <c r="M127" s="21" t="str">
        <f aca="false">IF(C127="","",IFERROR(I127/H127,0))</f>
        <v/>
      </c>
      <c r="N127" s="9" t="str">
        <f aca="false">IF(C127="","",IFERROR(J127/I127,0))</f>
        <v/>
      </c>
      <c r="O127" s="21" t="str">
        <f aca="false">IF(C127="","",IFERROR(J127/L127,0))</f>
        <v/>
      </c>
      <c r="P127" s="22" t="str">
        <f aca="false">IF(C127="","",IFERROR(L127/J127,0))</f>
        <v/>
      </c>
      <c r="Q127" s="34"/>
      <c r="R127" s="4" t="str">
        <f aca="false">IF(C127="","",B127&amp;" | "&amp;C127&amp;" | "&amp;D127)</f>
        <v/>
      </c>
      <c r="S127" s="4" t="str">
        <f aca="false">IF(C127="","",R127&amp;"#"&amp;A127)</f>
        <v/>
      </c>
    </row>
    <row r="128" customFormat="false" ht="15" hidden="false" customHeight="false" outlineLevel="0" collapsed="false">
      <c r="A128" s="33"/>
      <c r="B128" s="34"/>
      <c r="C128" s="34"/>
      <c r="D128" s="34"/>
      <c r="E128" s="34"/>
      <c r="F128" s="34"/>
      <c r="G128" s="7"/>
      <c r="H128" s="35"/>
      <c r="I128" s="35"/>
      <c r="J128" s="7"/>
      <c r="K128" s="35"/>
      <c r="L128" s="7"/>
      <c r="M128" s="21" t="str">
        <f aca="false">IF(C128="","",IFERROR(I128/H128,0))</f>
        <v/>
      </c>
      <c r="N128" s="9" t="str">
        <f aca="false">IF(C128="","",IFERROR(J128/I128,0))</f>
        <v/>
      </c>
      <c r="O128" s="21" t="str">
        <f aca="false">IF(C128="","",IFERROR(J128/L128,0))</f>
        <v/>
      </c>
      <c r="P128" s="22" t="str">
        <f aca="false">IF(C128="","",IFERROR(L128/J128,0))</f>
        <v/>
      </c>
      <c r="Q128" s="34"/>
      <c r="R128" s="4" t="str">
        <f aca="false">IF(C128="","",B128&amp;" | "&amp;C128&amp;" | "&amp;D128)</f>
        <v/>
      </c>
      <c r="S128" s="4" t="str">
        <f aca="false">IF(C128="","",R128&amp;"#"&amp;A128)</f>
        <v/>
      </c>
    </row>
    <row r="129" customFormat="false" ht="15" hidden="false" customHeight="false" outlineLevel="0" collapsed="false">
      <c r="A129" s="33"/>
      <c r="B129" s="34"/>
      <c r="C129" s="34"/>
      <c r="D129" s="34"/>
      <c r="E129" s="34"/>
      <c r="F129" s="34"/>
      <c r="G129" s="7"/>
      <c r="H129" s="35"/>
      <c r="I129" s="35"/>
      <c r="J129" s="7"/>
      <c r="K129" s="35"/>
      <c r="L129" s="7"/>
      <c r="M129" s="21" t="str">
        <f aca="false">IF(C129="","",IFERROR(I129/H129,0))</f>
        <v/>
      </c>
      <c r="N129" s="9" t="str">
        <f aca="false">IF(C129="","",IFERROR(J129/I129,0))</f>
        <v/>
      </c>
      <c r="O129" s="21" t="str">
        <f aca="false">IF(C129="","",IFERROR(J129/L129,0))</f>
        <v/>
      </c>
      <c r="P129" s="22" t="str">
        <f aca="false">IF(C129="","",IFERROR(L129/J129,0))</f>
        <v/>
      </c>
      <c r="Q129" s="34"/>
      <c r="R129" s="4" t="str">
        <f aca="false">IF(C129="","",B129&amp;" | "&amp;C129&amp;" | "&amp;D129)</f>
        <v/>
      </c>
      <c r="S129" s="4" t="str">
        <f aca="false">IF(C129="","",R129&amp;"#"&amp;A129)</f>
        <v/>
      </c>
    </row>
    <row r="130" customFormat="false" ht="15" hidden="false" customHeight="false" outlineLevel="0" collapsed="false">
      <c r="A130" s="33"/>
      <c r="B130" s="34"/>
      <c r="C130" s="34"/>
      <c r="D130" s="34"/>
      <c r="E130" s="34"/>
      <c r="F130" s="34"/>
      <c r="G130" s="7"/>
      <c r="H130" s="35"/>
      <c r="I130" s="35"/>
      <c r="J130" s="7"/>
      <c r="K130" s="35"/>
      <c r="L130" s="7"/>
      <c r="M130" s="21" t="str">
        <f aca="false">IF(C130="","",IFERROR(I130/H130,0))</f>
        <v/>
      </c>
      <c r="N130" s="9" t="str">
        <f aca="false">IF(C130="","",IFERROR(J130/I130,0))</f>
        <v/>
      </c>
      <c r="O130" s="21" t="str">
        <f aca="false">IF(C130="","",IFERROR(J130/L130,0))</f>
        <v/>
      </c>
      <c r="P130" s="22" t="str">
        <f aca="false">IF(C130="","",IFERROR(L130/J130,0))</f>
        <v/>
      </c>
      <c r="Q130" s="34"/>
      <c r="R130" s="4" t="str">
        <f aca="false">IF(C130="","",B130&amp;" | "&amp;C130&amp;" | "&amp;D130)</f>
        <v/>
      </c>
      <c r="S130" s="4" t="str">
        <f aca="false">IF(C130="","",R130&amp;"#"&amp;A130)</f>
        <v/>
      </c>
    </row>
    <row r="131" customFormat="false" ht="15" hidden="false" customHeight="false" outlineLevel="0" collapsed="false">
      <c r="A131" s="33"/>
      <c r="B131" s="34"/>
      <c r="C131" s="34"/>
      <c r="D131" s="34"/>
      <c r="E131" s="34"/>
      <c r="F131" s="34"/>
      <c r="G131" s="7"/>
      <c r="H131" s="35"/>
      <c r="I131" s="35"/>
      <c r="J131" s="7"/>
      <c r="K131" s="35"/>
      <c r="L131" s="7"/>
      <c r="M131" s="21" t="str">
        <f aca="false">IF(C131="","",IFERROR(I131/H131,0))</f>
        <v/>
      </c>
      <c r="N131" s="9" t="str">
        <f aca="false">IF(C131="","",IFERROR(J131/I131,0))</f>
        <v/>
      </c>
      <c r="O131" s="21" t="str">
        <f aca="false">IF(C131="","",IFERROR(J131/L131,0))</f>
        <v/>
      </c>
      <c r="P131" s="22" t="str">
        <f aca="false">IF(C131="","",IFERROR(L131/J131,0))</f>
        <v/>
      </c>
      <c r="Q131" s="34"/>
      <c r="R131" s="4" t="str">
        <f aca="false">IF(C131="","",B131&amp;" | "&amp;C131&amp;" | "&amp;D131)</f>
        <v/>
      </c>
      <c r="S131" s="4" t="str">
        <f aca="false">IF(C131="","",R131&amp;"#"&amp;A131)</f>
        <v/>
      </c>
    </row>
    <row r="132" customFormat="false" ht="15" hidden="false" customHeight="false" outlineLevel="0" collapsed="false">
      <c r="A132" s="33"/>
      <c r="B132" s="34"/>
      <c r="C132" s="34"/>
      <c r="D132" s="34"/>
      <c r="E132" s="34"/>
      <c r="F132" s="34"/>
      <c r="G132" s="7"/>
      <c r="H132" s="35"/>
      <c r="I132" s="35"/>
      <c r="J132" s="7"/>
      <c r="K132" s="35"/>
      <c r="L132" s="7"/>
      <c r="M132" s="21" t="str">
        <f aca="false">IF(C132="","",IFERROR(I132/H132,0))</f>
        <v/>
      </c>
      <c r="N132" s="9" t="str">
        <f aca="false">IF(C132="","",IFERROR(J132/I132,0))</f>
        <v/>
      </c>
      <c r="O132" s="21" t="str">
        <f aca="false">IF(C132="","",IFERROR(J132/L132,0))</f>
        <v/>
      </c>
      <c r="P132" s="22" t="str">
        <f aca="false">IF(C132="","",IFERROR(L132/J132,0))</f>
        <v/>
      </c>
      <c r="Q132" s="34"/>
      <c r="R132" s="4" t="str">
        <f aca="false">IF(C132="","",B132&amp;" | "&amp;C132&amp;" | "&amp;D132)</f>
        <v/>
      </c>
      <c r="S132" s="4" t="str">
        <f aca="false">IF(C132="","",R132&amp;"#"&amp;A132)</f>
        <v/>
      </c>
    </row>
    <row r="133" customFormat="false" ht="15" hidden="false" customHeight="false" outlineLevel="0" collapsed="false">
      <c r="A133" s="33"/>
      <c r="B133" s="34"/>
      <c r="C133" s="34"/>
      <c r="D133" s="34"/>
      <c r="E133" s="34"/>
      <c r="F133" s="34"/>
      <c r="G133" s="7"/>
      <c r="H133" s="35"/>
      <c r="I133" s="35"/>
      <c r="J133" s="7"/>
      <c r="K133" s="35"/>
      <c r="L133" s="7"/>
      <c r="M133" s="21" t="str">
        <f aca="false">IF(C133="","",IFERROR(I133/H133,0))</f>
        <v/>
      </c>
      <c r="N133" s="9" t="str">
        <f aca="false">IF(C133="","",IFERROR(J133/I133,0))</f>
        <v/>
      </c>
      <c r="O133" s="21" t="str">
        <f aca="false">IF(C133="","",IFERROR(J133/L133,0))</f>
        <v/>
      </c>
      <c r="P133" s="22" t="str">
        <f aca="false">IF(C133="","",IFERROR(L133/J133,0))</f>
        <v/>
      </c>
      <c r="Q133" s="34"/>
      <c r="R133" s="4" t="str">
        <f aca="false">IF(C133="","",B133&amp;" | "&amp;C133&amp;" | "&amp;D133)</f>
        <v/>
      </c>
      <c r="S133" s="4" t="str">
        <f aca="false">IF(C133="","",R133&amp;"#"&amp;A133)</f>
        <v/>
      </c>
    </row>
    <row r="134" customFormat="false" ht="15" hidden="false" customHeight="false" outlineLevel="0" collapsed="false">
      <c r="A134" s="33"/>
      <c r="B134" s="34"/>
      <c r="C134" s="34"/>
      <c r="D134" s="34"/>
      <c r="E134" s="34"/>
      <c r="F134" s="34"/>
      <c r="G134" s="7"/>
      <c r="H134" s="35"/>
      <c r="I134" s="35"/>
      <c r="J134" s="7"/>
      <c r="K134" s="35"/>
      <c r="L134" s="7"/>
      <c r="M134" s="21" t="str">
        <f aca="false">IF(C134="","",IFERROR(I134/H134,0))</f>
        <v/>
      </c>
      <c r="N134" s="9" t="str">
        <f aca="false">IF(C134="","",IFERROR(J134/I134,0))</f>
        <v/>
      </c>
      <c r="O134" s="21" t="str">
        <f aca="false">IF(C134="","",IFERROR(J134/L134,0))</f>
        <v/>
      </c>
      <c r="P134" s="22" t="str">
        <f aca="false">IF(C134="","",IFERROR(L134/J134,0))</f>
        <v/>
      </c>
      <c r="Q134" s="34"/>
      <c r="R134" s="4" t="str">
        <f aca="false">IF(C134="","",B134&amp;" | "&amp;C134&amp;" | "&amp;D134)</f>
        <v/>
      </c>
      <c r="S134" s="4" t="str">
        <f aca="false">IF(C134="","",R134&amp;"#"&amp;A134)</f>
        <v/>
      </c>
    </row>
    <row r="135" customFormat="false" ht="15" hidden="false" customHeight="false" outlineLevel="0" collapsed="false">
      <c r="A135" s="33"/>
      <c r="B135" s="34"/>
      <c r="C135" s="34"/>
      <c r="D135" s="34"/>
      <c r="E135" s="34"/>
      <c r="F135" s="34"/>
      <c r="G135" s="7"/>
      <c r="H135" s="35"/>
      <c r="I135" s="35"/>
      <c r="J135" s="7"/>
      <c r="K135" s="35"/>
      <c r="L135" s="7"/>
      <c r="M135" s="21" t="str">
        <f aca="false">IF(C135="","",IFERROR(I135/H135,0))</f>
        <v/>
      </c>
      <c r="N135" s="9" t="str">
        <f aca="false">IF(C135="","",IFERROR(J135/I135,0))</f>
        <v/>
      </c>
      <c r="O135" s="21" t="str">
        <f aca="false">IF(C135="","",IFERROR(J135/L135,0))</f>
        <v/>
      </c>
      <c r="P135" s="22" t="str">
        <f aca="false">IF(C135="","",IFERROR(L135/J135,0))</f>
        <v/>
      </c>
      <c r="Q135" s="34"/>
      <c r="R135" s="4" t="str">
        <f aca="false">IF(C135="","",B135&amp;" | "&amp;C135&amp;" | "&amp;D135)</f>
        <v/>
      </c>
      <c r="S135" s="4" t="str">
        <f aca="false">IF(C135="","",R135&amp;"#"&amp;A135)</f>
        <v/>
      </c>
    </row>
    <row r="136" customFormat="false" ht="15" hidden="false" customHeight="false" outlineLevel="0" collapsed="false">
      <c r="A136" s="33"/>
      <c r="B136" s="34"/>
      <c r="C136" s="34"/>
      <c r="D136" s="34"/>
      <c r="E136" s="34"/>
      <c r="F136" s="34"/>
      <c r="G136" s="7"/>
      <c r="H136" s="35"/>
      <c r="I136" s="35"/>
      <c r="J136" s="7"/>
      <c r="K136" s="35"/>
      <c r="L136" s="7"/>
      <c r="M136" s="21" t="str">
        <f aca="false">IF(C136="","",IFERROR(I136/H136,0))</f>
        <v/>
      </c>
      <c r="N136" s="9" t="str">
        <f aca="false">IF(C136="","",IFERROR(J136/I136,0))</f>
        <v/>
      </c>
      <c r="O136" s="21" t="str">
        <f aca="false">IF(C136="","",IFERROR(J136/L136,0))</f>
        <v/>
      </c>
      <c r="P136" s="22" t="str">
        <f aca="false">IF(C136="","",IFERROR(L136/J136,0))</f>
        <v/>
      </c>
      <c r="Q136" s="34"/>
      <c r="R136" s="4" t="str">
        <f aca="false">IF(C136="","",B136&amp;" | "&amp;C136&amp;" | "&amp;D136)</f>
        <v/>
      </c>
      <c r="S136" s="4" t="str">
        <f aca="false">IF(C136="","",R136&amp;"#"&amp;A136)</f>
        <v/>
      </c>
    </row>
    <row r="137" customFormat="false" ht="15" hidden="false" customHeight="false" outlineLevel="0" collapsed="false">
      <c r="A137" s="33"/>
      <c r="B137" s="34"/>
      <c r="C137" s="34"/>
      <c r="D137" s="34"/>
      <c r="E137" s="34"/>
      <c r="F137" s="34"/>
      <c r="G137" s="7"/>
      <c r="H137" s="35"/>
      <c r="I137" s="35"/>
      <c r="J137" s="7"/>
      <c r="K137" s="35"/>
      <c r="L137" s="7"/>
      <c r="M137" s="21" t="str">
        <f aca="false">IF(C137="","",IFERROR(I137/H137,0))</f>
        <v/>
      </c>
      <c r="N137" s="9" t="str">
        <f aca="false">IF(C137="","",IFERROR(J137/I137,0))</f>
        <v/>
      </c>
      <c r="O137" s="21" t="str">
        <f aca="false">IF(C137="","",IFERROR(J137/L137,0))</f>
        <v/>
      </c>
      <c r="P137" s="22" t="str">
        <f aca="false">IF(C137="","",IFERROR(L137/J137,0))</f>
        <v/>
      </c>
      <c r="Q137" s="34"/>
      <c r="R137" s="4" t="str">
        <f aca="false">IF(C137="","",B137&amp;" | "&amp;C137&amp;" | "&amp;D137)</f>
        <v/>
      </c>
      <c r="S137" s="4" t="str">
        <f aca="false">IF(C137="","",R137&amp;"#"&amp;A137)</f>
        <v/>
      </c>
    </row>
    <row r="138" customFormat="false" ht="15" hidden="false" customHeight="false" outlineLevel="0" collapsed="false">
      <c r="A138" s="33"/>
      <c r="B138" s="34"/>
      <c r="C138" s="34"/>
      <c r="D138" s="34"/>
      <c r="E138" s="34"/>
      <c r="F138" s="34"/>
      <c r="G138" s="7"/>
      <c r="H138" s="35"/>
      <c r="I138" s="35"/>
      <c r="J138" s="7"/>
      <c r="K138" s="35"/>
      <c r="L138" s="7"/>
      <c r="M138" s="21" t="str">
        <f aca="false">IF(C138="","",IFERROR(I138/H138,0))</f>
        <v/>
      </c>
      <c r="N138" s="9" t="str">
        <f aca="false">IF(C138="","",IFERROR(J138/I138,0))</f>
        <v/>
      </c>
      <c r="O138" s="21" t="str">
        <f aca="false">IF(C138="","",IFERROR(J138/L138,0))</f>
        <v/>
      </c>
      <c r="P138" s="22" t="str">
        <f aca="false">IF(C138="","",IFERROR(L138/J138,0))</f>
        <v/>
      </c>
      <c r="Q138" s="34"/>
      <c r="R138" s="4" t="str">
        <f aca="false">IF(C138="","",B138&amp;" | "&amp;C138&amp;" | "&amp;D138)</f>
        <v/>
      </c>
      <c r="S138" s="4" t="str">
        <f aca="false">IF(C138="","",R138&amp;"#"&amp;A138)</f>
        <v/>
      </c>
    </row>
    <row r="139" customFormat="false" ht="15" hidden="false" customHeight="false" outlineLevel="0" collapsed="false">
      <c r="A139" s="33"/>
      <c r="B139" s="34"/>
      <c r="C139" s="34"/>
      <c r="D139" s="34"/>
      <c r="E139" s="34"/>
      <c r="F139" s="34"/>
      <c r="G139" s="7"/>
      <c r="H139" s="35"/>
      <c r="I139" s="35"/>
      <c r="J139" s="7"/>
      <c r="K139" s="35"/>
      <c r="L139" s="7"/>
      <c r="M139" s="21" t="str">
        <f aca="false">IF(C139="","",IFERROR(I139/H139,0))</f>
        <v/>
      </c>
      <c r="N139" s="9" t="str">
        <f aca="false">IF(C139="","",IFERROR(J139/I139,0))</f>
        <v/>
      </c>
      <c r="O139" s="21" t="str">
        <f aca="false">IF(C139="","",IFERROR(J139/L139,0))</f>
        <v/>
      </c>
      <c r="P139" s="22" t="str">
        <f aca="false">IF(C139="","",IFERROR(L139/J139,0))</f>
        <v/>
      </c>
      <c r="Q139" s="34"/>
      <c r="R139" s="4" t="str">
        <f aca="false">IF(C139="","",B139&amp;" | "&amp;C139&amp;" | "&amp;D139)</f>
        <v/>
      </c>
      <c r="S139" s="4" t="str">
        <f aca="false">IF(C139="","",R139&amp;"#"&amp;A139)</f>
        <v/>
      </c>
    </row>
    <row r="140" customFormat="false" ht="15" hidden="false" customHeight="false" outlineLevel="0" collapsed="false">
      <c r="A140" s="33"/>
      <c r="B140" s="34"/>
      <c r="C140" s="34"/>
      <c r="D140" s="34"/>
      <c r="E140" s="34"/>
      <c r="F140" s="34"/>
      <c r="G140" s="7"/>
      <c r="H140" s="35"/>
      <c r="I140" s="35"/>
      <c r="J140" s="7"/>
      <c r="K140" s="35"/>
      <c r="L140" s="7"/>
      <c r="M140" s="21" t="str">
        <f aca="false">IF(C140="","",IFERROR(I140/H140,0))</f>
        <v/>
      </c>
      <c r="N140" s="9" t="str">
        <f aca="false">IF(C140="","",IFERROR(J140/I140,0))</f>
        <v/>
      </c>
      <c r="O140" s="21" t="str">
        <f aca="false">IF(C140="","",IFERROR(J140/L140,0))</f>
        <v/>
      </c>
      <c r="P140" s="22" t="str">
        <f aca="false">IF(C140="","",IFERROR(L140/J140,0))</f>
        <v/>
      </c>
      <c r="Q140" s="34"/>
      <c r="R140" s="4" t="str">
        <f aca="false">IF(C140="","",B140&amp;" | "&amp;C140&amp;" | "&amp;D140)</f>
        <v/>
      </c>
      <c r="S140" s="4" t="str">
        <f aca="false">IF(C140="","",R140&amp;"#"&amp;A140)</f>
        <v/>
      </c>
    </row>
    <row r="141" customFormat="false" ht="15" hidden="false" customHeight="false" outlineLevel="0" collapsed="false">
      <c r="A141" s="33"/>
      <c r="B141" s="34"/>
      <c r="C141" s="34"/>
      <c r="D141" s="34"/>
      <c r="E141" s="34"/>
      <c r="F141" s="34"/>
      <c r="G141" s="7"/>
      <c r="H141" s="35"/>
      <c r="I141" s="35"/>
      <c r="J141" s="7"/>
      <c r="K141" s="35"/>
      <c r="L141" s="7"/>
      <c r="M141" s="21" t="str">
        <f aca="false">IF(C141="","",IFERROR(I141/H141,0))</f>
        <v/>
      </c>
      <c r="N141" s="9" t="str">
        <f aca="false">IF(C141="","",IFERROR(J141/I141,0))</f>
        <v/>
      </c>
      <c r="O141" s="21" t="str">
        <f aca="false">IF(C141="","",IFERROR(J141/L141,0))</f>
        <v/>
      </c>
      <c r="P141" s="22" t="str">
        <f aca="false">IF(C141="","",IFERROR(L141/J141,0))</f>
        <v/>
      </c>
      <c r="Q141" s="34"/>
      <c r="R141" s="4" t="str">
        <f aca="false">IF(C141="","",B141&amp;" | "&amp;C141&amp;" | "&amp;D141)</f>
        <v/>
      </c>
      <c r="S141" s="4" t="str">
        <f aca="false">IF(C141="","",R141&amp;"#"&amp;A141)</f>
        <v/>
      </c>
    </row>
    <row r="142" customFormat="false" ht="15" hidden="false" customHeight="false" outlineLevel="0" collapsed="false">
      <c r="A142" s="33"/>
      <c r="B142" s="34"/>
      <c r="C142" s="34"/>
      <c r="D142" s="34"/>
      <c r="E142" s="34"/>
      <c r="F142" s="34"/>
      <c r="G142" s="7"/>
      <c r="H142" s="35"/>
      <c r="I142" s="35"/>
      <c r="J142" s="7"/>
      <c r="K142" s="35"/>
      <c r="L142" s="7"/>
      <c r="M142" s="21" t="str">
        <f aca="false">IF(C142="","",IFERROR(I142/H142,0))</f>
        <v/>
      </c>
      <c r="N142" s="9" t="str">
        <f aca="false">IF(C142="","",IFERROR(J142/I142,0))</f>
        <v/>
      </c>
      <c r="O142" s="21" t="str">
        <f aca="false">IF(C142="","",IFERROR(J142/L142,0))</f>
        <v/>
      </c>
      <c r="P142" s="22" t="str">
        <f aca="false">IF(C142="","",IFERROR(L142/J142,0))</f>
        <v/>
      </c>
      <c r="Q142" s="34"/>
      <c r="R142" s="4" t="str">
        <f aca="false">IF(C142="","",B142&amp;" | "&amp;C142&amp;" | "&amp;D142)</f>
        <v/>
      </c>
      <c r="S142" s="4" t="str">
        <f aca="false">IF(C142="","",R142&amp;"#"&amp;A142)</f>
        <v/>
      </c>
    </row>
    <row r="143" customFormat="false" ht="15" hidden="false" customHeight="false" outlineLevel="0" collapsed="false">
      <c r="A143" s="33"/>
      <c r="B143" s="34"/>
      <c r="C143" s="34"/>
      <c r="D143" s="34"/>
      <c r="E143" s="34"/>
      <c r="F143" s="34"/>
      <c r="G143" s="7"/>
      <c r="H143" s="35"/>
      <c r="I143" s="35"/>
      <c r="J143" s="7"/>
      <c r="K143" s="35"/>
      <c r="L143" s="7"/>
      <c r="M143" s="21" t="str">
        <f aca="false">IF(C143="","",IFERROR(I143/H143,0))</f>
        <v/>
      </c>
      <c r="N143" s="9" t="str">
        <f aca="false">IF(C143="","",IFERROR(J143/I143,0))</f>
        <v/>
      </c>
      <c r="O143" s="21" t="str">
        <f aca="false">IF(C143="","",IFERROR(J143/L143,0))</f>
        <v/>
      </c>
      <c r="P143" s="22" t="str">
        <f aca="false">IF(C143="","",IFERROR(L143/J143,0))</f>
        <v/>
      </c>
      <c r="Q143" s="34"/>
      <c r="R143" s="4" t="str">
        <f aca="false">IF(C143="","",B143&amp;" | "&amp;C143&amp;" | "&amp;D143)</f>
        <v/>
      </c>
      <c r="S143" s="4" t="str">
        <f aca="false">IF(C143="","",R143&amp;"#"&amp;A143)</f>
        <v/>
      </c>
    </row>
    <row r="144" customFormat="false" ht="15" hidden="false" customHeight="false" outlineLevel="0" collapsed="false">
      <c r="A144" s="33"/>
      <c r="B144" s="34"/>
      <c r="C144" s="34"/>
      <c r="D144" s="34"/>
      <c r="E144" s="34"/>
      <c r="F144" s="34"/>
      <c r="G144" s="7"/>
      <c r="H144" s="35"/>
      <c r="I144" s="35"/>
      <c r="J144" s="7"/>
      <c r="K144" s="35"/>
      <c r="L144" s="7"/>
      <c r="M144" s="21" t="str">
        <f aca="false">IF(C144="","",IFERROR(I144/H144,0))</f>
        <v/>
      </c>
      <c r="N144" s="9" t="str">
        <f aca="false">IF(C144="","",IFERROR(J144/I144,0))</f>
        <v/>
      </c>
      <c r="O144" s="21" t="str">
        <f aca="false">IF(C144="","",IFERROR(J144/L144,0))</f>
        <v/>
      </c>
      <c r="P144" s="22" t="str">
        <f aca="false">IF(C144="","",IFERROR(L144/J144,0))</f>
        <v/>
      </c>
      <c r="Q144" s="34"/>
      <c r="R144" s="4" t="str">
        <f aca="false">IF(C144="","",B144&amp;" | "&amp;C144&amp;" | "&amp;D144)</f>
        <v/>
      </c>
      <c r="S144" s="4" t="str">
        <f aca="false">IF(C144="","",R144&amp;"#"&amp;A144)</f>
        <v/>
      </c>
    </row>
    <row r="145" customFormat="false" ht="15" hidden="false" customHeight="false" outlineLevel="0" collapsed="false">
      <c r="A145" s="33"/>
      <c r="B145" s="34"/>
      <c r="C145" s="34"/>
      <c r="D145" s="34"/>
      <c r="E145" s="34"/>
      <c r="F145" s="34"/>
      <c r="G145" s="7"/>
      <c r="H145" s="35"/>
      <c r="I145" s="35"/>
      <c r="J145" s="7"/>
      <c r="K145" s="35"/>
      <c r="L145" s="7"/>
      <c r="M145" s="21" t="str">
        <f aca="false">IF(C145="","",IFERROR(I145/H145,0))</f>
        <v/>
      </c>
      <c r="N145" s="9" t="str">
        <f aca="false">IF(C145="","",IFERROR(J145/I145,0))</f>
        <v/>
      </c>
      <c r="O145" s="21" t="str">
        <f aca="false">IF(C145="","",IFERROR(J145/L145,0))</f>
        <v/>
      </c>
      <c r="P145" s="22" t="str">
        <f aca="false">IF(C145="","",IFERROR(L145/J145,0))</f>
        <v/>
      </c>
      <c r="Q145" s="34"/>
      <c r="R145" s="4" t="str">
        <f aca="false">IF(C145="","",B145&amp;" | "&amp;C145&amp;" | "&amp;D145)</f>
        <v/>
      </c>
      <c r="S145" s="4" t="str">
        <f aca="false">IF(C145="","",R145&amp;"#"&amp;A145)</f>
        <v/>
      </c>
    </row>
    <row r="146" customFormat="false" ht="15" hidden="false" customHeight="false" outlineLevel="0" collapsed="false">
      <c r="A146" s="33"/>
      <c r="B146" s="34"/>
      <c r="C146" s="34"/>
      <c r="D146" s="34"/>
      <c r="E146" s="34"/>
      <c r="F146" s="34"/>
      <c r="G146" s="7"/>
      <c r="H146" s="35"/>
      <c r="I146" s="35"/>
      <c r="J146" s="7"/>
      <c r="K146" s="35"/>
      <c r="L146" s="7"/>
      <c r="M146" s="21" t="str">
        <f aca="false">IF(C146="","",IFERROR(I146/H146,0))</f>
        <v/>
      </c>
      <c r="N146" s="9" t="str">
        <f aca="false">IF(C146="","",IFERROR(J146/I146,0))</f>
        <v/>
      </c>
      <c r="O146" s="21" t="str">
        <f aca="false">IF(C146="","",IFERROR(J146/L146,0))</f>
        <v/>
      </c>
      <c r="P146" s="22" t="str">
        <f aca="false">IF(C146="","",IFERROR(L146/J146,0))</f>
        <v/>
      </c>
      <c r="Q146" s="34"/>
      <c r="R146" s="4" t="str">
        <f aca="false">IF(C146="","",B146&amp;" | "&amp;C146&amp;" | "&amp;D146)</f>
        <v/>
      </c>
      <c r="S146" s="4" t="str">
        <f aca="false">IF(C146="","",R146&amp;"#"&amp;A146)</f>
        <v/>
      </c>
    </row>
    <row r="147" customFormat="false" ht="15" hidden="false" customHeight="false" outlineLevel="0" collapsed="false">
      <c r="A147" s="33"/>
      <c r="B147" s="34"/>
      <c r="C147" s="34"/>
      <c r="D147" s="34"/>
      <c r="E147" s="34"/>
      <c r="F147" s="34"/>
      <c r="G147" s="7"/>
      <c r="H147" s="35"/>
      <c r="I147" s="35"/>
      <c r="J147" s="7"/>
      <c r="K147" s="35"/>
      <c r="L147" s="7"/>
      <c r="M147" s="21" t="str">
        <f aca="false">IF(C147="","",IFERROR(I147/H147,0))</f>
        <v/>
      </c>
      <c r="N147" s="9" t="str">
        <f aca="false">IF(C147="","",IFERROR(J147/I147,0))</f>
        <v/>
      </c>
      <c r="O147" s="21" t="str">
        <f aca="false">IF(C147="","",IFERROR(J147/L147,0))</f>
        <v/>
      </c>
      <c r="P147" s="22" t="str">
        <f aca="false">IF(C147="","",IFERROR(L147/J147,0))</f>
        <v/>
      </c>
      <c r="Q147" s="34"/>
      <c r="R147" s="4" t="str">
        <f aca="false">IF(C147="","",B147&amp;" | "&amp;C147&amp;" | "&amp;D147)</f>
        <v/>
      </c>
      <c r="S147" s="4" t="str">
        <f aca="false">IF(C147="","",R147&amp;"#"&amp;A147)</f>
        <v/>
      </c>
    </row>
    <row r="148" customFormat="false" ht="15" hidden="false" customHeight="false" outlineLevel="0" collapsed="false">
      <c r="A148" s="33"/>
      <c r="B148" s="34"/>
      <c r="C148" s="34"/>
      <c r="D148" s="34"/>
      <c r="E148" s="34"/>
      <c r="F148" s="34"/>
      <c r="G148" s="7"/>
      <c r="H148" s="35"/>
      <c r="I148" s="35"/>
      <c r="J148" s="7"/>
      <c r="K148" s="35"/>
      <c r="L148" s="7"/>
      <c r="M148" s="21" t="str">
        <f aca="false">IF(C148="","",IFERROR(I148/H148,0))</f>
        <v/>
      </c>
      <c r="N148" s="9" t="str">
        <f aca="false">IF(C148="","",IFERROR(J148/I148,0))</f>
        <v/>
      </c>
      <c r="O148" s="21" t="str">
        <f aca="false">IF(C148="","",IFERROR(J148/L148,0))</f>
        <v/>
      </c>
      <c r="P148" s="22" t="str">
        <f aca="false">IF(C148="","",IFERROR(L148/J148,0))</f>
        <v/>
      </c>
      <c r="Q148" s="34"/>
      <c r="R148" s="4" t="str">
        <f aca="false">IF(C148="","",B148&amp;" | "&amp;C148&amp;" | "&amp;D148)</f>
        <v/>
      </c>
      <c r="S148" s="4" t="str">
        <f aca="false">IF(C148="","",R148&amp;"#"&amp;A148)</f>
        <v/>
      </c>
    </row>
    <row r="149" customFormat="false" ht="15" hidden="false" customHeight="false" outlineLevel="0" collapsed="false">
      <c r="A149" s="33"/>
      <c r="B149" s="34"/>
      <c r="C149" s="34"/>
      <c r="D149" s="34"/>
      <c r="E149" s="34"/>
      <c r="F149" s="34"/>
      <c r="G149" s="7"/>
      <c r="H149" s="35"/>
      <c r="I149" s="35"/>
      <c r="J149" s="7"/>
      <c r="K149" s="35"/>
      <c r="L149" s="7"/>
      <c r="M149" s="21" t="str">
        <f aca="false">IF(C149="","",IFERROR(I149/H149,0))</f>
        <v/>
      </c>
      <c r="N149" s="9" t="str">
        <f aca="false">IF(C149="","",IFERROR(J149/I149,0))</f>
        <v/>
      </c>
      <c r="O149" s="21" t="str">
        <f aca="false">IF(C149="","",IFERROR(J149/L149,0))</f>
        <v/>
      </c>
      <c r="P149" s="22" t="str">
        <f aca="false">IF(C149="","",IFERROR(L149/J149,0))</f>
        <v/>
      </c>
      <c r="Q149" s="34"/>
      <c r="R149" s="4" t="str">
        <f aca="false">IF(C149="","",B149&amp;" | "&amp;C149&amp;" | "&amp;D149)</f>
        <v/>
      </c>
      <c r="S149" s="4" t="str">
        <f aca="false">IF(C149="","",R149&amp;"#"&amp;A149)</f>
        <v/>
      </c>
    </row>
    <row r="150" customFormat="false" ht="15" hidden="false" customHeight="false" outlineLevel="0" collapsed="false">
      <c r="A150" s="33"/>
      <c r="B150" s="34"/>
      <c r="C150" s="34"/>
      <c r="D150" s="34"/>
      <c r="E150" s="34"/>
      <c r="F150" s="34"/>
      <c r="G150" s="7"/>
      <c r="H150" s="35"/>
      <c r="I150" s="35"/>
      <c r="J150" s="7"/>
      <c r="K150" s="35"/>
      <c r="L150" s="7"/>
      <c r="M150" s="21" t="str">
        <f aca="false">IF(C150="","",IFERROR(I150/H150,0))</f>
        <v/>
      </c>
      <c r="N150" s="9" t="str">
        <f aca="false">IF(C150="","",IFERROR(J150/I150,0))</f>
        <v/>
      </c>
      <c r="O150" s="21" t="str">
        <f aca="false">IF(C150="","",IFERROR(J150/L150,0))</f>
        <v/>
      </c>
      <c r="P150" s="22" t="str">
        <f aca="false">IF(C150="","",IFERROR(L150/J150,0))</f>
        <v/>
      </c>
      <c r="Q150" s="34"/>
      <c r="R150" s="4" t="str">
        <f aca="false">IF(C150="","",B150&amp;" | "&amp;C150&amp;" | "&amp;D150)</f>
        <v/>
      </c>
      <c r="S150" s="4" t="str">
        <f aca="false">IF(C150="","",R150&amp;"#"&amp;A150)</f>
        <v/>
      </c>
    </row>
    <row r="151" customFormat="false" ht="15" hidden="false" customHeight="false" outlineLevel="0" collapsed="false">
      <c r="A151" s="33"/>
      <c r="B151" s="34"/>
      <c r="C151" s="34"/>
      <c r="D151" s="34"/>
      <c r="E151" s="34"/>
      <c r="F151" s="34"/>
      <c r="G151" s="7"/>
      <c r="H151" s="35"/>
      <c r="I151" s="35"/>
      <c r="J151" s="7"/>
      <c r="K151" s="35"/>
      <c r="L151" s="7"/>
      <c r="M151" s="21" t="str">
        <f aca="false">IF(C151="","",IFERROR(I151/H151,0))</f>
        <v/>
      </c>
      <c r="N151" s="9" t="str">
        <f aca="false">IF(C151="","",IFERROR(J151/I151,0))</f>
        <v/>
      </c>
      <c r="O151" s="21" t="str">
        <f aca="false">IF(C151="","",IFERROR(J151/L151,0))</f>
        <v/>
      </c>
      <c r="P151" s="22" t="str">
        <f aca="false">IF(C151="","",IFERROR(L151/J151,0))</f>
        <v/>
      </c>
      <c r="Q151" s="34"/>
      <c r="R151" s="4" t="str">
        <f aca="false">IF(C151="","",B151&amp;" | "&amp;C151&amp;" | "&amp;D151)</f>
        <v/>
      </c>
      <c r="S151" s="4" t="str">
        <f aca="false">IF(C151="","",R151&amp;"#"&amp;A151)</f>
        <v/>
      </c>
    </row>
    <row r="152" customFormat="false" ht="15" hidden="false" customHeight="false" outlineLevel="0" collapsed="false">
      <c r="A152" s="33"/>
      <c r="B152" s="34"/>
      <c r="C152" s="34"/>
      <c r="D152" s="34"/>
      <c r="E152" s="34"/>
      <c r="F152" s="34"/>
      <c r="G152" s="7"/>
      <c r="H152" s="35"/>
      <c r="I152" s="35"/>
      <c r="J152" s="7"/>
      <c r="K152" s="35"/>
      <c r="L152" s="7"/>
      <c r="M152" s="21" t="str">
        <f aca="false">IF(C152="","",IFERROR(I152/H152,0))</f>
        <v/>
      </c>
      <c r="N152" s="9" t="str">
        <f aca="false">IF(C152="","",IFERROR(J152/I152,0))</f>
        <v/>
      </c>
      <c r="O152" s="21" t="str">
        <f aca="false">IF(C152="","",IFERROR(J152/L152,0))</f>
        <v/>
      </c>
      <c r="P152" s="22" t="str">
        <f aca="false">IF(C152="","",IFERROR(L152/J152,0))</f>
        <v/>
      </c>
      <c r="Q152" s="34"/>
      <c r="R152" s="4" t="str">
        <f aca="false">IF(C152="","",B152&amp;" | "&amp;C152&amp;" | "&amp;D152)</f>
        <v/>
      </c>
      <c r="S152" s="4" t="str">
        <f aca="false">IF(C152="","",R152&amp;"#"&amp;A152)</f>
        <v/>
      </c>
    </row>
    <row r="153" customFormat="false" ht="15" hidden="false" customHeight="false" outlineLevel="0" collapsed="false">
      <c r="A153" s="33"/>
      <c r="B153" s="34"/>
      <c r="C153" s="34"/>
      <c r="D153" s="34"/>
      <c r="E153" s="34"/>
      <c r="F153" s="34"/>
      <c r="G153" s="7"/>
      <c r="H153" s="35"/>
      <c r="I153" s="35"/>
      <c r="J153" s="7"/>
      <c r="K153" s="35"/>
      <c r="L153" s="7"/>
      <c r="M153" s="21" t="str">
        <f aca="false">IF(C153="","",IFERROR(I153/H153,0))</f>
        <v/>
      </c>
      <c r="N153" s="9" t="str">
        <f aca="false">IF(C153="","",IFERROR(J153/I153,0))</f>
        <v/>
      </c>
      <c r="O153" s="21" t="str">
        <f aca="false">IF(C153="","",IFERROR(J153/L153,0))</f>
        <v/>
      </c>
      <c r="P153" s="22" t="str">
        <f aca="false">IF(C153="","",IFERROR(L153/J153,0))</f>
        <v/>
      </c>
      <c r="Q153" s="34"/>
      <c r="R153" s="4" t="str">
        <f aca="false">IF(C153="","",B153&amp;" | "&amp;C153&amp;" | "&amp;D153)</f>
        <v/>
      </c>
      <c r="S153" s="4" t="str">
        <f aca="false">IF(C153="","",R153&amp;"#"&amp;A153)</f>
        <v/>
      </c>
    </row>
    <row r="154" customFormat="false" ht="15" hidden="false" customHeight="false" outlineLevel="0" collapsed="false">
      <c r="A154" s="33"/>
      <c r="B154" s="34"/>
      <c r="C154" s="34"/>
      <c r="D154" s="34"/>
      <c r="E154" s="34"/>
      <c r="F154" s="34"/>
      <c r="G154" s="7"/>
      <c r="H154" s="35"/>
      <c r="I154" s="35"/>
      <c r="J154" s="7"/>
      <c r="K154" s="35"/>
      <c r="L154" s="7"/>
      <c r="M154" s="21" t="str">
        <f aca="false">IF(C154="","",IFERROR(I154/H154,0))</f>
        <v/>
      </c>
      <c r="N154" s="9" t="str">
        <f aca="false">IF(C154="","",IFERROR(J154/I154,0))</f>
        <v/>
      </c>
      <c r="O154" s="21" t="str">
        <f aca="false">IF(C154="","",IFERROR(J154/L154,0))</f>
        <v/>
      </c>
      <c r="P154" s="22" t="str">
        <f aca="false">IF(C154="","",IFERROR(L154/J154,0))</f>
        <v/>
      </c>
      <c r="Q154" s="34"/>
      <c r="R154" s="4" t="str">
        <f aca="false">IF(C154="","",B154&amp;" | "&amp;C154&amp;" | "&amp;D154)</f>
        <v/>
      </c>
      <c r="S154" s="4" t="str">
        <f aca="false">IF(C154="","",R154&amp;"#"&amp;A154)</f>
        <v/>
      </c>
    </row>
    <row r="155" customFormat="false" ht="15" hidden="false" customHeight="false" outlineLevel="0" collapsed="false">
      <c r="A155" s="33"/>
      <c r="B155" s="34"/>
      <c r="C155" s="34"/>
      <c r="D155" s="34"/>
      <c r="E155" s="34"/>
      <c r="F155" s="34"/>
      <c r="G155" s="7"/>
      <c r="H155" s="35"/>
      <c r="I155" s="35"/>
      <c r="J155" s="7"/>
      <c r="K155" s="35"/>
      <c r="L155" s="7"/>
      <c r="M155" s="21" t="str">
        <f aca="false">IF(C155="","",IFERROR(I155/H155,0))</f>
        <v/>
      </c>
      <c r="N155" s="9" t="str">
        <f aca="false">IF(C155="","",IFERROR(J155/I155,0))</f>
        <v/>
      </c>
      <c r="O155" s="21" t="str">
        <f aca="false">IF(C155="","",IFERROR(J155/L155,0))</f>
        <v/>
      </c>
      <c r="P155" s="22" t="str">
        <f aca="false">IF(C155="","",IFERROR(L155/J155,0))</f>
        <v/>
      </c>
      <c r="Q155" s="34"/>
      <c r="R155" s="4" t="str">
        <f aca="false">IF(C155="","",B155&amp;" | "&amp;C155&amp;" | "&amp;D155)</f>
        <v/>
      </c>
      <c r="S155" s="4" t="str">
        <f aca="false">IF(C155="","",R155&amp;"#"&amp;A155)</f>
        <v/>
      </c>
    </row>
    <row r="156" customFormat="false" ht="15" hidden="false" customHeight="false" outlineLevel="0" collapsed="false">
      <c r="A156" s="33"/>
      <c r="B156" s="34"/>
      <c r="C156" s="34"/>
      <c r="D156" s="34"/>
      <c r="E156" s="34"/>
      <c r="F156" s="34"/>
      <c r="G156" s="7"/>
      <c r="H156" s="35"/>
      <c r="I156" s="35"/>
      <c r="J156" s="7"/>
      <c r="K156" s="35"/>
      <c r="L156" s="7"/>
      <c r="M156" s="21" t="str">
        <f aca="false">IF(C156="","",IFERROR(I156/H156,0))</f>
        <v/>
      </c>
      <c r="N156" s="9" t="str">
        <f aca="false">IF(C156="","",IFERROR(J156/I156,0))</f>
        <v/>
      </c>
      <c r="O156" s="21" t="str">
        <f aca="false">IF(C156="","",IFERROR(J156/L156,0))</f>
        <v/>
      </c>
      <c r="P156" s="22" t="str">
        <f aca="false">IF(C156="","",IFERROR(L156/J156,0))</f>
        <v/>
      </c>
      <c r="Q156" s="34"/>
      <c r="R156" s="4" t="str">
        <f aca="false">IF(C156="","",B156&amp;" | "&amp;C156&amp;" | "&amp;D156)</f>
        <v/>
      </c>
      <c r="S156" s="4" t="str">
        <f aca="false">IF(C156="","",R156&amp;"#"&amp;A156)</f>
        <v/>
      </c>
    </row>
    <row r="157" customFormat="false" ht="15" hidden="false" customHeight="false" outlineLevel="0" collapsed="false">
      <c r="A157" s="33"/>
      <c r="B157" s="34"/>
      <c r="C157" s="34"/>
      <c r="D157" s="34"/>
      <c r="E157" s="34"/>
      <c r="F157" s="34"/>
      <c r="G157" s="7"/>
      <c r="H157" s="35"/>
      <c r="I157" s="35"/>
      <c r="J157" s="7"/>
      <c r="K157" s="35"/>
      <c r="L157" s="7"/>
      <c r="M157" s="21" t="str">
        <f aca="false">IF(C157="","",IFERROR(I157/H157,0))</f>
        <v/>
      </c>
      <c r="N157" s="9" t="str">
        <f aca="false">IF(C157="","",IFERROR(J157/I157,0))</f>
        <v/>
      </c>
      <c r="O157" s="21" t="str">
        <f aca="false">IF(C157="","",IFERROR(J157/L157,0))</f>
        <v/>
      </c>
      <c r="P157" s="22" t="str">
        <f aca="false">IF(C157="","",IFERROR(L157/J157,0))</f>
        <v/>
      </c>
      <c r="Q157" s="34"/>
      <c r="R157" s="4" t="str">
        <f aca="false">IF(C157="","",B157&amp;" | "&amp;C157&amp;" | "&amp;D157)</f>
        <v/>
      </c>
      <c r="S157" s="4" t="str">
        <f aca="false">IF(C157="","",R157&amp;"#"&amp;A157)</f>
        <v/>
      </c>
    </row>
    <row r="158" customFormat="false" ht="15" hidden="false" customHeight="false" outlineLevel="0" collapsed="false">
      <c r="A158" s="33"/>
      <c r="B158" s="34"/>
      <c r="C158" s="34"/>
      <c r="D158" s="34"/>
      <c r="E158" s="34"/>
      <c r="F158" s="34"/>
      <c r="G158" s="7"/>
      <c r="H158" s="35"/>
      <c r="I158" s="35"/>
      <c r="J158" s="7"/>
      <c r="K158" s="35"/>
      <c r="L158" s="7"/>
      <c r="M158" s="21" t="str">
        <f aca="false">IF(C158="","",IFERROR(I158/H158,0))</f>
        <v/>
      </c>
      <c r="N158" s="9" t="str">
        <f aca="false">IF(C158="","",IFERROR(J158/I158,0))</f>
        <v/>
      </c>
      <c r="O158" s="21" t="str">
        <f aca="false">IF(C158="","",IFERROR(J158/L158,0))</f>
        <v/>
      </c>
      <c r="P158" s="22" t="str">
        <f aca="false">IF(C158="","",IFERROR(L158/J158,0))</f>
        <v/>
      </c>
      <c r="Q158" s="34"/>
      <c r="R158" s="4" t="str">
        <f aca="false">IF(C158="","",B158&amp;" | "&amp;C158&amp;" | "&amp;D158)</f>
        <v/>
      </c>
      <c r="S158" s="4" t="str">
        <f aca="false">IF(C158="","",R158&amp;"#"&amp;A158)</f>
        <v/>
      </c>
    </row>
    <row r="159" customFormat="false" ht="15" hidden="false" customHeight="false" outlineLevel="0" collapsed="false">
      <c r="A159" s="33"/>
      <c r="B159" s="34"/>
      <c r="C159" s="34"/>
      <c r="D159" s="34"/>
      <c r="E159" s="34"/>
      <c r="F159" s="34"/>
      <c r="G159" s="7"/>
      <c r="H159" s="35"/>
      <c r="I159" s="35"/>
      <c r="J159" s="7"/>
      <c r="K159" s="35"/>
      <c r="L159" s="7"/>
      <c r="M159" s="21" t="str">
        <f aca="false">IF(C159="","",IFERROR(I159/H159,0))</f>
        <v/>
      </c>
      <c r="N159" s="9" t="str">
        <f aca="false">IF(C159="","",IFERROR(J159/I159,0))</f>
        <v/>
      </c>
      <c r="O159" s="21" t="str">
        <f aca="false">IF(C159="","",IFERROR(J159/L159,0))</f>
        <v/>
      </c>
      <c r="P159" s="22" t="str">
        <f aca="false">IF(C159="","",IFERROR(L159/J159,0))</f>
        <v/>
      </c>
      <c r="Q159" s="34"/>
      <c r="R159" s="4" t="str">
        <f aca="false">IF(C159="","",B159&amp;" | "&amp;C159&amp;" | "&amp;D159)</f>
        <v/>
      </c>
      <c r="S159" s="4" t="str">
        <f aca="false">IF(C159="","",R159&amp;"#"&amp;A159)</f>
        <v/>
      </c>
    </row>
    <row r="160" customFormat="false" ht="15" hidden="false" customHeight="false" outlineLevel="0" collapsed="false">
      <c r="A160" s="33"/>
      <c r="B160" s="34"/>
      <c r="C160" s="34"/>
      <c r="D160" s="34"/>
      <c r="E160" s="34"/>
      <c r="F160" s="34"/>
      <c r="G160" s="7"/>
      <c r="H160" s="35"/>
      <c r="I160" s="35"/>
      <c r="J160" s="7"/>
      <c r="K160" s="35"/>
      <c r="L160" s="7"/>
      <c r="M160" s="21" t="str">
        <f aca="false">IF(C160="","",IFERROR(I160/H160,0))</f>
        <v/>
      </c>
      <c r="N160" s="9" t="str">
        <f aca="false">IF(C160="","",IFERROR(J160/I160,0))</f>
        <v/>
      </c>
      <c r="O160" s="21" t="str">
        <f aca="false">IF(C160="","",IFERROR(J160/L160,0))</f>
        <v/>
      </c>
      <c r="P160" s="22" t="str">
        <f aca="false">IF(C160="","",IFERROR(L160/J160,0))</f>
        <v/>
      </c>
      <c r="Q160" s="34"/>
      <c r="R160" s="4" t="str">
        <f aca="false">IF(C160="","",B160&amp;" | "&amp;C160&amp;" | "&amp;D160)</f>
        <v/>
      </c>
      <c r="S160" s="4" t="str">
        <f aca="false">IF(C160="","",R160&amp;"#"&amp;A160)</f>
        <v/>
      </c>
    </row>
    <row r="161" customFormat="false" ht="15" hidden="false" customHeight="false" outlineLevel="0" collapsed="false">
      <c r="A161" s="33"/>
      <c r="B161" s="34"/>
      <c r="C161" s="34"/>
      <c r="D161" s="34"/>
      <c r="E161" s="34"/>
      <c r="F161" s="34"/>
      <c r="G161" s="7"/>
      <c r="H161" s="35"/>
      <c r="I161" s="35"/>
      <c r="J161" s="7"/>
      <c r="K161" s="35"/>
      <c r="L161" s="7"/>
      <c r="M161" s="21" t="str">
        <f aca="false">IF(C161="","",IFERROR(I161/H161,0))</f>
        <v/>
      </c>
      <c r="N161" s="9" t="str">
        <f aca="false">IF(C161="","",IFERROR(J161/I161,0))</f>
        <v/>
      </c>
      <c r="O161" s="21" t="str">
        <f aca="false">IF(C161="","",IFERROR(J161/L161,0))</f>
        <v/>
      </c>
      <c r="P161" s="22" t="str">
        <f aca="false">IF(C161="","",IFERROR(L161/J161,0))</f>
        <v/>
      </c>
      <c r="Q161" s="34"/>
      <c r="R161" s="4" t="str">
        <f aca="false">IF(C161="","",B161&amp;" | "&amp;C161&amp;" | "&amp;D161)</f>
        <v/>
      </c>
      <c r="S161" s="4" t="str">
        <f aca="false">IF(C161="","",R161&amp;"#"&amp;A161)</f>
        <v/>
      </c>
    </row>
    <row r="162" customFormat="false" ht="15" hidden="false" customHeight="false" outlineLevel="0" collapsed="false">
      <c r="A162" s="33"/>
      <c r="B162" s="34"/>
      <c r="C162" s="34"/>
      <c r="D162" s="34"/>
      <c r="E162" s="34"/>
      <c r="F162" s="34"/>
      <c r="G162" s="7"/>
      <c r="H162" s="35"/>
      <c r="I162" s="35"/>
      <c r="J162" s="7"/>
      <c r="K162" s="35"/>
      <c r="L162" s="7"/>
      <c r="M162" s="21" t="str">
        <f aca="false">IF(C162="","",IFERROR(I162/H162,0))</f>
        <v/>
      </c>
      <c r="N162" s="9" t="str">
        <f aca="false">IF(C162="","",IFERROR(J162/I162,0))</f>
        <v/>
      </c>
      <c r="O162" s="21" t="str">
        <f aca="false">IF(C162="","",IFERROR(J162/L162,0))</f>
        <v/>
      </c>
      <c r="P162" s="22" t="str">
        <f aca="false">IF(C162="","",IFERROR(L162/J162,0))</f>
        <v/>
      </c>
      <c r="Q162" s="34"/>
      <c r="R162" s="4" t="str">
        <f aca="false">IF(C162="","",B162&amp;" | "&amp;C162&amp;" | "&amp;D162)</f>
        <v/>
      </c>
      <c r="S162" s="4" t="str">
        <f aca="false">IF(C162="","",R162&amp;"#"&amp;A162)</f>
        <v/>
      </c>
    </row>
    <row r="163" customFormat="false" ht="15" hidden="false" customHeight="false" outlineLevel="0" collapsed="false">
      <c r="A163" s="33"/>
      <c r="B163" s="34"/>
      <c r="C163" s="34"/>
      <c r="D163" s="34"/>
      <c r="E163" s="34"/>
      <c r="F163" s="34"/>
      <c r="G163" s="7"/>
      <c r="H163" s="35"/>
      <c r="I163" s="35"/>
      <c r="J163" s="7"/>
      <c r="K163" s="35"/>
      <c r="L163" s="7"/>
      <c r="M163" s="21" t="str">
        <f aca="false">IF(C163="","",IFERROR(I163/H163,0))</f>
        <v/>
      </c>
      <c r="N163" s="9" t="str">
        <f aca="false">IF(C163="","",IFERROR(J163/I163,0))</f>
        <v/>
      </c>
      <c r="O163" s="21" t="str">
        <f aca="false">IF(C163="","",IFERROR(J163/L163,0))</f>
        <v/>
      </c>
      <c r="P163" s="22" t="str">
        <f aca="false">IF(C163="","",IFERROR(L163/J163,0))</f>
        <v/>
      </c>
      <c r="Q163" s="34"/>
      <c r="R163" s="4" t="str">
        <f aca="false">IF(C163="","",B163&amp;" | "&amp;C163&amp;" | "&amp;D163)</f>
        <v/>
      </c>
      <c r="S163" s="4" t="str">
        <f aca="false">IF(C163="","",R163&amp;"#"&amp;A163)</f>
        <v/>
      </c>
    </row>
    <row r="164" customFormat="false" ht="15" hidden="false" customHeight="false" outlineLevel="0" collapsed="false">
      <c r="A164" s="33"/>
      <c r="B164" s="34"/>
      <c r="C164" s="34"/>
      <c r="D164" s="34"/>
      <c r="E164" s="34"/>
      <c r="F164" s="34"/>
      <c r="G164" s="7"/>
      <c r="H164" s="35"/>
      <c r="I164" s="35"/>
      <c r="J164" s="7"/>
      <c r="K164" s="35"/>
      <c r="L164" s="7"/>
      <c r="M164" s="21" t="str">
        <f aca="false">IF(C164="","",IFERROR(I164/H164,0))</f>
        <v/>
      </c>
      <c r="N164" s="9" t="str">
        <f aca="false">IF(C164="","",IFERROR(J164/I164,0))</f>
        <v/>
      </c>
      <c r="O164" s="21" t="str">
        <f aca="false">IF(C164="","",IFERROR(J164/L164,0))</f>
        <v/>
      </c>
      <c r="P164" s="22" t="str">
        <f aca="false">IF(C164="","",IFERROR(L164/J164,0))</f>
        <v/>
      </c>
      <c r="Q164" s="34"/>
      <c r="R164" s="4" t="str">
        <f aca="false">IF(C164="","",B164&amp;" | "&amp;C164&amp;" | "&amp;D164)</f>
        <v/>
      </c>
      <c r="S164" s="4" t="str">
        <f aca="false">IF(C164="","",R164&amp;"#"&amp;A164)</f>
        <v/>
      </c>
    </row>
    <row r="165" customFormat="false" ht="15" hidden="false" customHeight="false" outlineLevel="0" collapsed="false">
      <c r="A165" s="33"/>
      <c r="B165" s="34"/>
      <c r="C165" s="34"/>
      <c r="D165" s="34"/>
      <c r="E165" s="34"/>
      <c r="F165" s="34"/>
      <c r="G165" s="7"/>
      <c r="H165" s="35"/>
      <c r="I165" s="35"/>
      <c r="J165" s="7"/>
      <c r="K165" s="35"/>
      <c r="L165" s="7"/>
      <c r="M165" s="21" t="str">
        <f aca="false">IF(C165="","",IFERROR(I165/H165,0))</f>
        <v/>
      </c>
      <c r="N165" s="9" t="str">
        <f aca="false">IF(C165="","",IFERROR(J165/I165,0))</f>
        <v/>
      </c>
      <c r="O165" s="21" t="str">
        <f aca="false">IF(C165="","",IFERROR(J165/L165,0))</f>
        <v/>
      </c>
      <c r="P165" s="22" t="str">
        <f aca="false">IF(C165="","",IFERROR(L165/J165,0))</f>
        <v/>
      </c>
      <c r="Q165" s="34"/>
      <c r="R165" s="4" t="str">
        <f aca="false">IF(C165="","",B165&amp;" | "&amp;C165&amp;" | "&amp;D165)</f>
        <v/>
      </c>
      <c r="S165" s="4" t="str">
        <f aca="false">IF(C165="","",R165&amp;"#"&amp;A165)</f>
        <v/>
      </c>
    </row>
    <row r="166" customFormat="false" ht="15" hidden="false" customHeight="false" outlineLevel="0" collapsed="false">
      <c r="A166" s="33"/>
      <c r="B166" s="34"/>
      <c r="C166" s="34"/>
      <c r="D166" s="34"/>
      <c r="E166" s="34"/>
      <c r="F166" s="34"/>
      <c r="G166" s="7"/>
      <c r="H166" s="35"/>
      <c r="I166" s="35"/>
      <c r="J166" s="7"/>
      <c r="K166" s="35"/>
      <c r="L166" s="7"/>
      <c r="M166" s="21" t="str">
        <f aca="false">IF(C166="","",IFERROR(I166/H166,0))</f>
        <v/>
      </c>
      <c r="N166" s="9" t="str">
        <f aca="false">IF(C166="","",IFERROR(J166/I166,0))</f>
        <v/>
      </c>
      <c r="O166" s="21" t="str">
        <f aca="false">IF(C166="","",IFERROR(J166/L166,0))</f>
        <v/>
      </c>
      <c r="P166" s="22" t="str">
        <f aca="false">IF(C166="","",IFERROR(L166/J166,0))</f>
        <v/>
      </c>
      <c r="Q166" s="34"/>
      <c r="R166" s="4" t="str">
        <f aca="false">IF(C166="","",B166&amp;" | "&amp;C166&amp;" | "&amp;D166)</f>
        <v/>
      </c>
      <c r="S166" s="4" t="str">
        <f aca="false">IF(C166="","",R166&amp;"#"&amp;A166)</f>
        <v/>
      </c>
    </row>
    <row r="167" customFormat="false" ht="15" hidden="false" customHeight="false" outlineLevel="0" collapsed="false">
      <c r="A167" s="33"/>
      <c r="B167" s="34"/>
      <c r="C167" s="34"/>
      <c r="D167" s="34"/>
      <c r="E167" s="34"/>
      <c r="F167" s="34"/>
      <c r="G167" s="7"/>
      <c r="H167" s="35"/>
      <c r="I167" s="35"/>
      <c r="J167" s="7"/>
      <c r="K167" s="35"/>
      <c r="L167" s="7"/>
      <c r="M167" s="21" t="str">
        <f aca="false">IF(C167="","",IFERROR(I167/H167,0))</f>
        <v/>
      </c>
      <c r="N167" s="9" t="str">
        <f aca="false">IF(C167="","",IFERROR(J167/I167,0))</f>
        <v/>
      </c>
      <c r="O167" s="21" t="str">
        <f aca="false">IF(C167="","",IFERROR(J167/L167,0))</f>
        <v/>
      </c>
      <c r="P167" s="22" t="str">
        <f aca="false">IF(C167="","",IFERROR(L167/J167,0))</f>
        <v/>
      </c>
      <c r="Q167" s="34"/>
      <c r="R167" s="4" t="str">
        <f aca="false">IF(C167="","",B167&amp;" | "&amp;C167&amp;" | "&amp;D167)</f>
        <v/>
      </c>
      <c r="S167" s="4" t="str">
        <f aca="false">IF(C167="","",R167&amp;"#"&amp;A167)</f>
        <v/>
      </c>
    </row>
    <row r="168" customFormat="false" ht="15" hidden="false" customHeight="false" outlineLevel="0" collapsed="false">
      <c r="A168" s="33"/>
      <c r="B168" s="34"/>
      <c r="C168" s="34"/>
      <c r="D168" s="34"/>
      <c r="E168" s="34"/>
      <c r="F168" s="34"/>
      <c r="G168" s="7"/>
      <c r="H168" s="35"/>
      <c r="I168" s="35"/>
      <c r="J168" s="7"/>
      <c r="K168" s="35"/>
      <c r="L168" s="7"/>
      <c r="M168" s="21" t="str">
        <f aca="false">IF(C168="","",IFERROR(I168/H168,0))</f>
        <v/>
      </c>
      <c r="N168" s="9" t="str">
        <f aca="false">IF(C168="","",IFERROR(J168/I168,0))</f>
        <v/>
      </c>
      <c r="O168" s="21" t="str">
        <f aca="false">IF(C168="","",IFERROR(J168/L168,0))</f>
        <v/>
      </c>
      <c r="P168" s="22" t="str">
        <f aca="false">IF(C168="","",IFERROR(L168/J168,0))</f>
        <v/>
      </c>
      <c r="Q168" s="34"/>
      <c r="R168" s="4" t="str">
        <f aca="false">IF(C168="","",B168&amp;" | "&amp;C168&amp;" | "&amp;D168)</f>
        <v/>
      </c>
      <c r="S168" s="4" t="str">
        <f aca="false">IF(C168="","",R168&amp;"#"&amp;A168)</f>
        <v/>
      </c>
    </row>
    <row r="169" customFormat="false" ht="15" hidden="false" customHeight="false" outlineLevel="0" collapsed="false">
      <c r="A169" s="33"/>
      <c r="B169" s="34"/>
      <c r="C169" s="34"/>
      <c r="D169" s="34"/>
      <c r="E169" s="34"/>
      <c r="F169" s="34"/>
      <c r="G169" s="7"/>
      <c r="H169" s="35"/>
      <c r="I169" s="35"/>
      <c r="J169" s="7"/>
      <c r="K169" s="35"/>
      <c r="L169" s="7"/>
      <c r="M169" s="21" t="str">
        <f aca="false">IF(C169="","",IFERROR(I169/H169,0))</f>
        <v/>
      </c>
      <c r="N169" s="9" t="str">
        <f aca="false">IF(C169="","",IFERROR(J169/I169,0))</f>
        <v/>
      </c>
      <c r="O169" s="21" t="str">
        <f aca="false">IF(C169="","",IFERROR(J169/L169,0))</f>
        <v/>
      </c>
      <c r="P169" s="22" t="str">
        <f aca="false">IF(C169="","",IFERROR(L169/J169,0))</f>
        <v/>
      </c>
      <c r="Q169" s="34"/>
      <c r="R169" s="4" t="str">
        <f aca="false">IF(C169="","",B169&amp;" | "&amp;C169&amp;" | "&amp;D169)</f>
        <v/>
      </c>
      <c r="S169" s="4" t="str">
        <f aca="false">IF(C169="","",R169&amp;"#"&amp;A169)</f>
        <v/>
      </c>
    </row>
    <row r="170" customFormat="false" ht="15" hidden="false" customHeight="false" outlineLevel="0" collapsed="false">
      <c r="A170" s="33"/>
      <c r="B170" s="34"/>
      <c r="C170" s="34"/>
      <c r="D170" s="34"/>
      <c r="E170" s="34"/>
      <c r="F170" s="34"/>
      <c r="G170" s="7"/>
      <c r="H170" s="35"/>
      <c r="I170" s="35"/>
      <c r="J170" s="7"/>
      <c r="K170" s="35"/>
      <c r="L170" s="7"/>
      <c r="M170" s="21" t="str">
        <f aca="false">IF(C170="","",IFERROR(I170/H170,0))</f>
        <v/>
      </c>
      <c r="N170" s="9" t="str">
        <f aca="false">IF(C170="","",IFERROR(J170/I170,0))</f>
        <v/>
      </c>
      <c r="O170" s="21" t="str">
        <f aca="false">IF(C170="","",IFERROR(J170/L170,0))</f>
        <v/>
      </c>
      <c r="P170" s="22" t="str">
        <f aca="false">IF(C170="","",IFERROR(L170/J170,0))</f>
        <v/>
      </c>
      <c r="Q170" s="34"/>
      <c r="R170" s="4" t="str">
        <f aca="false">IF(C170="","",B170&amp;" | "&amp;C170&amp;" | "&amp;D170)</f>
        <v/>
      </c>
      <c r="S170" s="4" t="str">
        <f aca="false">IF(C170="","",R170&amp;"#"&amp;A170)</f>
        <v/>
      </c>
    </row>
    <row r="171" customFormat="false" ht="15" hidden="false" customHeight="false" outlineLevel="0" collapsed="false">
      <c r="A171" s="33"/>
      <c r="B171" s="34"/>
      <c r="C171" s="34"/>
      <c r="D171" s="34"/>
      <c r="E171" s="34"/>
      <c r="F171" s="34"/>
      <c r="G171" s="7"/>
      <c r="H171" s="35"/>
      <c r="I171" s="35"/>
      <c r="J171" s="7"/>
      <c r="K171" s="35"/>
      <c r="L171" s="7"/>
      <c r="M171" s="21" t="str">
        <f aca="false">IF(C171="","",IFERROR(I171/H171,0))</f>
        <v/>
      </c>
      <c r="N171" s="9" t="str">
        <f aca="false">IF(C171="","",IFERROR(J171/I171,0))</f>
        <v/>
      </c>
      <c r="O171" s="21" t="str">
        <f aca="false">IF(C171="","",IFERROR(J171/L171,0))</f>
        <v/>
      </c>
      <c r="P171" s="22" t="str">
        <f aca="false">IF(C171="","",IFERROR(L171/J171,0))</f>
        <v/>
      </c>
      <c r="Q171" s="34"/>
      <c r="R171" s="4" t="str">
        <f aca="false">IF(C171="","",B171&amp;" | "&amp;C171&amp;" | "&amp;D171)</f>
        <v/>
      </c>
      <c r="S171" s="4" t="str">
        <f aca="false">IF(C171="","",R171&amp;"#"&amp;A171)</f>
        <v/>
      </c>
    </row>
    <row r="172" customFormat="false" ht="15" hidden="false" customHeight="false" outlineLevel="0" collapsed="false">
      <c r="A172" s="33"/>
      <c r="B172" s="34"/>
      <c r="C172" s="34"/>
      <c r="D172" s="34"/>
      <c r="E172" s="34"/>
      <c r="F172" s="34"/>
      <c r="G172" s="7"/>
      <c r="H172" s="35"/>
      <c r="I172" s="35"/>
      <c r="J172" s="7"/>
      <c r="K172" s="35"/>
      <c r="L172" s="7"/>
      <c r="M172" s="21" t="str">
        <f aca="false">IF(C172="","",IFERROR(I172/H172,0))</f>
        <v/>
      </c>
      <c r="N172" s="9" t="str">
        <f aca="false">IF(C172="","",IFERROR(J172/I172,0))</f>
        <v/>
      </c>
      <c r="O172" s="21" t="str">
        <f aca="false">IF(C172="","",IFERROR(J172/L172,0))</f>
        <v/>
      </c>
      <c r="P172" s="22" t="str">
        <f aca="false">IF(C172="","",IFERROR(L172/J172,0))</f>
        <v/>
      </c>
      <c r="Q172" s="34"/>
      <c r="R172" s="4" t="str">
        <f aca="false">IF(C172="","",B172&amp;" | "&amp;C172&amp;" | "&amp;D172)</f>
        <v/>
      </c>
      <c r="S172" s="4" t="str">
        <f aca="false">IF(C172="","",R172&amp;"#"&amp;A172)</f>
        <v/>
      </c>
    </row>
    <row r="173" customFormat="false" ht="15" hidden="false" customHeight="false" outlineLevel="0" collapsed="false">
      <c r="A173" s="33"/>
      <c r="B173" s="34"/>
      <c r="C173" s="34"/>
      <c r="D173" s="34"/>
      <c r="E173" s="34"/>
      <c r="F173" s="34"/>
      <c r="G173" s="7"/>
      <c r="H173" s="35"/>
      <c r="I173" s="35"/>
      <c r="J173" s="7"/>
      <c r="K173" s="35"/>
      <c r="L173" s="7"/>
      <c r="M173" s="21" t="str">
        <f aca="false">IF(C173="","",IFERROR(I173/H173,0))</f>
        <v/>
      </c>
      <c r="N173" s="9" t="str">
        <f aca="false">IF(C173="","",IFERROR(J173/I173,0))</f>
        <v/>
      </c>
      <c r="O173" s="21" t="str">
        <f aca="false">IF(C173="","",IFERROR(J173/L173,0))</f>
        <v/>
      </c>
      <c r="P173" s="22" t="str">
        <f aca="false">IF(C173="","",IFERROR(L173/J173,0))</f>
        <v/>
      </c>
      <c r="Q173" s="34"/>
      <c r="R173" s="4" t="str">
        <f aca="false">IF(C173="","",B173&amp;" | "&amp;C173&amp;" | "&amp;D173)</f>
        <v/>
      </c>
      <c r="S173" s="4" t="str">
        <f aca="false">IF(C173="","",R173&amp;"#"&amp;A173)</f>
        <v/>
      </c>
    </row>
    <row r="174" customFormat="false" ht="15" hidden="false" customHeight="false" outlineLevel="0" collapsed="false">
      <c r="A174" s="33"/>
      <c r="B174" s="34"/>
      <c r="C174" s="34"/>
      <c r="D174" s="34"/>
      <c r="E174" s="34"/>
      <c r="F174" s="34"/>
      <c r="G174" s="7"/>
      <c r="H174" s="35"/>
      <c r="I174" s="35"/>
      <c r="J174" s="7"/>
      <c r="K174" s="35"/>
      <c r="L174" s="7"/>
      <c r="M174" s="21" t="str">
        <f aca="false">IF(C174="","",IFERROR(I174/H174,0))</f>
        <v/>
      </c>
      <c r="N174" s="9" t="str">
        <f aca="false">IF(C174="","",IFERROR(J174/I174,0))</f>
        <v/>
      </c>
      <c r="O174" s="21" t="str">
        <f aca="false">IF(C174="","",IFERROR(J174/L174,0))</f>
        <v/>
      </c>
      <c r="P174" s="22" t="str">
        <f aca="false">IF(C174="","",IFERROR(L174/J174,0))</f>
        <v/>
      </c>
      <c r="Q174" s="34"/>
      <c r="R174" s="4" t="str">
        <f aca="false">IF(C174="","",B174&amp;" | "&amp;C174&amp;" | "&amp;D174)</f>
        <v/>
      </c>
      <c r="S174" s="4" t="str">
        <f aca="false">IF(C174="","",R174&amp;"#"&amp;A174)</f>
        <v/>
      </c>
    </row>
    <row r="175" customFormat="false" ht="15" hidden="false" customHeight="false" outlineLevel="0" collapsed="false">
      <c r="A175" s="33"/>
      <c r="B175" s="34"/>
      <c r="C175" s="34"/>
      <c r="D175" s="34"/>
      <c r="E175" s="34"/>
      <c r="F175" s="34"/>
      <c r="G175" s="7"/>
      <c r="H175" s="35"/>
      <c r="I175" s="35"/>
      <c r="J175" s="7"/>
      <c r="K175" s="35"/>
      <c r="L175" s="7"/>
      <c r="M175" s="21" t="str">
        <f aca="false">IF(C175="","",IFERROR(I175/H175,0))</f>
        <v/>
      </c>
      <c r="N175" s="9" t="str">
        <f aca="false">IF(C175="","",IFERROR(J175/I175,0))</f>
        <v/>
      </c>
      <c r="O175" s="21" t="str">
        <f aca="false">IF(C175="","",IFERROR(J175/L175,0))</f>
        <v/>
      </c>
      <c r="P175" s="22" t="str">
        <f aca="false">IF(C175="","",IFERROR(L175/J175,0))</f>
        <v/>
      </c>
      <c r="Q175" s="34"/>
      <c r="R175" s="4" t="str">
        <f aca="false">IF(C175="","",B175&amp;" | "&amp;C175&amp;" | "&amp;D175)</f>
        <v/>
      </c>
      <c r="S175" s="4" t="str">
        <f aca="false">IF(C175="","",R175&amp;"#"&amp;A175)</f>
        <v/>
      </c>
    </row>
    <row r="176" customFormat="false" ht="15" hidden="false" customHeight="false" outlineLevel="0" collapsed="false">
      <c r="A176" s="33"/>
      <c r="B176" s="34"/>
      <c r="C176" s="34"/>
      <c r="D176" s="34"/>
      <c r="E176" s="34"/>
      <c r="F176" s="34"/>
      <c r="G176" s="7"/>
      <c r="H176" s="35"/>
      <c r="I176" s="35"/>
      <c r="J176" s="7"/>
      <c r="K176" s="35"/>
      <c r="L176" s="7"/>
      <c r="M176" s="21" t="str">
        <f aca="false">IF(C176="","",IFERROR(I176/H176,0))</f>
        <v/>
      </c>
      <c r="N176" s="9" t="str">
        <f aca="false">IF(C176="","",IFERROR(J176/I176,0))</f>
        <v/>
      </c>
      <c r="O176" s="21" t="str">
        <f aca="false">IF(C176="","",IFERROR(J176/L176,0))</f>
        <v/>
      </c>
      <c r="P176" s="22" t="str">
        <f aca="false">IF(C176="","",IFERROR(L176/J176,0))</f>
        <v/>
      </c>
      <c r="Q176" s="34"/>
      <c r="R176" s="4" t="str">
        <f aca="false">IF(C176="","",B176&amp;" | "&amp;C176&amp;" | "&amp;D176)</f>
        <v/>
      </c>
      <c r="S176" s="4" t="str">
        <f aca="false">IF(C176="","",R176&amp;"#"&amp;A176)</f>
        <v/>
      </c>
    </row>
    <row r="177" customFormat="false" ht="15" hidden="false" customHeight="false" outlineLevel="0" collapsed="false">
      <c r="A177" s="33"/>
      <c r="B177" s="34"/>
      <c r="C177" s="34"/>
      <c r="D177" s="34"/>
      <c r="E177" s="34"/>
      <c r="F177" s="34"/>
      <c r="G177" s="7"/>
      <c r="H177" s="35"/>
      <c r="I177" s="35"/>
      <c r="J177" s="7"/>
      <c r="K177" s="35"/>
      <c r="L177" s="7"/>
      <c r="M177" s="21" t="str">
        <f aca="false">IF(C177="","",IFERROR(I177/H177,0))</f>
        <v/>
      </c>
      <c r="N177" s="9" t="str">
        <f aca="false">IF(C177="","",IFERROR(J177/I177,0))</f>
        <v/>
      </c>
      <c r="O177" s="21" t="str">
        <f aca="false">IF(C177="","",IFERROR(J177/L177,0))</f>
        <v/>
      </c>
      <c r="P177" s="22" t="str">
        <f aca="false">IF(C177="","",IFERROR(L177/J177,0))</f>
        <v/>
      </c>
      <c r="Q177" s="34"/>
      <c r="R177" s="4" t="str">
        <f aca="false">IF(C177="","",B177&amp;" | "&amp;C177&amp;" | "&amp;D177)</f>
        <v/>
      </c>
      <c r="S177" s="4" t="str">
        <f aca="false">IF(C177="","",R177&amp;"#"&amp;A177)</f>
        <v/>
      </c>
    </row>
    <row r="178" customFormat="false" ht="15" hidden="false" customHeight="false" outlineLevel="0" collapsed="false">
      <c r="A178" s="33"/>
      <c r="B178" s="34"/>
      <c r="C178" s="34"/>
      <c r="D178" s="34"/>
      <c r="E178" s="34"/>
      <c r="F178" s="34"/>
      <c r="G178" s="7"/>
      <c r="H178" s="35"/>
      <c r="I178" s="35"/>
      <c r="J178" s="7"/>
      <c r="K178" s="35"/>
      <c r="L178" s="7"/>
      <c r="M178" s="21" t="str">
        <f aca="false">IF(C178="","",IFERROR(I178/H178,0))</f>
        <v/>
      </c>
      <c r="N178" s="9" t="str">
        <f aca="false">IF(C178="","",IFERROR(J178/I178,0))</f>
        <v/>
      </c>
      <c r="O178" s="21" t="str">
        <f aca="false">IF(C178="","",IFERROR(J178/L178,0))</f>
        <v/>
      </c>
      <c r="P178" s="22" t="str">
        <f aca="false">IF(C178="","",IFERROR(L178/J178,0))</f>
        <v/>
      </c>
      <c r="Q178" s="34"/>
      <c r="R178" s="4" t="str">
        <f aca="false">IF(C178="","",B178&amp;" | "&amp;C178&amp;" | "&amp;D178)</f>
        <v/>
      </c>
      <c r="S178" s="4" t="str">
        <f aca="false">IF(C178="","",R178&amp;"#"&amp;A178)</f>
        <v/>
      </c>
    </row>
    <row r="179" customFormat="false" ht="15" hidden="false" customHeight="false" outlineLevel="0" collapsed="false">
      <c r="A179" s="33"/>
      <c r="B179" s="34"/>
      <c r="C179" s="34"/>
      <c r="D179" s="34"/>
      <c r="E179" s="34"/>
      <c r="F179" s="34"/>
      <c r="G179" s="7"/>
      <c r="H179" s="35"/>
      <c r="I179" s="35"/>
      <c r="J179" s="7"/>
      <c r="K179" s="35"/>
      <c r="L179" s="7"/>
      <c r="M179" s="21" t="str">
        <f aca="false">IF(C179="","",IFERROR(I179/H179,0))</f>
        <v/>
      </c>
      <c r="N179" s="9" t="str">
        <f aca="false">IF(C179="","",IFERROR(J179/I179,0))</f>
        <v/>
      </c>
      <c r="O179" s="21" t="str">
        <f aca="false">IF(C179="","",IFERROR(J179/L179,0))</f>
        <v/>
      </c>
      <c r="P179" s="22" t="str">
        <f aca="false">IF(C179="","",IFERROR(L179/J179,0))</f>
        <v/>
      </c>
      <c r="Q179" s="34"/>
      <c r="R179" s="4" t="str">
        <f aca="false">IF(C179="","",B179&amp;" | "&amp;C179&amp;" | "&amp;D179)</f>
        <v/>
      </c>
      <c r="S179" s="4" t="str">
        <f aca="false">IF(C179="","",R179&amp;"#"&amp;A179)</f>
        <v/>
      </c>
    </row>
    <row r="180" customFormat="false" ht="15" hidden="false" customHeight="false" outlineLevel="0" collapsed="false">
      <c r="A180" s="33"/>
      <c r="B180" s="34"/>
      <c r="C180" s="34"/>
      <c r="D180" s="34"/>
      <c r="E180" s="34"/>
      <c r="F180" s="34"/>
      <c r="G180" s="7"/>
      <c r="H180" s="35"/>
      <c r="I180" s="35"/>
      <c r="J180" s="7"/>
      <c r="K180" s="35"/>
      <c r="L180" s="7"/>
      <c r="M180" s="21" t="str">
        <f aca="false">IF(C180="","",IFERROR(I180/H180,0))</f>
        <v/>
      </c>
      <c r="N180" s="9" t="str">
        <f aca="false">IF(C180="","",IFERROR(J180/I180,0))</f>
        <v/>
      </c>
      <c r="O180" s="21" t="str">
        <f aca="false">IF(C180="","",IFERROR(J180/L180,0))</f>
        <v/>
      </c>
      <c r="P180" s="22" t="str">
        <f aca="false">IF(C180="","",IFERROR(L180/J180,0))</f>
        <v/>
      </c>
      <c r="Q180" s="34"/>
      <c r="R180" s="4" t="str">
        <f aca="false">IF(C180="","",B180&amp;" | "&amp;C180&amp;" | "&amp;D180)</f>
        <v/>
      </c>
      <c r="S180" s="4" t="str">
        <f aca="false">IF(C180="","",R180&amp;"#"&amp;A180)</f>
        <v/>
      </c>
    </row>
    <row r="181" customFormat="false" ht="15" hidden="false" customHeight="false" outlineLevel="0" collapsed="false">
      <c r="A181" s="33"/>
      <c r="B181" s="34"/>
      <c r="C181" s="34"/>
      <c r="D181" s="34"/>
      <c r="E181" s="34"/>
      <c r="F181" s="34"/>
      <c r="G181" s="7"/>
      <c r="H181" s="35"/>
      <c r="I181" s="35"/>
      <c r="J181" s="7"/>
      <c r="K181" s="35"/>
      <c r="L181" s="7"/>
      <c r="M181" s="21" t="str">
        <f aca="false">IF(C181="","",IFERROR(I181/H181,0))</f>
        <v/>
      </c>
      <c r="N181" s="9" t="str">
        <f aca="false">IF(C181="","",IFERROR(J181/I181,0))</f>
        <v/>
      </c>
      <c r="O181" s="21" t="str">
        <f aca="false">IF(C181="","",IFERROR(J181/L181,0))</f>
        <v/>
      </c>
      <c r="P181" s="22" t="str">
        <f aca="false">IF(C181="","",IFERROR(L181/J181,0))</f>
        <v/>
      </c>
      <c r="Q181" s="34"/>
      <c r="R181" s="4" t="str">
        <f aca="false">IF(C181="","",B181&amp;" | "&amp;C181&amp;" | "&amp;D181)</f>
        <v/>
      </c>
      <c r="S181" s="4" t="str">
        <f aca="false">IF(C181="","",R181&amp;"#"&amp;A181)</f>
        <v/>
      </c>
    </row>
    <row r="182" customFormat="false" ht="15" hidden="false" customHeight="false" outlineLevel="0" collapsed="false">
      <c r="A182" s="33"/>
      <c r="B182" s="34"/>
      <c r="C182" s="34"/>
      <c r="D182" s="34"/>
      <c r="E182" s="34"/>
      <c r="F182" s="34"/>
      <c r="G182" s="7"/>
      <c r="H182" s="35"/>
      <c r="I182" s="35"/>
      <c r="J182" s="7"/>
      <c r="K182" s="35"/>
      <c r="L182" s="7"/>
      <c r="M182" s="21" t="str">
        <f aca="false">IF(C182="","",IFERROR(I182/H182,0))</f>
        <v/>
      </c>
      <c r="N182" s="9" t="str">
        <f aca="false">IF(C182="","",IFERROR(J182/I182,0))</f>
        <v/>
      </c>
      <c r="O182" s="21" t="str">
        <f aca="false">IF(C182="","",IFERROR(J182/L182,0))</f>
        <v/>
      </c>
      <c r="P182" s="22" t="str">
        <f aca="false">IF(C182="","",IFERROR(L182/J182,0))</f>
        <v/>
      </c>
      <c r="Q182" s="34"/>
      <c r="R182" s="4" t="str">
        <f aca="false">IF(C182="","",B182&amp;" | "&amp;C182&amp;" | "&amp;D182)</f>
        <v/>
      </c>
      <c r="S182" s="4" t="str">
        <f aca="false">IF(C182="","",R182&amp;"#"&amp;A182)</f>
        <v/>
      </c>
    </row>
    <row r="183" customFormat="false" ht="15" hidden="false" customHeight="false" outlineLevel="0" collapsed="false">
      <c r="A183" s="33"/>
      <c r="B183" s="34"/>
      <c r="C183" s="34"/>
      <c r="D183" s="34"/>
      <c r="E183" s="34"/>
      <c r="F183" s="34"/>
      <c r="G183" s="7"/>
      <c r="H183" s="35"/>
      <c r="I183" s="35"/>
      <c r="J183" s="7"/>
      <c r="K183" s="35"/>
      <c r="L183" s="7"/>
      <c r="M183" s="21" t="str">
        <f aca="false">IF(C183="","",IFERROR(I183/H183,0))</f>
        <v/>
      </c>
      <c r="N183" s="9" t="str">
        <f aca="false">IF(C183="","",IFERROR(J183/I183,0))</f>
        <v/>
      </c>
      <c r="O183" s="21" t="str">
        <f aca="false">IF(C183="","",IFERROR(J183/L183,0))</f>
        <v/>
      </c>
      <c r="P183" s="22" t="str">
        <f aca="false">IF(C183="","",IFERROR(L183/J183,0))</f>
        <v/>
      </c>
      <c r="Q183" s="34"/>
      <c r="R183" s="4" t="str">
        <f aca="false">IF(C183="","",B183&amp;" | "&amp;C183&amp;" | "&amp;D183)</f>
        <v/>
      </c>
      <c r="S183" s="4" t="str">
        <f aca="false">IF(C183="","",R183&amp;"#"&amp;A183)</f>
        <v/>
      </c>
    </row>
    <row r="184" customFormat="false" ht="15" hidden="false" customHeight="false" outlineLevel="0" collapsed="false">
      <c r="A184" s="33"/>
      <c r="B184" s="34"/>
      <c r="C184" s="34"/>
      <c r="D184" s="34"/>
      <c r="E184" s="34"/>
      <c r="F184" s="34"/>
      <c r="G184" s="7"/>
      <c r="H184" s="35"/>
      <c r="I184" s="35"/>
      <c r="J184" s="7"/>
      <c r="K184" s="35"/>
      <c r="L184" s="7"/>
      <c r="M184" s="21" t="str">
        <f aca="false">IF(C184="","",IFERROR(I184/H184,0))</f>
        <v/>
      </c>
      <c r="N184" s="9" t="str">
        <f aca="false">IF(C184="","",IFERROR(J184/I184,0))</f>
        <v/>
      </c>
      <c r="O184" s="21" t="str">
        <f aca="false">IF(C184="","",IFERROR(J184/L184,0))</f>
        <v/>
      </c>
      <c r="P184" s="22" t="str">
        <f aca="false">IF(C184="","",IFERROR(L184/J184,0))</f>
        <v/>
      </c>
      <c r="Q184" s="34"/>
      <c r="R184" s="4" t="str">
        <f aca="false">IF(C184="","",B184&amp;" | "&amp;C184&amp;" | "&amp;D184)</f>
        <v/>
      </c>
      <c r="S184" s="4" t="str">
        <f aca="false">IF(C184="","",R184&amp;"#"&amp;A184)</f>
        <v/>
      </c>
    </row>
    <row r="185" customFormat="false" ht="15" hidden="false" customHeight="false" outlineLevel="0" collapsed="false">
      <c r="A185" s="33"/>
      <c r="B185" s="34"/>
      <c r="C185" s="34"/>
      <c r="D185" s="34"/>
      <c r="E185" s="34"/>
      <c r="F185" s="34"/>
      <c r="G185" s="7"/>
      <c r="H185" s="35"/>
      <c r="I185" s="35"/>
      <c r="J185" s="7"/>
      <c r="K185" s="35"/>
      <c r="L185" s="7"/>
      <c r="M185" s="21" t="str">
        <f aca="false">IF(C185="","",IFERROR(I185/H185,0))</f>
        <v/>
      </c>
      <c r="N185" s="9" t="str">
        <f aca="false">IF(C185="","",IFERROR(J185/I185,0))</f>
        <v/>
      </c>
      <c r="O185" s="21" t="str">
        <f aca="false">IF(C185="","",IFERROR(J185/L185,0))</f>
        <v/>
      </c>
      <c r="P185" s="22" t="str">
        <f aca="false">IF(C185="","",IFERROR(L185/J185,0))</f>
        <v/>
      </c>
      <c r="Q185" s="34"/>
      <c r="R185" s="4" t="str">
        <f aca="false">IF(C185="","",B185&amp;" | "&amp;C185&amp;" | "&amp;D185)</f>
        <v/>
      </c>
      <c r="S185" s="4" t="str">
        <f aca="false">IF(C185="","",R185&amp;"#"&amp;A185)</f>
        <v/>
      </c>
    </row>
    <row r="186" customFormat="false" ht="15" hidden="false" customHeight="false" outlineLevel="0" collapsed="false">
      <c r="A186" s="33"/>
      <c r="B186" s="34"/>
      <c r="C186" s="34"/>
      <c r="D186" s="34"/>
      <c r="E186" s="34"/>
      <c r="F186" s="34"/>
      <c r="G186" s="7"/>
      <c r="H186" s="35"/>
      <c r="I186" s="35"/>
      <c r="J186" s="7"/>
      <c r="K186" s="35"/>
      <c r="L186" s="7"/>
      <c r="M186" s="21" t="str">
        <f aca="false">IF(C186="","",IFERROR(I186/H186,0))</f>
        <v/>
      </c>
      <c r="N186" s="9" t="str">
        <f aca="false">IF(C186="","",IFERROR(J186/I186,0))</f>
        <v/>
      </c>
      <c r="O186" s="21" t="str">
        <f aca="false">IF(C186="","",IFERROR(J186/L186,0))</f>
        <v/>
      </c>
      <c r="P186" s="22" t="str">
        <f aca="false">IF(C186="","",IFERROR(L186/J186,0))</f>
        <v/>
      </c>
      <c r="Q186" s="34"/>
      <c r="R186" s="4" t="str">
        <f aca="false">IF(C186="","",B186&amp;" | "&amp;C186&amp;" | "&amp;D186)</f>
        <v/>
      </c>
      <c r="S186" s="4" t="str">
        <f aca="false">IF(C186="","",R186&amp;"#"&amp;A186)</f>
        <v/>
      </c>
    </row>
    <row r="187" customFormat="false" ht="15" hidden="false" customHeight="false" outlineLevel="0" collapsed="false">
      <c r="A187" s="33"/>
      <c r="B187" s="34"/>
      <c r="C187" s="34"/>
      <c r="D187" s="34"/>
      <c r="E187" s="34"/>
      <c r="F187" s="34"/>
      <c r="G187" s="7"/>
      <c r="H187" s="35"/>
      <c r="I187" s="35"/>
      <c r="J187" s="7"/>
      <c r="K187" s="35"/>
      <c r="L187" s="7"/>
      <c r="M187" s="21" t="str">
        <f aca="false">IF(C187="","",IFERROR(I187/H187,0))</f>
        <v/>
      </c>
      <c r="N187" s="9" t="str">
        <f aca="false">IF(C187="","",IFERROR(J187/I187,0))</f>
        <v/>
      </c>
      <c r="O187" s="21" t="str">
        <f aca="false">IF(C187="","",IFERROR(J187/L187,0))</f>
        <v/>
      </c>
      <c r="P187" s="22" t="str">
        <f aca="false">IF(C187="","",IFERROR(L187/J187,0))</f>
        <v/>
      </c>
      <c r="Q187" s="34"/>
      <c r="R187" s="4" t="str">
        <f aca="false">IF(C187="","",B187&amp;" | "&amp;C187&amp;" | "&amp;D187)</f>
        <v/>
      </c>
      <c r="S187" s="4" t="str">
        <f aca="false">IF(C187="","",R187&amp;"#"&amp;A187)</f>
        <v/>
      </c>
    </row>
    <row r="188" customFormat="false" ht="15" hidden="false" customHeight="false" outlineLevel="0" collapsed="false">
      <c r="A188" s="33"/>
      <c r="B188" s="34"/>
      <c r="C188" s="34"/>
      <c r="D188" s="34"/>
      <c r="E188" s="34"/>
      <c r="F188" s="34"/>
      <c r="G188" s="7"/>
      <c r="H188" s="35"/>
      <c r="I188" s="35"/>
      <c r="J188" s="7"/>
      <c r="K188" s="35"/>
      <c r="L188" s="7"/>
      <c r="M188" s="21" t="str">
        <f aca="false">IF(C188="","",IFERROR(I188/H188,0))</f>
        <v/>
      </c>
      <c r="N188" s="9" t="str">
        <f aca="false">IF(C188="","",IFERROR(J188/I188,0))</f>
        <v/>
      </c>
      <c r="O188" s="21" t="str">
        <f aca="false">IF(C188="","",IFERROR(J188/L188,0))</f>
        <v/>
      </c>
      <c r="P188" s="22" t="str">
        <f aca="false">IF(C188="","",IFERROR(L188/J188,0))</f>
        <v/>
      </c>
      <c r="Q188" s="34"/>
      <c r="R188" s="4" t="str">
        <f aca="false">IF(C188="","",B188&amp;" | "&amp;C188&amp;" | "&amp;D188)</f>
        <v/>
      </c>
      <c r="S188" s="4" t="str">
        <f aca="false">IF(C188="","",R188&amp;"#"&amp;A188)</f>
        <v/>
      </c>
    </row>
    <row r="189" customFormat="false" ht="15" hidden="false" customHeight="false" outlineLevel="0" collapsed="false">
      <c r="A189" s="33"/>
      <c r="B189" s="34"/>
      <c r="C189" s="34"/>
      <c r="D189" s="34"/>
      <c r="E189" s="34"/>
      <c r="F189" s="34"/>
      <c r="G189" s="7"/>
      <c r="H189" s="35"/>
      <c r="I189" s="35"/>
      <c r="J189" s="7"/>
      <c r="K189" s="35"/>
      <c r="L189" s="7"/>
      <c r="M189" s="21" t="str">
        <f aca="false">IF(C189="","",IFERROR(I189/H189,0))</f>
        <v/>
      </c>
      <c r="N189" s="9" t="str">
        <f aca="false">IF(C189="","",IFERROR(J189/I189,0))</f>
        <v/>
      </c>
      <c r="O189" s="21" t="str">
        <f aca="false">IF(C189="","",IFERROR(J189/L189,0))</f>
        <v/>
      </c>
      <c r="P189" s="22" t="str">
        <f aca="false">IF(C189="","",IFERROR(L189/J189,0))</f>
        <v/>
      </c>
      <c r="Q189" s="34"/>
      <c r="R189" s="4" t="str">
        <f aca="false">IF(C189="","",B189&amp;" | "&amp;C189&amp;" | "&amp;D189)</f>
        <v/>
      </c>
      <c r="S189" s="4" t="str">
        <f aca="false">IF(C189="","",R189&amp;"#"&amp;A189)</f>
        <v/>
      </c>
    </row>
    <row r="190" customFormat="false" ht="15" hidden="false" customHeight="false" outlineLevel="0" collapsed="false">
      <c r="A190" s="33"/>
      <c r="B190" s="34"/>
      <c r="C190" s="34"/>
      <c r="D190" s="34"/>
      <c r="E190" s="34"/>
      <c r="F190" s="34"/>
      <c r="G190" s="7"/>
      <c r="H190" s="35"/>
      <c r="I190" s="35"/>
      <c r="J190" s="7"/>
      <c r="K190" s="35"/>
      <c r="L190" s="7"/>
      <c r="M190" s="21" t="str">
        <f aca="false">IF(C190="","",IFERROR(I190/H190,0))</f>
        <v/>
      </c>
      <c r="N190" s="9" t="str">
        <f aca="false">IF(C190="","",IFERROR(J190/I190,0))</f>
        <v/>
      </c>
      <c r="O190" s="21" t="str">
        <f aca="false">IF(C190="","",IFERROR(J190/L190,0))</f>
        <v/>
      </c>
      <c r="P190" s="22" t="str">
        <f aca="false">IF(C190="","",IFERROR(L190/J190,0))</f>
        <v/>
      </c>
      <c r="Q190" s="34"/>
      <c r="R190" s="4" t="str">
        <f aca="false">IF(C190="","",B190&amp;" | "&amp;C190&amp;" | "&amp;D190)</f>
        <v/>
      </c>
      <c r="S190" s="4" t="str">
        <f aca="false">IF(C190="","",R190&amp;"#"&amp;A190)</f>
        <v/>
      </c>
    </row>
    <row r="191" customFormat="false" ht="15" hidden="false" customHeight="false" outlineLevel="0" collapsed="false">
      <c r="A191" s="33"/>
      <c r="B191" s="34"/>
      <c r="C191" s="34"/>
      <c r="D191" s="34"/>
      <c r="E191" s="34"/>
      <c r="F191" s="34"/>
      <c r="G191" s="7"/>
      <c r="H191" s="35"/>
      <c r="I191" s="35"/>
      <c r="J191" s="7"/>
      <c r="K191" s="35"/>
      <c r="L191" s="7"/>
      <c r="M191" s="21" t="str">
        <f aca="false">IF(C191="","",IFERROR(I191/H191,0))</f>
        <v/>
      </c>
      <c r="N191" s="9" t="str">
        <f aca="false">IF(C191="","",IFERROR(J191/I191,0))</f>
        <v/>
      </c>
      <c r="O191" s="21" t="str">
        <f aca="false">IF(C191="","",IFERROR(J191/L191,0))</f>
        <v/>
      </c>
      <c r="P191" s="22" t="str">
        <f aca="false">IF(C191="","",IFERROR(L191/J191,0))</f>
        <v/>
      </c>
      <c r="Q191" s="34"/>
      <c r="R191" s="4" t="str">
        <f aca="false">IF(C191="","",B191&amp;" | "&amp;C191&amp;" | "&amp;D191)</f>
        <v/>
      </c>
      <c r="S191" s="4" t="str">
        <f aca="false">IF(C191="","",R191&amp;"#"&amp;A191)</f>
        <v/>
      </c>
    </row>
    <row r="192" customFormat="false" ht="15" hidden="false" customHeight="false" outlineLevel="0" collapsed="false">
      <c r="A192" s="33"/>
      <c r="B192" s="34"/>
      <c r="C192" s="34"/>
      <c r="D192" s="34"/>
      <c r="E192" s="34"/>
      <c r="F192" s="34"/>
      <c r="G192" s="7"/>
      <c r="H192" s="35"/>
      <c r="I192" s="35"/>
      <c r="J192" s="7"/>
      <c r="K192" s="35"/>
      <c r="L192" s="7"/>
      <c r="M192" s="21" t="str">
        <f aca="false">IF(C192="","",IFERROR(I192/H192,0))</f>
        <v/>
      </c>
      <c r="N192" s="9" t="str">
        <f aca="false">IF(C192="","",IFERROR(J192/I192,0))</f>
        <v/>
      </c>
      <c r="O192" s="21" t="str">
        <f aca="false">IF(C192="","",IFERROR(J192/L192,0))</f>
        <v/>
      </c>
      <c r="P192" s="22" t="str">
        <f aca="false">IF(C192="","",IFERROR(L192/J192,0))</f>
        <v/>
      </c>
      <c r="Q192" s="34"/>
      <c r="R192" s="4" t="str">
        <f aca="false">IF(C192="","",B192&amp;" | "&amp;C192&amp;" | "&amp;D192)</f>
        <v/>
      </c>
      <c r="S192" s="4" t="str">
        <f aca="false">IF(C192="","",R192&amp;"#"&amp;A192)</f>
        <v/>
      </c>
    </row>
    <row r="193" customFormat="false" ht="15" hidden="false" customHeight="false" outlineLevel="0" collapsed="false">
      <c r="A193" s="33"/>
      <c r="B193" s="34"/>
      <c r="C193" s="34"/>
      <c r="D193" s="34"/>
      <c r="E193" s="34"/>
      <c r="F193" s="34"/>
      <c r="G193" s="7"/>
      <c r="H193" s="35"/>
      <c r="I193" s="35"/>
      <c r="J193" s="7"/>
      <c r="K193" s="35"/>
      <c r="L193" s="7"/>
      <c r="M193" s="21" t="str">
        <f aca="false">IF(C193="","",IFERROR(I193/H193,0))</f>
        <v/>
      </c>
      <c r="N193" s="9" t="str">
        <f aca="false">IF(C193="","",IFERROR(J193/I193,0))</f>
        <v/>
      </c>
      <c r="O193" s="21" t="str">
        <f aca="false">IF(C193="","",IFERROR(J193/L193,0))</f>
        <v/>
      </c>
      <c r="P193" s="22" t="str">
        <f aca="false">IF(C193="","",IFERROR(L193/J193,0))</f>
        <v/>
      </c>
      <c r="Q193" s="34"/>
      <c r="R193" s="4" t="str">
        <f aca="false">IF(C193="","",B193&amp;" | "&amp;C193&amp;" | "&amp;D193)</f>
        <v/>
      </c>
      <c r="S193" s="4" t="str">
        <f aca="false">IF(C193="","",R193&amp;"#"&amp;A193)</f>
        <v/>
      </c>
    </row>
    <row r="194" customFormat="false" ht="15" hidden="false" customHeight="false" outlineLevel="0" collapsed="false">
      <c r="A194" s="33"/>
      <c r="B194" s="34"/>
      <c r="C194" s="34"/>
      <c r="D194" s="34"/>
      <c r="E194" s="34"/>
      <c r="F194" s="34"/>
      <c r="G194" s="7"/>
      <c r="H194" s="35"/>
      <c r="I194" s="35"/>
      <c r="J194" s="7"/>
      <c r="K194" s="35"/>
      <c r="L194" s="7"/>
      <c r="M194" s="21" t="str">
        <f aca="false">IF(C194="","",IFERROR(I194/H194,0))</f>
        <v/>
      </c>
      <c r="N194" s="9" t="str">
        <f aca="false">IF(C194="","",IFERROR(J194/I194,0))</f>
        <v/>
      </c>
      <c r="O194" s="21" t="str">
        <f aca="false">IF(C194="","",IFERROR(J194/L194,0))</f>
        <v/>
      </c>
      <c r="P194" s="22" t="str">
        <f aca="false">IF(C194="","",IFERROR(L194/J194,0))</f>
        <v/>
      </c>
      <c r="Q194" s="34"/>
      <c r="R194" s="4" t="str">
        <f aca="false">IF(C194="","",B194&amp;" | "&amp;C194&amp;" | "&amp;D194)</f>
        <v/>
      </c>
      <c r="S194" s="4" t="str">
        <f aca="false">IF(C194="","",R194&amp;"#"&amp;A194)</f>
        <v/>
      </c>
    </row>
    <row r="195" customFormat="false" ht="15" hidden="false" customHeight="false" outlineLevel="0" collapsed="false">
      <c r="A195" s="33"/>
      <c r="B195" s="34"/>
      <c r="C195" s="34"/>
      <c r="D195" s="34"/>
      <c r="E195" s="34"/>
      <c r="F195" s="34"/>
      <c r="G195" s="7"/>
      <c r="H195" s="35"/>
      <c r="I195" s="35"/>
      <c r="J195" s="7"/>
      <c r="K195" s="35"/>
      <c r="L195" s="7"/>
      <c r="M195" s="21" t="str">
        <f aca="false">IF(C195="","",IFERROR(I195/H195,0))</f>
        <v/>
      </c>
      <c r="N195" s="9" t="str">
        <f aca="false">IF(C195="","",IFERROR(J195/I195,0))</f>
        <v/>
      </c>
      <c r="O195" s="21" t="str">
        <f aca="false">IF(C195="","",IFERROR(J195/L195,0))</f>
        <v/>
      </c>
      <c r="P195" s="22" t="str">
        <f aca="false">IF(C195="","",IFERROR(L195/J195,0))</f>
        <v/>
      </c>
      <c r="Q195" s="34"/>
      <c r="R195" s="4" t="str">
        <f aca="false">IF(C195="","",B195&amp;" | "&amp;C195&amp;" | "&amp;D195)</f>
        <v/>
      </c>
      <c r="S195" s="4" t="str">
        <f aca="false">IF(C195="","",R195&amp;"#"&amp;A195)</f>
        <v/>
      </c>
    </row>
    <row r="196" customFormat="false" ht="15" hidden="false" customHeight="false" outlineLevel="0" collapsed="false">
      <c r="A196" s="33"/>
      <c r="B196" s="34"/>
      <c r="C196" s="34"/>
      <c r="D196" s="34"/>
      <c r="E196" s="34"/>
      <c r="F196" s="34"/>
      <c r="G196" s="7"/>
      <c r="H196" s="35"/>
      <c r="I196" s="35"/>
      <c r="J196" s="7"/>
      <c r="K196" s="35"/>
      <c r="L196" s="7"/>
      <c r="M196" s="21" t="str">
        <f aca="false">IF(C196="","",IFERROR(I196/H196,0))</f>
        <v/>
      </c>
      <c r="N196" s="9" t="str">
        <f aca="false">IF(C196="","",IFERROR(J196/I196,0))</f>
        <v/>
      </c>
      <c r="O196" s="21" t="str">
        <f aca="false">IF(C196="","",IFERROR(J196/L196,0))</f>
        <v/>
      </c>
      <c r="P196" s="22" t="str">
        <f aca="false">IF(C196="","",IFERROR(L196/J196,0))</f>
        <v/>
      </c>
      <c r="Q196" s="34"/>
      <c r="R196" s="4" t="str">
        <f aca="false">IF(C196="","",B196&amp;" | "&amp;C196&amp;" | "&amp;D196)</f>
        <v/>
      </c>
      <c r="S196" s="4" t="str">
        <f aca="false">IF(C196="","",R196&amp;"#"&amp;A196)</f>
        <v/>
      </c>
    </row>
    <row r="197" customFormat="false" ht="15" hidden="false" customHeight="false" outlineLevel="0" collapsed="false">
      <c r="A197" s="33"/>
      <c r="B197" s="34"/>
      <c r="C197" s="34"/>
      <c r="D197" s="34"/>
      <c r="E197" s="34"/>
      <c r="F197" s="34"/>
      <c r="G197" s="7"/>
      <c r="H197" s="35"/>
      <c r="I197" s="35"/>
      <c r="J197" s="7"/>
      <c r="K197" s="35"/>
      <c r="L197" s="7"/>
      <c r="M197" s="21" t="str">
        <f aca="false">IF(C197="","",IFERROR(I197/H197,0))</f>
        <v/>
      </c>
      <c r="N197" s="9" t="str">
        <f aca="false">IF(C197="","",IFERROR(J197/I197,0))</f>
        <v/>
      </c>
      <c r="O197" s="21" t="str">
        <f aca="false">IF(C197="","",IFERROR(J197/L197,0))</f>
        <v/>
      </c>
      <c r="P197" s="22" t="str">
        <f aca="false">IF(C197="","",IFERROR(L197/J197,0))</f>
        <v/>
      </c>
      <c r="Q197" s="34"/>
      <c r="R197" s="4" t="str">
        <f aca="false">IF(C197="","",B197&amp;" | "&amp;C197&amp;" | "&amp;D197)</f>
        <v/>
      </c>
      <c r="S197" s="4" t="str">
        <f aca="false">IF(C197="","",R197&amp;"#"&amp;A197)</f>
        <v/>
      </c>
    </row>
    <row r="198" customFormat="false" ht="15" hidden="false" customHeight="false" outlineLevel="0" collapsed="false">
      <c r="A198" s="33"/>
      <c r="B198" s="34"/>
      <c r="C198" s="34"/>
      <c r="D198" s="34"/>
      <c r="E198" s="34"/>
      <c r="F198" s="34"/>
      <c r="G198" s="7"/>
      <c r="H198" s="35"/>
      <c r="I198" s="35"/>
      <c r="J198" s="7"/>
      <c r="K198" s="35"/>
      <c r="L198" s="7"/>
      <c r="M198" s="21" t="str">
        <f aca="false">IF(C198="","",IFERROR(I198/H198,0))</f>
        <v/>
      </c>
      <c r="N198" s="9" t="str">
        <f aca="false">IF(C198="","",IFERROR(J198/I198,0))</f>
        <v/>
      </c>
      <c r="O198" s="21" t="str">
        <f aca="false">IF(C198="","",IFERROR(J198/L198,0))</f>
        <v/>
      </c>
      <c r="P198" s="22" t="str">
        <f aca="false">IF(C198="","",IFERROR(L198/J198,0))</f>
        <v/>
      </c>
      <c r="Q198" s="34"/>
      <c r="R198" s="4" t="str">
        <f aca="false">IF(C198="","",B198&amp;" | "&amp;C198&amp;" | "&amp;D198)</f>
        <v/>
      </c>
      <c r="S198" s="4" t="str">
        <f aca="false">IF(C198="","",R198&amp;"#"&amp;A198)</f>
        <v/>
      </c>
    </row>
    <row r="199" customFormat="false" ht="15" hidden="false" customHeight="false" outlineLevel="0" collapsed="false">
      <c r="A199" s="33"/>
      <c r="B199" s="34"/>
      <c r="C199" s="34"/>
      <c r="D199" s="34"/>
      <c r="E199" s="34"/>
      <c r="F199" s="34"/>
      <c r="G199" s="7"/>
      <c r="H199" s="35"/>
      <c r="I199" s="35"/>
      <c r="J199" s="7"/>
      <c r="K199" s="35"/>
      <c r="L199" s="7"/>
      <c r="M199" s="21" t="str">
        <f aca="false">IF(C199="","",IFERROR(I199/H199,0))</f>
        <v/>
      </c>
      <c r="N199" s="9" t="str">
        <f aca="false">IF(C199="","",IFERROR(J199/I199,0))</f>
        <v/>
      </c>
      <c r="O199" s="21" t="str">
        <f aca="false">IF(C199="","",IFERROR(J199/L199,0))</f>
        <v/>
      </c>
      <c r="P199" s="22" t="str">
        <f aca="false">IF(C199="","",IFERROR(L199/J199,0))</f>
        <v/>
      </c>
      <c r="Q199" s="34"/>
      <c r="R199" s="4" t="str">
        <f aca="false">IF(C199="","",B199&amp;" | "&amp;C199&amp;" | "&amp;D199)</f>
        <v/>
      </c>
      <c r="S199" s="4" t="str">
        <f aca="false">IF(C199="","",R199&amp;"#"&amp;A199)</f>
        <v/>
      </c>
    </row>
    <row r="200" customFormat="false" ht="15" hidden="false" customHeight="false" outlineLevel="0" collapsed="false">
      <c r="A200" s="33"/>
      <c r="B200" s="34"/>
      <c r="C200" s="34"/>
      <c r="D200" s="34"/>
      <c r="E200" s="34"/>
      <c r="F200" s="34"/>
      <c r="G200" s="7"/>
      <c r="H200" s="35"/>
      <c r="I200" s="35"/>
      <c r="J200" s="7"/>
      <c r="K200" s="35"/>
      <c r="L200" s="7"/>
      <c r="M200" s="21" t="str">
        <f aca="false">IF(C200="","",IFERROR(I200/H200,0))</f>
        <v/>
      </c>
      <c r="N200" s="9" t="str">
        <f aca="false">IF(C200="","",IFERROR(J200/I200,0))</f>
        <v/>
      </c>
      <c r="O200" s="21" t="str">
        <f aca="false">IF(C200="","",IFERROR(J200/L200,0))</f>
        <v/>
      </c>
      <c r="P200" s="22" t="str">
        <f aca="false">IF(C200="","",IFERROR(L200/J200,0))</f>
        <v/>
      </c>
      <c r="Q200" s="34"/>
      <c r="R200" s="4" t="str">
        <f aca="false">IF(C200="","",B200&amp;" | "&amp;C200&amp;" | "&amp;D200)</f>
        <v/>
      </c>
      <c r="S200" s="4" t="str">
        <f aca="false">IF(C200="","",R200&amp;"#"&amp;A200)</f>
        <v/>
      </c>
    </row>
    <row r="201" customFormat="false" ht="15" hidden="false" customHeight="false" outlineLevel="0" collapsed="false">
      <c r="A201" s="33"/>
      <c r="B201" s="34"/>
      <c r="C201" s="34"/>
      <c r="D201" s="34"/>
      <c r="E201" s="34"/>
      <c r="F201" s="34"/>
      <c r="G201" s="7"/>
      <c r="H201" s="35"/>
      <c r="I201" s="35"/>
      <c r="J201" s="7"/>
      <c r="K201" s="35"/>
      <c r="L201" s="7"/>
      <c r="M201" s="21" t="str">
        <f aca="false">IF(C201="","",IFERROR(I201/H201,0))</f>
        <v/>
      </c>
      <c r="N201" s="9" t="str">
        <f aca="false">IF(C201="","",IFERROR(J201/I201,0))</f>
        <v/>
      </c>
      <c r="O201" s="21" t="str">
        <f aca="false">IF(C201="","",IFERROR(J201/L201,0))</f>
        <v/>
      </c>
      <c r="P201" s="22" t="str">
        <f aca="false">IF(C201="","",IFERROR(L201/J201,0))</f>
        <v/>
      </c>
      <c r="Q201" s="34"/>
      <c r="R201" s="4" t="str">
        <f aca="false">IF(C201="","",B201&amp;" | "&amp;C201&amp;" | "&amp;D201)</f>
        <v/>
      </c>
      <c r="S201" s="4" t="str">
        <f aca="false">IF(C201="","",R201&amp;"#"&amp;A201)</f>
        <v/>
      </c>
    </row>
    <row r="202" customFormat="false" ht="15" hidden="false" customHeight="false" outlineLevel="0" collapsed="false">
      <c r="A202" s="33"/>
      <c r="B202" s="34"/>
      <c r="C202" s="34"/>
      <c r="D202" s="34"/>
      <c r="E202" s="34"/>
      <c r="F202" s="34"/>
      <c r="G202" s="7"/>
      <c r="H202" s="35"/>
      <c r="I202" s="35"/>
      <c r="J202" s="7"/>
      <c r="K202" s="35"/>
      <c r="L202" s="7"/>
      <c r="M202" s="21" t="str">
        <f aca="false">IF(C202="","",IFERROR(I202/H202,0))</f>
        <v/>
      </c>
      <c r="N202" s="9" t="str">
        <f aca="false">IF(C202="","",IFERROR(J202/I202,0))</f>
        <v/>
      </c>
      <c r="O202" s="21" t="str">
        <f aca="false">IF(C202="","",IFERROR(J202/L202,0))</f>
        <v/>
      </c>
      <c r="P202" s="22" t="str">
        <f aca="false">IF(C202="","",IFERROR(L202/J202,0))</f>
        <v/>
      </c>
      <c r="Q202" s="34"/>
      <c r="R202" s="4" t="str">
        <f aca="false">IF(C202="","",B202&amp;" | "&amp;C202&amp;" | "&amp;D202)</f>
        <v/>
      </c>
      <c r="S202" s="4" t="str">
        <f aca="false">IF(C202="","",R202&amp;"#"&amp;A202)</f>
        <v/>
      </c>
    </row>
    <row r="203" customFormat="false" ht="15" hidden="false" customHeight="false" outlineLevel="0" collapsed="false">
      <c r="A203" s="33"/>
      <c r="B203" s="34"/>
      <c r="C203" s="34"/>
      <c r="D203" s="34"/>
      <c r="E203" s="34"/>
      <c r="F203" s="34"/>
      <c r="G203" s="7"/>
      <c r="H203" s="35"/>
      <c r="I203" s="35"/>
      <c r="J203" s="7"/>
      <c r="K203" s="35"/>
      <c r="L203" s="7"/>
      <c r="M203" s="21" t="str">
        <f aca="false">IF(C203="","",IFERROR(I203/H203,0))</f>
        <v/>
      </c>
      <c r="N203" s="9" t="str">
        <f aca="false">IF(C203="","",IFERROR(J203/I203,0))</f>
        <v/>
      </c>
      <c r="O203" s="21" t="str">
        <f aca="false">IF(C203="","",IFERROR(J203/L203,0))</f>
        <v/>
      </c>
      <c r="P203" s="22" t="str">
        <f aca="false">IF(C203="","",IFERROR(L203/J203,0))</f>
        <v/>
      </c>
      <c r="Q203" s="34"/>
      <c r="R203" s="4" t="str">
        <f aca="false">IF(C203="","",B203&amp;" | "&amp;C203&amp;" | "&amp;D203)</f>
        <v/>
      </c>
      <c r="S203" s="4" t="str">
        <f aca="false">IF(C203="","",R203&amp;"#"&amp;A203)</f>
        <v/>
      </c>
    </row>
    <row r="204" customFormat="false" ht="15" hidden="false" customHeight="false" outlineLevel="0" collapsed="false">
      <c r="A204" s="33"/>
      <c r="B204" s="34"/>
      <c r="C204" s="34"/>
      <c r="D204" s="34"/>
      <c r="E204" s="34"/>
      <c r="F204" s="34"/>
      <c r="G204" s="7"/>
      <c r="H204" s="35"/>
      <c r="I204" s="35"/>
      <c r="J204" s="7"/>
      <c r="K204" s="35"/>
      <c r="L204" s="7"/>
      <c r="M204" s="21" t="str">
        <f aca="false">IF(C204="","",IFERROR(I204/H204,0))</f>
        <v/>
      </c>
      <c r="N204" s="9" t="str">
        <f aca="false">IF(C204="","",IFERROR(J204/I204,0))</f>
        <v/>
      </c>
      <c r="O204" s="21" t="str">
        <f aca="false">IF(C204="","",IFERROR(J204/L204,0))</f>
        <v/>
      </c>
      <c r="P204" s="22" t="str">
        <f aca="false">IF(C204="","",IFERROR(L204/J204,0))</f>
        <v/>
      </c>
      <c r="Q204" s="34"/>
      <c r="R204" s="4" t="str">
        <f aca="false">IF(C204="","",B204&amp;" | "&amp;C204&amp;" | "&amp;D204)</f>
        <v/>
      </c>
      <c r="S204" s="4" t="str">
        <f aca="false">IF(C204="","",R204&amp;"#"&amp;A204)</f>
        <v/>
      </c>
    </row>
    <row r="205" customFormat="false" ht="15" hidden="false" customHeight="false" outlineLevel="0" collapsed="false">
      <c r="A205" s="33"/>
      <c r="B205" s="34"/>
      <c r="C205" s="34"/>
      <c r="D205" s="34"/>
      <c r="E205" s="34"/>
      <c r="F205" s="34"/>
      <c r="G205" s="7"/>
      <c r="H205" s="35"/>
      <c r="I205" s="35"/>
      <c r="J205" s="7"/>
      <c r="K205" s="35"/>
      <c r="L205" s="7"/>
      <c r="M205" s="21" t="str">
        <f aca="false">IF(C205="","",IFERROR(I205/H205,0))</f>
        <v/>
      </c>
      <c r="N205" s="9" t="str">
        <f aca="false">IF(C205="","",IFERROR(J205/I205,0))</f>
        <v/>
      </c>
      <c r="O205" s="21" t="str">
        <f aca="false">IF(C205="","",IFERROR(J205/L205,0))</f>
        <v/>
      </c>
      <c r="P205" s="22" t="str">
        <f aca="false">IF(C205="","",IFERROR(L205/J205,0))</f>
        <v/>
      </c>
      <c r="Q205" s="34"/>
      <c r="R205" s="4" t="str">
        <f aca="false">IF(C205="","",B205&amp;" | "&amp;C205&amp;" | "&amp;D205)</f>
        <v/>
      </c>
      <c r="S205" s="4" t="str">
        <f aca="false">IF(C205="","",R205&amp;"#"&amp;A205)</f>
        <v/>
      </c>
    </row>
    <row r="206" customFormat="false" ht="15" hidden="false" customHeight="false" outlineLevel="0" collapsed="false">
      <c r="A206" s="33"/>
      <c r="B206" s="34"/>
      <c r="C206" s="34"/>
      <c r="D206" s="34"/>
      <c r="E206" s="34"/>
      <c r="F206" s="34"/>
      <c r="G206" s="7"/>
      <c r="H206" s="35"/>
      <c r="I206" s="35"/>
      <c r="J206" s="7"/>
      <c r="K206" s="35"/>
      <c r="L206" s="7"/>
      <c r="M206" s="21" t="str">
        <f aca="false">IF(C206="","",IFERROR(I206/H206,0))</f>
        <v/>
      </c>
      <c r="N206" s="9" t="str">
        <f aca="false">IF(C206="","",IFERROR(J206/I206,0))</f>
        <v/>
      </c>
      <c r="O206" s="21" t="str">
        <f aca="false">IF(C206="","",IFERROR(J206/L206,0))</f>
        <v/>
      </c>
      <c r="P206" s="22" t="str">
        <f aca="false">IF(C206="","",IFERROR(L206/J206,0))</f>
        <v/>
      </c>
      <c r="Q206" s="34"/>
      <c r="R206" s="4" t="str">
        <f aca="false">IF(C206="","",B206&amp;" | "&amp;C206&amp;" | "&amp;D206)</f>
        <v/>
      </c>
      <c r="S206" s="4" t="str">
        <f aca="false">IF(C206="","",R206&amp;"#"&amp;A206)</f>
        <v/>
      </c>
    </row>
    <row r="207" customFormat="false" ht="15" hidden="false" customHeight="false" outlineLevel="0" collapsed="false">
      <c r="A207" s="33"/>
      <c r="B207" s="34"/>
      <c r="C207" s="34"/>
      <c r="D207" s="34"/>
      <c r="E207" s="34"/>
      <c r="F207" s="34"/>
      <c r="G207" s="7"/>
      <c r="H207" s="35"/>
      <c r="I207" s="35"/>
      <c r="J207" s="7"/>
      <c r="K207" s="35"/>
      <c r="L207" s="7"/>
      <c r="M207" s="21" t="str">
        <f aca="false">IF(C207="","",IFERROR(I207/H207,0))</f>
        <v/>
      </c>
      <c r="N207" s="9" t="str">
        <f aca="false">IF(C207="","",IFERROR(J207/I207,0))</f>
        <v/>
      </c>
      <c r="O207" s="21" t="str">
        <f aca="false">IF(C207="","",IFERROR(J207/L207,0))</f>
        <v/>
      </c>
      <c r="P207" s="22" t="str">
        <f aca="false">IF(C207="","",IFERROR(L207/J207,0))</f>
        <v/>
      </c>
      <c r="Q207" s="34"/>
      <c r="R207" s="4" t="str">
        <f aca="false">IF(C207="","",B207&amp;" | "&amp;C207&amp;" | "&amp;D207)</f>
        <v/>
      </c>
      <c r="S207" s="4" t="str">
        <f aca="false">IF(C207="","",R207&amp;"#"&amp;A207)</f>
        <v/>
      </c>
    </row>
    <row r="208" customFormat="false" ht="15" hidden="false" customHeight="false" outlineLevel="0" collapsed="false">
      <c r="A208" s="33"/>
      <c r="B208" s="34"/>
      <c r="C208" s="34"/>
      <c r="D208" s="34"/>
      <c r="E208" s="34"/>
      <c r="F208" s="34"/>
      <c r="G208" s="7"/>
      <c r="H208" s="35"/>
      <c r="I208" s="35"/>
      <c r="J208" s="7"/>
      <c r="K208" s="35"/>
      <c r="L208" s="7"/>
      <c r="M208" s="21" t="str">
        <f aca="false">IF(C208="","",IFERROR(I208/H208,0))</f>
        <v/>
      </c>
      <c r="N208" s="9" t="str">
        <f aca="false">IF(C208="","",IFERROR(J208/I208,0))</f>
        <v/>
      </c>
      <c r="O208" s="21" t="str">
        <f aca="false">IF(C208="","",IFERROR(J208/L208,0))</f>
        <v/>
      </c>
      <c r="P208" s="22" t="str">
        <f aca="false">IF(C208="","",IFERROR(L208/J208,0))</f>
        <v/>
      </c>
      <c r="Q208" s="34"/>
      <c r="R208" s="4" t="str">
        <f aca="false">IF(C208="","",B208&amp;" | "&amp;C208&amp;" | "&amp;D208)</f>
        <v/>
      </c>
      <c r="S208" s="4" t="str">
        <f aca="false">IF(C208="","",R208&amp;"#"&amp;A208)</f>
        <v/>
      </c>
    </row>
    <row r="209" customFormat="false" ht="15" hidden="false" customHeight="false" outlineLevel="0" collapsed="false">
      <c r="A209" s="33"/>
      <c r="B209" s="34"/>
      <c r="C209" s="34"/>
      <c r="D209" s="34"/>
      <c r="E209" s="34"/>
      <c r="F209" s="34"/>
      <c r="G209" s="7"/>
      <c r="H209" s="35"/>
      <c r="I209" s="35"/>
      <c r="J209" s="7"/>
      <c r="K209" s="35"/>
      <c r="L209" s="7"/>
      <c r="M209" s="21" t="str">
        <f aca="false">IF(C209="","",IFERROR(I209/H209,0))</f>
        <v/>
      </c>
      <c r="N209" s="9" t="str">
        <f aca="false">IF(C209="","",IFERROR(J209/I209,0))</f>
        <v/>
      </c>
      <c r="O209" s="21" t="str">
        <f aca="false">IF(C209="","",IFERROR(J209/L209,0))</f>
        <v/>
      </c>
      <c r="P209" s="22" t="str">
        <f aca="false">IF(C209="","",IFERROR(L209/J209,0))</f>
        <v/>
      </c>
      <c r="Q209" s="34"/>
      <c r="R209" s="4" t="str">
        <f aca="false">IF(C209="","",B209&amp;" | "&amp;C209&amp;" | "&amp;D209)</f>
        <v/>
      </c>
      <c r="S209" s="4" t="str">
        <f aca="false">IF(C209="","",R209&amp;"#"&amp;A209)</f>
        <v/>
      </c>
    </row>
    <row r="210" customFormat="false" ht="15" hidden="false" customHeight="false" outlineLevel="0" collapsed="false">
      <c r="A210" s="33"/>
      <c r="B210" s="34"/>
      <c r="C210" s="34"/>
      <c r="D210" s="34"/>
      <c r="E210" s="34"/>
      <c r="F210" s="34"/>
      <c r="G210" s="7"/>
      <c r="H210" s="35"/>
      <c r="I210" s="35"/>
      <c r="J210" s="7"/>
      <c r="K210" s="35"/>
      <c r="L210" s="7"/>
      <c r="M210" s="21" t="str">
        <f aca="false">IF(C210="","",IFERROR(I210/H210,0))</f>
        <v/>
      </c>
      <c r="N210" s="9" t="str">
        <f aca="false">IF(C210="","",IFERROR(J210/I210,0))</f>
        <v/>
      </c>
      <c r="O210" s="21" t="str">
        <f aca="false">IF(C210="","",IFERROR(J210/L210,0))</f>
        <v/>
      </c>
      <c r="P210" s="22" t="str">
        <f aca="false">IF(C210="","",IFERROR(L210/J210,0))</f>
        <v/>
      </c>
      <c r="Q210" s="34"/>
      <c r="R210" s="4" t="str">
        <f aca="false">IF(C210="","",B210&amp;" | "&amp;C210&amp;" | "&amp;D210)</f>
        <v/>
      </c>
      <c r="S210" s="4" t="str">
        <f aca="false">IF(C210="","",R210&amp;"#"&amp;A210)</f>
        <v/>
      </c>
    </row>
    <row r="211" customFormat="false" ht="15" hidden="false" customHeight="false" outlineLevel="0" collapsed="false">
      <c r="A211" s="33"/>
      <c r="B211" s="34"/>
      <c r="C211" s="34"/>
      <c r="D211" s="34"/>
      <c r="E211" s="34"/>
      <c r="F211" s="34"/>
      <c r="G211" s="7"/>
      <c r="H211" s="35"/>
      <c r="I211" s="35"/>
      <c r="J211" s="7"/>
      <c r="K211" s="35"/>
      <c r="L211" s="7"/>
      <c r="M211" s="21" t="str">
        <f aca="false">IF(C211="","",IFERROR(I211/H211,0))</f>
        <v/>
      </c>
      <c r="N211" s="9" t="str">
        <f aca="false">IF(C211="","",IFERROR(J211/I211,0))</f>
        <v/>
      </c>
      <c r="O211" s="21" t="str">
        <f aca="false">IF(C211="","",IFERROR(J211/L211,0))</f>
        <v/>
      </c>
      <c r="P211" s="22" t="str">
        <f aca="false">IF(C211="","",IFERROR(L211/J211,0))</f>
        <v/>
      </c>
      <c r="Q211" s="34"/>
      <c r="R211" s="4" t="str">
        <f aca="false">IF(C211="","",B211&amp;" | "&amp;C211&amp;" | "&amp;D211)</f>
        <v/>
      </c>
      <c r="S211" s="4" t="str">
        <f aca="false">IF(C211="","",R211&amp;"#"&amp;A211)</f>
        <v/>
      </c>
    </row>
    <row r="212" customFormat="false" ht="15" hidden="false" customHeight="false" outlineLevel="0" collapsed="false">
      <c r="A212" s="33"/>
      <c r="B212" s="34"/>
      <c r="C212" s="34"/>
      <c r="D212" s="34"/>
      <c r="E212" s="34"/>
      <c r="F212" s="34"/>
      <c r="G212" s="7"/>
      <c r="H212" s="35"/>
      <c r="I212" s="35"/>
      <c r="J212" s="7"/>
      <c r="K212" s="35"/>
      <c r="L212" s="7"/>
      <c r="M212" s="21" t="str">
        <f aca="false">IF(C212="","",IFERROR(I212/H212,0))</f>
        <v/>
      </c>
      <c r="N212" s="9" t="str">
        <f aca="false">IF(C212="","",IFERROR(J212/I212,0))</f>
        <v/>
      </c>
      <c r="O212" s="21" t="str">
        <f aca="false">IF(C212="","",IFERROR(J212/L212,0))</f>
        <v/>
      </c>
      <c r="P212" s="22" t="str">
        <f aca="false">IF(C212="","",IFERROR(L212/J212,0))</f>
        <v/>
      </c>
      <c r="Q212" s="34"/>
      <c r="R212" s="4" t="str">
        <f aca="false">IF(C212="","",B212&amp;" | "&amp;C212&amp;" | "&amp;D212)</f>
        <v/>
      </c>
      <c r="S212" s="4" t="str">
        <f aca="false">IF(C212="","",R212&amp;"#"&amp;A212)</f>
        <v/>
      </c>
    </row>
    <row r="213" customFormat="false" ht="15" hidden="false" customHeight="false" outlineLevel="0" collapsed="false">
      <c r="A213" s="33"/>
      <c r="B213" s="34"/>
      <c r="C213" s="34"/>
      <c r="D213" s="34"/>
      <c r="E213" s="34"/>
      <c r="F213" s="34"/>
      <c r="G213" s="7"/>
      <c r="H213" s="35"/>
      <c r="I213" s="35"/>
      <c r="J213" s="7"/>
      <c r="K213" s="35"/>
      <c r="L213" s="7"/>
      <c r="M213" s="21" t="str">
        <f aca="false">IF(C213="","",IFERROR(I213/H213,0))</f>
        <v/>
      </c>
      <c r="N213" s="9" t="str">
        <f aca="false">IF(C213="","",IFERROR(J213/I213,0))</f>
        <v/>
      </c>
      <c r="O213" s="21" t="str">
        <f aca="false">IF(C213="","",IFERROR(J213/L213,0))</f>
        <v/>
      </c>
      <c r="P213" s="22" t="str">
        <f aca="false">IF(C213="","",IFERROR(L213/J213,0))</f>
        <v/>
      </c>
      <c r="Q213" s="34"/>
      <c r="R213" s="4" t="str">
        <f aca="false">IF(C213="","",B213&amp;" | "&amp;C213&amp;" | "&amp;D213)</f>
        <v/>
      </c>
      <c r="S213" s="4" t="str">
        <f aca="false">IF(C213="","",R213&amp;"#"&amp;A213)</f>
        <v/>
      </c>
    </row>
    <row r="214" customFormat="false" ht="15" hidden="false" customHeight="false" outlineLevel="0" collapsed="false">
      <c r="A214" s="33"/>
      <c r="B214" s="34"/>
      <c r="C214" s="34"/>
      <c r="D214" s="34"/>
      <c r="E214" s="34"/>
      <c r="F214" s="34"/>
      <c r="G214" s="7"/>
      <c r="H214" s="35"/>
      <c r="I214" s="35"/>
      <c r="J214" s="7"/>
      <c r="K214" s="35"/>
      <c r="L214" s="7"/>
      <c r="M214" s="21" t="str">
        <f aca="false">IF(C214="","",IFERROR(I214/H214,0))</f>
        <v/>
      </c>
      <c r="N214" s="9" t="str">
        <f aca="false">IF(C214="","",IFERROR(J214/I214,0))</f>
        <v/>
      </c>
      <c r="O214" s="21" t="str">
        <f aca="false">IF(C214="","",IFERROR(J214/L214,0))</f>
        <v/>
      </c>
      <c r="P214" s="22" t="str">
        <f aca="false">IF(C214="","",IFERROR(L214/J214,0))</f>
        <v/>
      </c>
      <c r="Q214" s="34"/>
      <c r="R214" s="4" t="str">
        <f aca="false">IF(C214="","",B214&amp;" | "&amp;C214&amp;" | "&amp;D214)</f>
        <v/>
      </c>
      <c r="S214" s="4" t="str">
        <f aca="false">IF(C214="","",R214&amp;"#"&amp;A214)</f>
        <v/>
      </c>
    </row>
    <row r="215" customFormat="false" ht="15" hidden="false" customHeight="false" outlineLevel="0" collapsed="false">
      <c r="A215" s="33"/>
      <c r="B215" s="34"/>
      <c r="C215" s="34"/>
      <c r="D215" s="34"/>
      <c r="E215" s="34"/>
      <c r="F215" s="34"/>
      <c r="G215" s="7"/>
      <c r="H215" s="35"/>
      <c r="I215" s="35"/>
      <c r="J215" s="7"/>
      <c r="K215" s="35"/>
      <c r="L215" s="7"/>
      <c r="M215" s="21" t="str">
        <f aca="false">IF(C215="","",IFERROR(I215/H215,0))</f>
        <v/>
      </c>
      <c r="N215" s="9" t="str">
        <f aca="false">IF(C215="","",IFERROR(J215/I215,0))</f>
        <v/>
      </c>
      <c r="O215" s="21" t="str">
        <f aca="false">IF(C215="","",IFERROR(J215/L215,0))</f>
        <v/>
      </c>
      <c r="P215" s="22" t="str">
        <f aca="false">IF(C215="","",IFERROR(L215/J215,0))</f>
        <v/>
      </c>
      <c r="Q215" s="34"/>
      <c r="R215" s="4" t="str">
        <f aca="false">IF(C215="","",B215&amp;" | "&amp;C215&amp;" | "&amp;D215)</f>
        <v/>
      </c>
      <c r="S215" s="4" t="str">
        <f aca="false">IF(C215="","",R215&amp;"#"&amp;A215)</f>
        <v/>
      </c>
    </row>
    <row r="216" customFormat="false" ht="15" hidden="false" customHeight="false" outlineLevel="0" collapsed="false">
      <c r="A216" s="33"/>
      <c r="B216" s="34"/>
      <c r="C216" s="34"/>
      <c r="D216" s="34"/>
      <c r="E216" s="34"/>
      <c r="F216" s="34"/>
      <c r="G216" s="7"/>
      <c r="H216" s="35"/>
      <c r="I216" s="35"/>
      <c r="J216" s="7"/>
      <c r="K216" s="35"/>
      <c r="L216" s="7"/>
      <c r="M216" s="21" t="str">
        <f aca="false">IF(C216="","",IFERROR(I216/H216,0))</f>
        <v/>
      </c>
      <c r="N216" s="9" t="str">
        <f aca="false">IF(C216="","",IFERROR(J216/I216,0))</f>
        <v/>
      </c>
      <c r="O216" s="21" t="str">
        <f aca="false">IF(C216="","",IFERROR(J216/L216,0))</f>
        <v/>
      </c>
      <c r="P216" s="22" t="str">
        <f aca="false">IF(C216="","",IFERROR(L216/J216,0))</f>
        <v/>
      </c>
      <c r="Q216" s="34"/>
      <c r="R216" s="4" t="str">
        <f aca="false">IF(C216="","",B216&amp;" | "&amp;C216&amp;" | "&amp;D216)</f>
        <v/>
      </c>
      <c r="S216" s="4" t="str">
        <f aca="false">IF(C216="","",R216&amp;"#"&amp;A216)</f>
        <v/>
      </c>
    </row>
    <row r="217" customFormat="false" ht="15" hidden="false" customHeight="false" outlineLevel="0" collapsed="false">
      <c r="A217" s="33"/>
      <c r="B217" s="34"/>
      <c r="C217" s="34"/>
      <c r="D217" s="34"/>
      <c r="E217" s="34"/>
      <c r="F217" s="34"/>
      <c r="G217" s="7"/>
      <c r="H217" s="35"/>
      <c r="I217" s="35"/>
      <c r="J217" s="7"/>
      <c r="K217" s="35"/>
      <c r="L217" s="7"/>
      <c r="M217" s="21" t="str">
        <f aca="false">IF(C217="","",IFERROR(I217/H217,0))</f>
        <v/>
      </c>
      <c r="N217" s="9" t="str">
        <f aca="false">IF(C217="","",IFERROR(J217/I217,0))</f>
        <v/>
      </c>
      <c r="O217" s="21" t="str">
        <f aca="false">IF(C217="","",IFERROR(J217/L217,0))</f>
        <v/>
      </c>
      <c r="P217" s="22" t="str">
        <f aca="false">IF(C217="","",IFERROR(L217/J217,0))</f>
        <v/>
      </c>
      <c r="Q217" s="34"/>
      <c r="R217" s="4" t="str">
        <f aca="false">IF(C217="","",B217&amp;" | "&amp;C217&amp;" | "&amp;D217)</f>
        <v/>
      </c>
      <c r="S217" s="4" t="str">
        <f aca="false">IF(C217="","",R217&amp;"#"&amp;A217)</f>
        <v/>
      </c>
    </row>
    <row r="218" customFormat="false" ht="15" hidden="false" customHeight="false" outlineLevel="0" collapsed="false">
      <c r="A218" s="33"/>
      <c r="B218" s="34"/>
      <c r="C218" s="34"/>
      <c r="D218" s="34"/>
      <c r="E218" s="34"/>
      <c r="F218" s="34"/>
      <c r="G218" s="7"/>
      <c r="H218" s="35"/>
      <c r="I218" s="35"/>
      <c r="J218" s="7"/>
      <c r="K218" s="35"/>
      <c r="L218" s="7"/>
      <c r="M218" s="21" t="str">
        <f aca="false">IF(C218="","",IFERROR(I218/H218,0))</f>
        <v/>
      </c>
      <c r="N218" s="9" t="str">
        <f aca="false">IF(C218="","",IFERROR(J218/I218,0))</f>
        <v/>
      </c>
      <c r="O218" s="21" t="str">
        <f aca="false">IF(C218="","",IFERROR(J218/L218,0))</f>
        <v/>
      </c>
      <c r="P218" s="22" t="str">
        <f aca="false">IF(C218="","",IFERROR(L218/J218,0))</f>
        <v/>
      </c>
      <c r="Q218" s="34"/>
      <c r="R218" s="4" t="str">
        <f aca="false">IF(C218="","",B218&amp;" | "&amp;C218&amp;" | "&amp;D218)</f>
        <v/>
      </c>
      <c r="S218" s="4" t="str">
        <f aca="false">IF(C218="","",R218&amp;"#"&amp;A218)</f>
        <v/>
      </c>
    </row>
    <row r="219" customFormat="false" ht="15" hidden="false" customHeight="false" outlineLevel="0" collapsed="false">
      <c r="A219" s="33"/>
      <c r="B219" s="34"/>
      <c r="C219" s="34"/>
      <c r="D219" s="34"/>
      <c r="E219" s="34"/>
      <c r="F219" s="34"/>
      <c r="G219" s="7"/>
      <c r="H219" s="35"/>
      <c r="I219" s="35"/>
      <c r="J219" s="7"/>
      <c r="K219" s="35"/>
      <c r="L219" s="7"/>
      <c r="M219" s="21" t="str">
        <f aca="false">IF(C219="","",IFERROR(I219/H219,0))</f>
        <v/>
      </c>
      <c r="N219" s="9" t="str">
        <f aca="false">IF(C219="","",IFERROR(J219/I219,0))</f>
        <v/>
      </c>
      <c r="O219" s="21" t="str">
        <f aca="false">IF(C219="","",IFERROR(J219/L219,0))</f>
        <v/>
      </c>
      <c r="P219" s="22" t="str">
        <f aca="false">IF(C219="","",IFERROR(L219/J219,0))</f>
        <v/>
      </c>
      <c r="Q219" s="34"/>
      <c r="R219" s="4" t="str">
        <f aca="false">IF(C219="","",B219&amp;" | "&amp;C219&amp;" | "&amp;D219)</f>
        <v/>
      </c>
      <c r="S219" s="4" t="str">
        <f aca="false">IF(C219="","",R219&amp;"#"&amp;A219)</f>
        <v/>
      </c>
    </row>
    <row r="220" customFormat="false" ht="15" hidden="false" customHeight="false" outlineLevel="0" collapsed="false">
      <c r="A220" s="33"/>
      <c r="B220" s="34"/>
      <c r="C220" s="34"/>
      <c r="D220" s="34"/>
      <c r="E220" s="34"/>
      <c r="F220" s="34"/>
      <c r="G220" s="7"/>
      <c r="H220" s="35"/>
      <c r="I220" s="35"/>
      <c r="J220" s="7"/>
      <c r="K220" s="35"/>
      <c r="L220" s="7"/>
      <c r="M220" s="21" t="str">
        <f aca="false">IF(C220="","",IFERROR(I220/H220,0))</f>
        <v/>
      </c>
      <c r="N220" s="9" t="str">
        <f aca="false">IF(C220="","",IFERROR(J220/I220,0))</f>
        <v/>
      </c>
      <c r="O220" s="21" t="str">
        <f aca="false">IF(C220="","",IFERROR(J220/L220,0))</f>
        <v/>
      </c>
      <c r="P220" s="22" t="str">
        <f aca="false">IF(C220="","",IFERROR(L220/J220,0))</f>
        <v/>
      </c>
      <c r="Q220" s="34"/>
      <c r="R220" s="4" t="str">
        <f aca="false">IF(C220="","",B220&amp;" | "&amp;C220&amp;" | "&amp;D220)</f>
        <v/>
      </c>
      <c r="S220" s="4" t="str">
        <f aca="false">IF(C220="","",R220&amp;"#"&amp;A220)</f>
        <v/>
      </c>
    </row>
    <row r="221" customFormat="false" ht="15" hidden="false" customHeight="false" outlineLevel="0" collapsed="false">
      <c r="A221" s="33"/>
      <c r="B221" s="34"/>
      <c r="C221" s="34"/>
      <c r="D221" s="34"/>
      <c r="E221" s="34"/>
      <c r="F221" s="34"/>
      <c r="G221" s="7"/>
      <c r="H221" s="35"/>
      <c r="I221" s="35"/>
      <c r="J221" s="7"/>
      <c r="K221" s="35"/>
      <c r="L221" s="7"/>
      <c r="M221" s="21" t="str">
        <f aca="false">IF(C221="","",IFERROR(I221/H221,0))</f>
        <v/>
      </c>
      <c r="N221" s="9" t="str">
        <f aca="false">IF(C221="","",IFERROR(J221/I221,0))</f>
        <v/>
      </c>
      <c r="O221" s="21" t="str">
        <f aca="false">IF(C221="","",IFERROR(J221/L221,0))</f>
        <v/>
      </c>
      <c r="P221" s="22" t="str">
        <f aca="false">IF(C221="","",IFERROR(L221/J221,0))</f>
        <v/>
      </c>
      <c r="Q221" s="34"/>
      <c r="R221" s="4" t="str">
        <f aca="false">IF(C221="","",B221&amp;" | "&amp;C221&amp;" | "&amp;D221)</f>
        <v/>
      </c>
      <c r="S221" s="4" t="str">
        <f aca="false">IF(C221="","",R221&amp;"#"&amp;A221)</f>
        <v/>
      </c>
    </row>
    <row r="222" customFormat="false" ht="15" hidden="false" customHeight="false" outlineLevel="0" collapsed="false">
      <c r="A222" s="33"/>
      <c r="B222" s="34"/>
      <c r="C222" s="34"/>
      <c r="D222" s="34"/>
      <c r="E222" s="34"/>
      <c r="F222" s="34"/>
      <c r="G222" s="7"/>
      <c r="H222" s="35"/>
      <c r="I222" s="35"/>
      <c r="J222" s="7"/>
      <c r="K222" s="35"/>
      <c r="L222" s="7"/>
      <c r="M222" s="21" t="str">
        <f aca="false">IF(C222="","",IFERROR(I222/H222,0))</f>
        <v/>
      </c>
      <c r="N222" s="9" t="str">
        <f aca="false">IF(C222="","",IFERROR(J222/I222,0))</f>
        <v/>
      </c>
      <c r="O222" s="21" t="str">
        <f aca="false">IF(C222="","",IFERROR(J222/L222,0))</f>
        <v/>
      </c>
      <c r="P222" s="22" t="str">
        <f aca="false">IF(C222="","",IFERROR(L222/J222,0))</f>
        <v/>
      </c>
      <c r="Q222" s="34"/>
      <c r="R222" s="4" t="str">
        <f aca="false">IF(C222="","",B222&amp;" | "&amp;C222&amp;" | "&amp;D222)</f>
        <v/>
      </c>
      <c r="S222" s="4" t="str">
        <f aca="false">IF(C222="","",R222&amp;"#"&amp;A222)</f>
        <v/>
      </c>
    </row>
    <row r="223" customFormat="false" ht="15" hidden="false" customHeight="false" outlineLevel="0" collapsed="false">
      <c r="A223" s="33"/>
      <c r="B223" s="34"/>
      <c r="C223" s="34"/>
      <c r="D223" s="34"/>
      <c r="E223" s="34"/>
      <c r="F223" s="34"/>
      <c r="G223" s="7"/>
      <c r="H223" s="35"/>
      <c r="I223" s="35"/>
      <c r="J223" s="7"/>
      <c r="K223" s="35"/>
      <c r="L223" s="7"/>
      <c r="M223" s="21" t="str">
        <f aca="false">IF(C223="","",IFERROR(I223/H223,0))</f>
        <v/>
      </c>
      <c r="N223" s="9" t="str">
        <f aca="false">IF(C223="","",IFERROR(J223/I223,0))</f>
        <v/>
      </c>
      <c r="O223" s="21" t="str">
        <f aca="false">IF(C223="","",IFERROR(J223/L223,0))</f>
        <v/>
      </c>
      <c r="P223" s="22" t="str">
        <f aca="false">IF(C223="","",IFERROR(L223/J223,0))</f>
        <v/>
      </c>
      <c r="Q223" s="34"/>
      <c r="R223" s="4" t="str">
        <f aca="false">IF(C223="","",B223&amp;" | "&amp;C223&amp;" | "&amp;D223)</f>
        <v/>
      </c>
      <c r="S223" s="4" t="str">
        <f aca="false">IF(C223="","",R223&amp;"#"&amp;A223)</f>
        <v/>
      </c>
    </row>
    <row r="224" customFormat="false" ht="15" hidden="false" customHeight="false" outlineLevel="0" collapsed="false">
      <c r="A224" s="33"/>
      <c r="B224" s="34"/>
      <c r="C224" s="34"/>
      <c r="D224" s="34"/>
      <c r="E224" s="34"/>
      <c r="F224" s="34"/>
      <c r="G224" s="7"/>
      <c r="H224" s="35"/>
      <c r="I224" s="35"/>
      <c r="J224" s="7"/>
      <c r="K224" s="35"/>
      <c r="L224" s="7"/>
      <c r="M224" s="21" t="str">
        <f aca="false">IF(C224="","",IFERROR(I224/H224,0))</f>
        <v/>
      </c>
      <c r="N224" s="9" t="str">
        <f aca="false">IF(C224="","",IFERROR(J224/I224,0))</f>
        <v/>
      </c>
      <c r="O224" s="21" t="str">
        <f aca="false">IF(C224="","",IFERROR(J224/L224,0))</f>
        <v/>
      </c>
      <c r="P224" s="22" t="str">
        <f aca="false">IF(C224="","",IFERROR(L224/J224,0))</f>
        <v/>
      </c>
      <c r="Q224" s="34"/>
      <c r="R224" s="4" t="str">
        <f aca="false">IF(C224="","",B224&amp;" | "&amp;C224&amp;" | "&amp;D224)</f>
        <v/>
      </c>
      <c r="S224" s="4" t="str">
        <f aca="false">IF(C224="","",R224&amp;"#"&amp;A224)</f>
        <v/>
      </c>
    </row>
    <row r="225" customFormat="false" ht="15" hidden="false" customHeight="false" outlineLevel="0" collapsed="false">
      <c r="A225" s="33"/>
      <c r="B225" s="34"/>
      <c r="C225" s="34"/>
      <c r="D225" s="34"/>
      <c r="E225" s="34"/>
      <c r="F225" s="34"/>
      <c r="G225" s="7"/>
      <c r="H225" s="35"/>
      <c r="I225" s="35"/>
      <c r="J225" s="7"/>
      <c r="K225" s="35"/>
      <c r="L225" s="7"/>
      <c r="M225" s="21" t="str">
        <f aca="false">IF(C225="","",IFERROR(I225/H225,0))</f>
        <v/>
      </c>
      <c r="N225" s="9" t="str">
        <f aca="false">IF(C225="","",IFERROR(J225/I225,0))</f>
        <v/>
      </c>
      <c r="O225" s="21" t="str">
        <f aca="false">IF(C225="","",IFERROR(J225/L225,0))</f>
        <v/>
      </c>
      <c r="P225" s="22" t="str">
        <f aca="false">IF(C225="","",IFERROR(L225/J225,0))</f>
        <v/>
      </c>
      <c r="Q225" s="34"/>
      <c r="R225" s="4" t="str">
        <f aca="false">IF(C225="","",B225&amp;" | "&amp;C225&amp;" | "&amp;D225)</f>
        <v/>
      </c>
      <c r="S225" s="4" t="str">
        <f aca="false">IF(C225="","",R225&amp;"#"&amp;A225)</f>
        <v/>
      </c>
    </row>
    <row r="226" customFormat="false" ht="15" hidden="false" customHeight="false" outlineLevel="0" collapsed="false">
      <c r="A226" s="33"/>
      <c r="B226" s="34"/>
      <c r="C226" s="34"/>
      <c r="D226" s="34"/>
      <c r="E226" s="34"/>
      <c r="F226" s="34"/>
      <c r="G226" s="7"/>
      <c r="H226" s="35"/>
      <c r="I226" s="35"/>
      <c r="J226" s="7"/>
      <c r="K226" s="35"/>
      <c r="L226" s="7"/>
      <c r="M226" s="21" t="str">
        <f aca="false">IF(C226="","",IFERROR(I226/H226,0))</f>
        <v/>
      </c>
      <c r="N226" s="9" t="str">
        <f aca="false">IF(C226="","",IFERROR(J226/I226,0))</f>
        <v/>
      </c>
      <c r="O226" s="21" t="str">
        <f aca="false">IF(C226="","",IFERROR(J226/L226,0))</f>
        <v/>
      </c>
      <c r="P226" s="22" t="str">
        <f aca="false">IF(C226="","",IFERROR(L226/J226,0))</f>
        <v/>
      </c>
      <c r="Q226" s="34"/>
      <c r="R226" s="4" t="str">
        <f aca="false">IF(C226="","",B226&amp;" | "&amp;C226&amp;" | "&amp;D226)</f>
        <v/>
      </c>
      <c r="S226" s="4" t="str">
        <f aca="false">IF(C226="","",R226&amp;"#"&amp;A226)</f>
        <v/>
      </c>
    </row>
    <row r="227" customFormat="false" ht="15" hidden="false" customHeight="false" outlineLevel="0" collapsed="false">
      <c r="A227" s="33"/>
      <c r="B227" s="34"/>
      <c r="C227" s="34"/>
      <c r="D227" s="34"/>
      <c r="E227" s="34"/>
      <c r="F227" s="34"/>
      <c r="G227" s="7"/>
      <c r="H227" s="35"/>
      <c r="I227" s="35"/>
      <c r="J227" s="7"/>
      <c r="K227" s="35"/>
      <c r="L227" s="7"/>
      <c r="M227" s="21" t="str">
        <f aca="false">IF(C227="","",IFERROR(I227/H227,0))</f>
        <v/>
      </c>
      <c r="N227" s="9" t="str">
        <f aca="false">IF(C227="","",IFERROR(J227/I227,0))</f>
        <v/>
      </c>
      <c r="O227" s="21" t="str">
        <f aca="false">IF(C227="","",IFERROR(J227/L227,0))</f>
        <v/>
      </c>
      <c r="P227" s="22" t="str">
        <f aca="false">IF(C227="","",IFERROR(L227/J227,0))</f>
        <v/>
      </c>
      <c r="Q227" s="34"/>
      <c r="R227" s="4" t="str">
        <f aca="false">IF(C227="","",B227&amp;" | "&amp;C227&amp;" | "&amp;D227)</f>
        <v/>
      </c>
      <c r="S227" s="4" t="str">
        <f aca="false">IF(C227="","",R227&amp;"#"&amp;A227)</f>
        <v/>
      </c>
    </row>
    <row r="228" customFormat="false" ht="15" hidden="false" customHeight="false" outlineLevel="0" collapsed="false">
      <c r="A228" s="33"/>
      <c r="B228" s="34"/>
      <c r="C228" s="34"/>
      <c r="D228" s="34"/>
      <c r="E228" s="34"/>
      <c r="F228" s="34"/>
      <c r="G228" s="7"/>
      <c r="H228" s="35"/>
      <c r="I228" s="35"/>
      <c r="J228" s="7"/>
      <c r="K228" s="35"/>
      <c r="L228" s="7"/>
      <c r="M228" s="21" t="str">
        <f aca="false">IF(C228="","",IFERROR(I228/H228,0))</f>
        <v/>
      </c>
      <c r="N228" s="9" t="str">
        <f aca="false">IF(C228="","",IFERROR(J228/I228,0))</f>
        <v/>
      </c>
      <c r="O228" s="21" t="str">
        <f aca="false">IF(C228="","",IFERROR(J228/L228,0))</f>
        <v/>
      </c>
      <c r="P228" s="22" t="str">
        <f aca="false">IF(C228="","",IFERROR(L228/J228,0))</f>
        <v/>
      </c>
      <c r="Q228" s="34"/>
      <c r="R228" s="4" t="str">
        <f aca="false">IF(C228="","",B228&amp;" | "&amp;C228&amp;" | "&amp;D228)</f>
        <v/>
      </c>
      <c r="S228" s="4" t="str">
        <f aca="false">IF(C228="","",R228&amp;"#"&amp;A228)</f>
        <v/>
      </c>
    </row>
    <row r="229" customFormat="false" ht="15" hidden="false" customHeight="false" outlineLevel="0" collapsed="false">
      <c r="A229" s="33"/>
      <c r="B229" s="34"/>
      <c r="C229" s="34"/>
      <c r="D229" s="34"/>
      <c r="E229" s="34"/>
      <c r="F229" s="34"/>
      <c r="G229" s="7"/>
      <c r="H229" s="35"/>
      <c r="I229" s="35"/>
      <c r="J229" s="7"/>
      <c r="K229" s="35"/>
      <c r="L229" s="7"/>
      <c r="M229" s="21" t="str">
        <f aca="false">IF(C229="","",IFERROR(I229/H229,0))</f>
        <v/>
      </c>
      <c r="N229" s="9" t="str">
        <f aca="false">IF(C229="","",IFERROR(J229/I229,0))</f>
        <v/>
      </c>
      <c r="O229" s="21" t="str">
        <f aca="false">IF(C229="","",IFERROR(J229/L229,0))</f>
        <v/>
      </c>
      <c r="P229" s="22" t="str">
        <f aca="false">IF(C229="","",IFERROR(L229/J229,0))</f>
        <v/>
      </c>
      <c r="Q229" s="34"/>
      <c r="R229" s="4" t="str">
        <f aca="false">IF(C229="","",B229&amp;" | "&amp;C229&amp;" | "&amp;D229)</f>
        <v/>
      </c>
      <c r="S229" s="4" t="str">
        <f aca="false">IF(C229="","",R229&amp;"#"&amp;A229)</f>
        <v/>
      </c>
    </row>
    <row r="230" customFormat="false" ht="15" hidden="false" customHeight="false" outlineLevel="0" collapsed="false">
      <c r="A230" s="33"/>
      <c r="B230" s="34"/>
      <c r="C230" s="34"/>
      <c r="D230" s="34"/>
      <c r="E230" s="34"/>
      <c r="F230" s="34"/>
      <c r="G230" s="7"/>
      <c r="H230" s="35"/>
      <c r="I230" s="35"/>
      <c r="J230" s="7"/>
      <c r="K230" s="35"/>
      <c r="L230" s="7"/>
      <c r="M230" s="21" t="str">
        <f aca="false">IF(C230="","",IFERROR(I230/H230,0))</f>
        <v/>
      </c>
      <c r="N230" s="9" t="str">
        <f aca="false">IF(C230="","",IFERROR(J230/I230,0))</f>
        <v/>
      </c>
      <c r="O230" s="21" t="str">
        <f aca="false">IF(C230="","",IFERROR(J230/L230,0))</f>
        <v/>
      </c>
      <c r="P230" s="22" t="str">
        <f aca="false">IF(C230="","",IFERROR(L230/J230,0))</f>
        <v/>
      </c>
      <c r="Q230" s="34"/>
      <c r="R230" s="4" t="str">
        <f aca="false">IF(C230="","",B230&amp;" | "&amp;C230&amp;" | "&amp;D230)</f>
        <v/>
      </c>
      <c r="S230" s="4" t="str">
        <f aca="false">IF(C230="","",R230&amp;"#"&amp;A230)</f>
        <v/>
      </c>
    </row>
    <row r="231" customFormat="false" ht="15" hidden="false" customHeight="false" outlineLevel="0" collapsed="false">
      <c r="A231" s="33"/>
      <c r="B231" s="34"/>
      <c r="C231" s="34"/>
      <c r="D231" s="34"/>
      <c r="E231" s="34"/>
      <c r="F231" s="34"/>
      <c r="G231" s="7"/>
      <c r="H231" s="35"/>
      <c r="I231" s="35"/>
      <c r="J231" s="7"/>
      <c r="K231" s="35"/>
      <c r="L231" s="7"/>
      <c r="M231" s="21" t="str">
        <f aca="false">IF(C231="","",IFERROR(I231/H231,0))</f>
        <v/>
      </c>
      <c r="N231" s="9" t="str">
        <f aca="false">IF(C231="","",IFERROR(J231/I231,0))</f>
        <v/>
      </c>
      <c r="O231" s="21" t="str">
        <f aca="false">IF(C231="","",IFERROR(J231/L231,0))</f>
        <v/>
      </c>
      <c r="P231" s="22" t="str">
        <f aca="false">IF(C231="","",IFERROR(L231/J231,0))</f>
        <v/>
      </c>
      <c r="Q231" s="34"/>
      <c r="R231" s="4" t="str">
        <f aca="false">IF(C231="","",B231&amp;" | "&amp;C231&amp;" | "&amp;D231)</f>
        <v/>
      </c>
      <c r="S231" s="4" t="str">
        <f aca="false">IF(C231="","",R231&amp;"#"&amp;A231)</f>
        <v/>
      </c>
    </row>
    <row r="232" customFormat="false" ht="15" hidden="false" customHeight="false" outlineLevel="0" collapsed="false">
      <c r="A232" s="33"/>
      <c r="B232" s="34"/>
      <c r="C232" s="34"/>
      <c r="D232" s="34"/>
      <c r="E232" s="34"/>
      <c r="F232" s="34"/>
      <c r="G232" s="7"/>
      <c r="H232" s="35"/>
      <c r="I232" s="35"/>
      <c r="J232" s="7"/>
      <c r="K232" s="35"/>
      <c r="L232" s="7"/>
      <c r="M232" s="21" t="str">
        <f aca="false">IF(C232="","",IFERROR(I232/H232,0))</f>
        <v/>
      </c>
      <c r="N232" s="9" t="str">
        <f aca="false">IF(C232="","",IFERROR(J232/I232,0))</f>
        <v/>
      </c>
      <c r="O232" s="21" t="str">
        <f aca="false">IF(C232="","",IFERROR(J232/L232,0))</f>
        <v/>
      </c>
      <c r="P232" s="22" t="str">
        <f aca="false">IF(C232="","",IFERROR(L232/J232,0))</f>
        <v/>
      </c>
      <c r="Q232" s="34"/>
      <c r="R232" s="4" t="str">
        <f aca="false">IF(C232="","",B232&amp;" | "&amp;C232&amp;" | "&amp;D232)</f>
        <v/>
      </c>
      <c r="S232" s="4" t="str">
        <f aca="false">IF(C232="","",R232&amp;"#"&amp;A232)</f>
        <v/>
      </c>
    </row>
    <row r="233" customFormat="false" ht="15" hidden="false" customHeight="false" outlineLevel="0" collapsed="false">
      <c r="A233" s="33"/>
      <c r="B233" s="34"/>
      <c r="C233" s="34"/>
      <c r="D233" s="34"/>
      <c r="E233" s="34"/>
      <c r="F233" s="34"/>
      <c r="G233" s="7"/>
      <c r="H233" s="35"/>
      <c r="I233" s="35"/>
      <c r="J233" s="7"/>
      <c r="K233" s="35"/>
      <c r="L233" s="7"/>
      <c r="M233" s="21" t="str">
        <f aca="false">IF(C233="","",IFERROR(I233/H233,0))</f>
        <v/>
      </c>
      <c r="N233" s="9" t="str">
        <f aca="false">IF(C233="","",IFERROR(J233/I233,0))</f>
        <v/>
      </c>
      <c r="O233" s="21" t="str">
        <f aca="false">IF(C233="","",IFERROR(J233/L233,0))</f>
        <v/>
      </c>
      <c r="P233" s="22" t="str">
        <f aca="false">IF(C233="","",IFERROR(L233/J233,0))</f>
        <v/>
      </c>
      <c r="Q233" s="34"/>
      <c r="R233" s="4" t="str">
        <f aca="false">IF(C233="","",B233&amp;" | "&amp;C233&amp;" | "&amp;D233)</f>
        <v/>
      </c>
      <c r="S233" s="4" t="str">
        <f aca="false">IF(C233="","",R233&amp;"#"&amp;A233)</f>
        <v/>
      </c>
    </row>
    <row r="234" customFormat="false" ht="15" hidden="false" customHeight="false" outlineLevel="0" collapsed="false">
      <c r="A234" s="33"/>
      <c r="B234" s="34"/>
      <c r="C234" s="34"/>
      <c r="D234" s="34"/>
      <c r="E234" s="34"/>
      <c r="F234" s="34"/>
      <c r="G234" s="7"/>
      <c r="H234" s="35"/>
      <c r="I234" s="35"/>
      <c r="J234" s="7"/>
      <c r="K234" s="35"/>
      <c r="L234" s="7"/>
      <c r="M234" s="21" t="str">
        <f aca="false">IF(C234="","",IFERROR(I234/H234,0))</f>
        <v/>
      </c>
      <c r="N234" s="9" t="str">
        <f aca="false">IF(C234="","",IFERROR(J234/I234,0))</f>
        <v/>
      </c>
      <c r="O234" s="21" t="str">
        <f aca="false">IF(C234="","",IFERROR(J234/L234,0))</f>
        <v/>
      </c>
      <c r="P234" s="22" t="str">
        <f aca="false">IF(C234="","",IFERROR(L234/J234,0))</f>
        <v/>
      </c>
      <c r="Q234" s="34"/>
      <c r="R234" s="4" t="str">
        <f aca="false">IF(C234="","",B234&amp;" | "&amp;C234&amp;" | "&amp;D234)</f>
        <v/>
      </c>
      <c r="S234" s="4" t="str">
        <f aca="false">IF(C234="","",R234&amp;"#"&amp;A234)</f>
        <v/>
      </c>
    </row>
    <row r="235" customFormat="false" ht="15" hidden="false" customHeight="false" outlineLevel="0" collapsed="false">
      <c r="A235" s="33"/>
      <c r="B235" s="34"/>
      <c r="C235" s="34"/>
      <c r="D235" s="34"/>
      <c r="E235" s="34"/>
      <c r="F235" s="34"/>
      <c r="G235" s="7"/>
      <c r="H235" s="35"/>
      <c r="I235" s="35"/>
      <c r="J235" s="7"/>
      <c r="K235" s="35"/>
      <c r="L235" s="7"/>
      <c r="M235" s="21" t="str">
        <f aca="false">IF(C235="","",IFERROR(I235/H235,0))</f>
        <v/>
      </c>
      <c r="N235" s="9" t="str">
        <f aca="false">IF(C235="","",IFERROR(J235/I235,0))</f>
        <v/>
      </c>
      <c r="O235" s="21" t="str">
        <f aca="false">IF(C235="","",IFERROR(J235/L235,0))</f>
        <v/>
      </c>
      <c r="P235" s="22" t="str">
        <f aca="false">IF(C235="","",IFERROR(L235/J235,0))</f>
        <v/>
      </c>
      <c r="Q235" s="34"/>
      <c r="R235" s="4" t="str">
        <f aca="false">IF(C235="","",B235&amp;" | "&amp;C235&amp;" | "&amp;D235)</f>
        <v/>
      </c>
      <c r="S235" s="4" t="str">
        <f aca="false">IF(C235="","",R235&amp;"#"&amp;A235)</f>
        <v/>
      </c>
    </row>
    <row r="236" customFormat="false" ht="15" hidden="false" customHeight="false" outlineLevel="0" collapsed="false">
      <c r="A236" s="33"/>
      <c r="B236" s="34"/>
      <c r="C236" s="34"/>
      <c r="D236" s="34"/>
      <c r="E236" s="34"/>
      <c r="F236" s="34"/>
      <c r="G236" s="7"/>
      <c r="H236" s="35"/>
      <c r="I236" s="35"/>
      <c r="J236" s="7"/>
      <c r="K236" s="35"/>
      <c r="L236" s="7"/>
      <c r="M236" s="21" t="str">
        <f aca="false">IF(C236="","",IFERROR(I236/H236,0))</f>
        <v/>
      </c>
      <c r="N236" s="9" t="str">
        <f aca="false">IF(C236="","",IFERROR(J236/I236,0))</f>
        <v/>
      </c>
      <c r="O236" s="21" t="str">
        <f aca="false">IF(C236="","",IFERROR(J236/L236,0))</f>
        <v/>
      </c>
      <c r="P236" s="22" t="str">
        <f aca="false">IF(C236="","",IFERROR(L236/J236,0))</f>
        <v/>
      </c>
      <c r="Q236" s="34"/>
      <c r="R236" s="4" t="str">
        <f aca="false">IF(C236="","",B236&amp;" | "&amp;C236&amp;" | "&amp;D236)</f>
        <v/>
      </c>
      <c r="S236" s="4" t="str">
        <f aca="false">IF(C236="","",R236&amp;"#"&amp;A236)</f>
        <v/>
      </c>
    </row>
    <row r="237" customFormat="false" ht="15" hidden="false" customHeight="false" outlineLevel="0" collapsed="false">
      <c r="A237" s="33"/>
      <c r="B237" s="34"/>
      <c r="C237" s="34"/>
      <c r="D237" s="34"/>
      <c r="E237" s="34"/>
      <c r="F237" s="34"/>
      <c r="G237" s="7"/>
      <c r="H237" s="35"/>
      <c r="I237" s="35"/>
      <c r="J237" s="7"/>
      <c r="K237" s="35"/>
      <c r="L237" s="7"/>
      <c r="M237" s="21" t="str">
        <f aca="false">IF(C237="","",IFERROR(I237/H237,0))</f>
        <v/>
      </c>
      <c r="N237" s="9" t="str">
        <f aca="false">IF(C237="","",IFERROR(J237/I237,0))</f>
        <v/>
      </c>
      <c r="O237" s="21" t="str">
        <f aca="false">IF(C237="","",IFERROR(J237/L237,0))</f>
        <v/>
      </c>
      <c r="P237" s="22" t="str">
        <f aca="false">IF(C237="","",IFERROR(L237/J237,0))</f>
        <v/>
      </c>
      <c r="Q237" s="34"/>
      <c r="R237" s="4" t="str">
        <f aca="false">IF(C237="","",B237&amp;" | "&amp;C237&amp;" | "&amp;D237)</f>
        <v/>
      </c>
      <c r="S237" s="4" t="str">
        <f aca="false">IF(C237="","",R237&amp;"#"&amp;A237)</f>
        <v/>
      </c>
    </row>
    <row r="238" customFormat="false" ht="15" hidden="false" customHeight="false" outlineLevel="0" collapsed="false">
      <c r="A238" s="33"/>
      <c r="B238" s="34"/>
      <c r="C238" s="34"/>
      <c r="D238" s="34"/>
      <c r="E238" s="34"/>
      <c r="F238" s="34"/>
      <c r="G238" s="7"/>
      <c r="H238" s="35"/>
      <c r="I238" s="35"/>
      <c r="J238" s="7"/>
      <c r="K238" s="35"/>
      <c r="L238" s="7"/>
      <c r="M238" s="21" t="str">
        <f aca="false">IF(C238="","",IFERROR(I238/H238,0))</f>
        <v/>
      </c>
      <c r="N238" s="9" t="str">
        <f aca="false">IF(C238="","",IFERROR(J238/I238,0))</f>
        <v/>
      </c>
      <c r="O238" s="21" t="str">
        <f aca="false">IF(C238="","",IFERROR(J238/L238,0))</f>
        <v/>
      </c>
      <c r="P238" s="22" t="str">
        <f aca="false">IF(C238="","",IFERROR(L238/J238,0))</f>
        <v/>
      </c>
      <c r="Q238" s="34"/>
      <c r="R238" s="4" t="str">
        <f aca="false">IF(C238="","",B238&amp;" | "&amp;C238&amp;" | "&amp;D238)</f>
        <v/>
      </c>
      <c r="S238" s="4" t="str">
        <f aca="false">IF(C238="","",R238&amp;"#"&amp;A238)</f>
        <v/>
      </c>
    </row>
    <row r="239" customFormat="false" ht="15" hidden="false" customHeight="false" outlineLevel="0" collapsed="false">
      <c r="A239" s="33"/>
      <c r="B239" s="34"/>
      <c r="C239" s="34"/>
      <c r="D239" s="34"/>
      <c r="E239" s="34"/>
      <c r="F239" s="34"/>
      <c r="G239" s="7"/>
      <c r="H239" s="35"/>
      <c r="I239" s="35"/>
      <c r="J239" s="7"/>
      <c r="K239" s="35"/>
      <c r="L239" s="7"/>
      <c r="M239" s="21" t="str">
        <f aca="false">IF(C239="","",IFERROR(I239/H239,0))</f>
        <v/>
      </c>
      <c r="N239" s="9" t="str">
        <f aca="false">IF(C239="","",IFERROR(J239/I239,0))</f>
        <v/>
      </c>
      <c r="O239" s="21" t="str">
        <f aca="false">IF(C239="","",IFERROR(J239/L239,0))</f>
        <v/>
      </c>
      <c r="P239" s="22" t="str">
        <f aca="false">IF(C239="","",IFERROR(L239/J239,0))</f>
        <v/>
      </c>
      <c r="Q239" s="34"/>
      <c r="R239" s="4" t="str">
        <f aca="false">IF(C239="","",B239&amp;" | "&amp;C239&amp;" | "&amp;D239)</f>
        <v/>
      </c>
      <c r="S239" s="4" t="str">
        <f aca="false">IF(C239="","",R239&amp;"#"&amp;A239)</f>
        <v/>
      </c>
    </row>
    <row r="240" customFormat="false" ht="15" hidden="false" customHeight="false" outlineLevel="0" collapsed="false">
      <c r="A240" s="33"/>
      <c r="B240" s="34"/>
      <c r="C240" s="34"/>
      <c r="D240" s="34"/>
      <c r="E240" s="34"/>
      <c r="F240" s="34"/>
      <c r="G240" s="7"/>
      <c r="H240" s="35"/>
      <c r="I240" s="35"/>
      <c r="J240" s="7"/>
      <c r="K240" s="35"/>
      <c r="L240" s="7"/>
      <c r="M240" s="21" t="str">
        <f aca="false">IF(C240="","",IFERROR(I240/H240,0))</f>
        <v/>
      </c>
      <c r="N240" s="9" t="str">
        <f aca="false">IF(C240="","",IFERROR(J240/I240,0))</f>
        <v/>
      </c>
      <c r="O240" s="21" t="str">
        <f aca="false">IF(C240="","",IFERROR(J240/L240,0))</f>
        <v/>
      </c>
      <c r="P240" s="22" t="str">
        <f aca="false">IF(C240="","",IFERROR(L240/J240,0))</f>
        <v/>
      </c>
      <c r="Q240" s="34"/>
      <c r="R240" s="4" t="str">
        <f aca="false">IF(C240="","",B240&amp;" | "&amp;C240&amp;" | "&amp;D240)</f>
        <v/>
      </c>
      <c r="S240" s="4" t="str">
        <f aca="false">IF(C240="","",R240&amp;"#"&amp;A240)</f>
        <v/>
      </c>
    </row>
    <row r="241" customFormat="false" ht="15" hidden="false" customHeight="false" outlineLevel="0" collapsed="false">
      <c r="A241" s="33"/>
      <c r="B241" s="34"/>
      <c r="C241" s="34"/>
      <c r="D241" s="34"/>
      <c r="E241" s="34"/>
      <c r="F241" s="34"/>
      <c r="G241" s="7"/>
      <c r="H241" s="35"/>
      <c r="I241" s="35"/>
      <c r="J241" s="7"/>
      <c r="K241" s="35"/>
      <c r="L241" s="7"/>
      <c r="M241" s="21" t="str">
        <f aca="false">IF(C241="","",IFERROR(I241/H241,0))</f>
        <v/>
      </c>
      <c r="N241" s="9" t="str">
        <f aca="false">IF(C241="","",IFERROR(J241/I241,0))</f>
        <v/>
      </c>
      <c r="O241" s="21" t="str">
        <f aca="false">IF(C241="","",IFERROR(J241/L241,0))</f>
        <v/>
      </c>
      <c r="P241" s="22" t="str">
        <f aca="false">IF(C241="","",IFERROR(L241/J241,0))</f>
        <v/>
      </c>
      <c r="Q241" s="34"/>
      <c r="R241" s="4" t="str">
        <f aca="false">IF(C241="","",B241&amp;" | "&amp;C241&amp;" | "&amp;D241)</f>
        <v/>
      </c>
      <c r="S241" s="4" t="str">
        <f aca="false">IF(C241="","",R241&amp;"#"&amp;A241)</f>
        <v/>
      </c>
    </row>
    <row r="242" customFormat="false" ht="15" hidden="false" customHeight="false" outlineLevel="0" collapsed="false">
      <c r="A242" s="33"/>
      <c r="B242" s="34"/>
      <c r="C242" s="34"/>
      <c r="D242" s="34"/>
      <c r="E242" s="34"/>
      <c r="F242" s="34"/>
      <c r="G242" s="7"/>
      <c r="H242" s="35"/>
      <c r="I242" s="35"/>
      <c r="J242" s="7"/>
      <c r="K242" s="35"/>
      <c r="L242" s="7"/>
      <c r="M242" s="21" t="str">
        <f aca="false">IF(C242="","",IFERROR(I242/H242,0))</f>
        <v/>
      </c>
      <c r="N242" s="9" t="str">
        <f aca="false">IF(C242="","",IFERROR(J242/I242,0))</f>
        <v/>
      </c>
      <c r="O242" s="21" t="str">
        <f aca="false">IF(C242="","",IFERROR(J242/L242,0))</f>
        <v/>
      </c>
      <c r="P242" s="22" t="str">
        <f aca="false">IF(C242="","",IFERROR(L242/J242,0))</f>
        <v/>
      </c>
      <c r="Q242" s="34"/>
      <c r="R242" s="4" t="str">
        <f aca="false">IF(C242="","",B242&amp;" | "&amp;C242&amp;" | "&amp;D242)</f>
        <v/>
      </c>
      <c r="S242" s="4" t="str">
        <f aca="false">IF(C242="","",R242&amp;"#"&amp;A242)</f>
        <v/>
      </c>
    </row>
    <row r="243" customFormat="false" ht="15" hidden="false" customHeight="false" outlineLevel="0" collapsed="false">
      <c r="A243" s="33"/>
      <c r="B243" s="34"/>
      <c r="C243" s="34"/>
      <c r="D243" s="34"/>
      <c r="E243" s="34"/>
      <c r="F243" s="34"/>
      <c r="G243" s="7"/>
      <c r="H243" s="35"/>
      <c r="I243" s="35"/>
      <c r="J243" s="7"/>
      <c r="K243" s="35"/>
      <c r="L243" s="7"/>
      <c r="M243" s="21" t="str">
        <f aca="false">IF(C243="","",IFERROR(I243/H243,0))</f>
        <v/>
      </c>
      <c r="N243" s="9" t="str">
        <f aca="false">IF(C243="","",IFERROR(J243/I243,0))</f>
        <v/>
      </c>
      <c r="O243" s="21" t="str">
        <f aca="false">IF(C243="","",IFERROR(J243/L243,0))</f>
        <v/>
      </c>
      <c r="P243" s="22" t="str">
        <f aca="false">IF(C243="","",IFERROR(L243/J243,0))</f>
        <v/>
      </c>
      <c r="Q243" s="34"/>
      <c r="R243" s="4" t="str">
        <f aca="false">IF(C243="","",B243&amp;" | "&amp;C243&amp;" | "&amp;D243)</f>
        <v/>
      </c>
      <c r="S243" s="4" t="str">
        <f aca="false">IF(C243="","",R243&amp;"#"&amp;A243)</f>
        <v/>
      </c>
    </row>
    <row r="244" customFormat="false" ht="15" hidden="false" customHeight="false" outlineLevel="0" collapsed="false">
      <c r="A244" s="33"/>
      <c r="B244" s="34"/>
      <c r="C244" s="34"/>
      <c r="D244" s="34"/>
      <c r="E244" s="34"/>
      <c r="F244" s="34"/>
      <c r="G244" s="7"/>
      <c r="H244" s="35"/>
      <c r="I244" s="35"/>
      <c r="J244" s="7"/>
      <c r="K244" s="35"/>
      <c r="L244" s="7"/>
      <c r="M244" s="21" t="str">
        <f aca="false">IF(C244="","",IFERROR(I244/H244,0))</f>
        <v/>
      </c>
      <c r="N244" s="9" t="str">
        <f aca="false">IF(C244="","",IFERROR(J244/I244,0))</f>
        <v/>
      </c>
      <c r="O244" s="21" t="str">
        <f aca="false">IF(C244="","",IFERROR(J244/L244,0))</f>
        <v/>
      </c>
      <c r="P244" s="22" t="str">
        <f aca="false">IF(C244="","",IFERROR(L244/J244,0))</f>
        <v/>
      </c>
      <c r="Q244" s="34"/>
      <c r="R244" s="4" t="str">
        <f aca="false">IF(C244="","",B244&amp;" | "&amp;C244&amp;" | "&amp;D244)</f>
        <v/>
      </c>
      <c r="S244" s="4" t="str">
        <f aca="false">IF(C244="","",R244&amp;"#"&amp;A244)</f>
        <v/>
      </c>
    </row>
    <row r="245" customFormat="false" ht="15" hidden="false" customHeight="false" outlineLevel="0" collapsed="false">
      <c r="A245" s="33"/>
      <c r="B245" s="34"/>
      <c r="C245" s="34"/>
      <c r="D245" s="34"/>
      <c r="E245" s="34"/>
      <c r="F245" s="34"/>
      <c r="G245" s="7"/>
      <c r="H245" s="35"/>
      <c r="I245" s="35"/>
      <c r="J245" s="7"/>
      <c r="K245" s="35"/>
      <c r="L245" s="7"/>
      <c r="M245" s="21" t="str">
        <f aca="false">IF(C245="","",IFERROR(I245/H245,0))</f>
        <v/>
      </c>
      <c r="N245" s="9" t="str">
        <f aca="false">IF(C245="","",IFERROR(J245/I245,0))</f>
        <v/>
      </c>
      <c r="O245" s="21" t="str">
        <f aca="false">IF(C245="","",IFERROR(J245/L245,0))</f>
        <v/>
      </c>
      <c r="P245" s="22" t="str">
        <f aca="false">IF(C245="","",IFERROR(L245/J245,0))</f>
        <v/>
      </c>
      <c r="Q245" s="34"/>
      <c r="R245" s="4" t="str">
        <f aca="false">IF(C245="","",B245&amp;" | "&amp;C245&amp;" | "&amp;D245)</f>
        <v/>
      </c>
      <c r="S245" s="4" t="str">
        <f aca="false">IF(C245="","",R245&amp;"#"&amp;A245)</f>
        <v/>
      </c>
    </row>
    <row r="246" customFormat="false" ht="15" hidden="false" customHeight="false" outlineLevel="0" collapsed="false">
      <c r="A246" s="33"/>
      <c r="B246" s="34"/>
      <c r="C246" s="34"/>
      <c r="D246" s="34"/>
      <c r="E246" s="34"/>
      <c r="F246" s="34"/>
      <c r="G246" s="7"/>
      <c r="H246" s="35"/>
      <c r="I246" s="35"/>
      <c r="J246" s="7"/>
      <c r="K246" s="35"/>
      <c r="L246" s="7"/>
      <c r="M246" s="21" t="str">
        <f aca="false">IF(C246="","",IFERROR(I246/H246,0))</f>
        <v/>
      </c>
      <c r="N246" s="9" t="str">
        <f aca="false">IF(C246="","",IFERROR(J246/I246,0))</f>
        <v/>
      </c>
      <c r="O246" s="21" t="str">
        <f aca="false">IF(C246="","",IFERROR(J246/L246,0))</f>
        <v/>
      </c>
      <c r="P246" s="22" t="str">
        <f aca="false">IF(C246="","",IFERROR(L246/J246,0))</f>
        <v/>
      </c>
      <c r="Q246" s="34"/>
      <c r="R246" s="4" t="str">
        <f aca="false">IF(C246="","",B246&amp;" | "&amp;C246&amp;" | "&amp;D246)</f>
        <v/>
      </c>
      <c r="S246" s="4" t="str">
        <f aca="false">IF(C246="","",R246&amp;"#"&amp;A246)</f>
        <v/>
      </c>
    </row>
    <row r="247" customFormat="false" ht="15" hidden="false" customHeight="false" outlineLevel="0" collapsed="false">
      <c r="A247" s="33"/>
      <c r="B247" s="34"/>
      <c r="C247" s="34"/>
      <c r="D247" s="34"/>
      <c r="E247" s="34"/>
      <c r="F247" s="34"/>
      <c r="G247" s="7"/>
      <c r="H247" s="35"/>
      <c r="I247" s="35"/>
      <c r="J247" s="7"/>
      <c r="K247" s="35"/>
      <c r="L247" s="7"/>
      <c r="M247" s="21" t="str">
        <f aca="false">IF(C247="","",IFERROR(I247/H247,0))</f>
        <v/>
      </c>
      <c r="N247" s="9" t="str">
        <f aca="false">IF(C247="","",IFERROR(J247/I247,0))</f>
        <v/>
      </c>
      <c r="O247" s="21" t="str">
        <f aca="false">IF(C247="","",IFERROR(J247/L247,0))</f>
        <v/>
      </c>
      <c r="P247" s="22" t="str">
        <f aca="false">IF(C247="","",IFERROR(L247/J247,0))</f>
        <v/>
      </c>
      <c r="Q247" s="34"/>
      <c r="R247" s="4" t="str">
        <f aca="false">IF(C247="","",B247&amp;" | "&amp;C247&amp;" | "&amp;D247)</f>
        <v/>
      </c>
      <c r="S247" s="4" t="str">
        <f aca="false">IF(C247="","",R247&amp;"#"&amp;A247)</f>
        <v/>
      </c>
    </row>
    <row r="248" customFormat="false" ht="15" hidden="false" customHeight="false" outlineLevel="0" collapsed="false">
      <c r="A248" s="33"/>
      <c r="B248" s="34"/>
      <c r="C248" s="34"/>
      <c r="D248" s="34"/>
      <c r="E248" s="34"/>
      <c r="F248" s="34"/>
      <c r="G248" s="7"/>
      <c r="H248" s="35"/>
      <c r="I248" s="35"/>
      <c r="J248" s="7"/>
      <c r="K248" s="35"/>
      <c r="L248" s="7"/>
      <c r="M248" s="21" t="str">
        <f aca="false">IF(C248="","",IFERROR(I248/H248,0))</f>
        <v/>
      </c>
      <c r="N248" s="9" t="str">
        <f aca="false">IF(C248="","",IFERROR(J248/I248,0))</f>
        <v/>
      </c>
      <c r="O248" s="21" t="str">
        <f aca="false">IF(C248="","",IFERROR(J248/L248,0))</f>
        <v/>
      </c>
      <c r="P248" s="22" t="str">
        <f aca="false">IF(C248="","",IFERROR(L248/J248,0))</f>
        <v/>
      </c>
      <c r="Q248" s="34"/>
      <c r="R248" s="4" t="str">
        <f aca="false">IF(C248="","",B248&amp;" | "&amp;C248&amp;" | "&amp;D248)</f>
        <v/>
      </c>
      <c r="S248" s="4" t="str">
        <f aca="false">IF(C248="","",R248&amp;"#"&amp;A248)</f>
        <v/>
      </c>
    </row>
    <row r="249" customFormat="false" ht="15" hidden="false" customHeight="false" outlineLevel="0" collapsed="false">
      <c r="A249" s="33"/>
      <c r="B249" s="34"/>
      <c r="C249" s="34"/>
      <c r="D249" s="34"/>
      <c r="E249" s="34"/>
      <c r="F249" s="34"/>
      <c r="G249" s="7"/>
      <c r="H249" s="35"/>
      <c r="I249" s="35"/>
      <c r="J249" s="7"/>
      <c r="K249" s="35"/>
      <c r="L249" s="7"/>
      <c r="M249" s="21" t="str">
        <f aca="false">IF(C249="","",IFERROR(I249/H249,0))</f>
        <v/>
      </c>
      <c r="N249" s="9" t="str">
        <f aca="false">IF(C249="","",IFERROR(J249/I249,0))</f>
        <v/>
      </c>
      <c r="O249" s="21" t="str">
        <f aca="false">IF(C249="","",IFERROR(J249/L249,0))</f>
        <v/>
      </c>
      <c r="P249" s="22" t="str">
        <f aca="false">IF(C249="","",IFERROR(L249/J249,0))</f>
        <v/>
      </c>
      <c r="Q249" s="34"/>
      <c r="R249" s="4" t="str">
        <f aca="false">IF(C249="","",B249&amp;" | "&amp;C249&amp;" | "&amp;D249)</f>
        <v/>
      </c>
      <c r="S249" s="4" t="str">
        <f aca="false">IF(C249="","",R249&amp;"#"&amp;A249)</f>
        <v/>
      </c>
    </row>
    <row r="250" customFormat="false" ht="15" hidden="false" customHeight="false" outlineLevel="0" collapsed="false">
      <c r="A250" s="33"/>
      <c r="B250" s="34"/>
      <c r="C250" s="34"/>
      <c r="D250" s="34"/>
      <c r="E250" s="34"/>
      <c r="F250" s="34"/>
      <c r="G250" s="7"/>
      <c r="H250" s="35"/>
      <c r="I250" s="35"/>
      <c r="J250" s="7"/>
      <c r="K250" s="35"/>
      <c r="L250" s="7"/>
      <c r="M250" s="21" t="str">
        <f aca="false">IF(C250="","",IFERROR(I250/H250,0))</f>
        <v/>
      </c>
      <c r="N250" s="9" t="str">
        <f aca="false">IF(C250="","",IFERROR(J250/I250,0))</f>
        <v/>
      </c>
      <c r="O250" s="21" t="str">
        <f aca="false">IF(C250="","",IFERROR(J250/L250,0))</f>
        <v/>
      </c>
      <c r="P250" s="22" t="str">
        <f aca="false">IF(C250="","",IFERROR(L250/J250,0))</f>
        <v/>
      </c>
      <c r="Q250" s="34"/>
      <c r="R250" s="4" t="str">
        <f aca="false">IF(C250="","",B250&amp;" | "&amp;C250&amp;" | "&amp;D250)</f>
        <v/>
      </c>
      <c r="S250" s="4" t="str">
        <f aca="false">IF(C250="","",R250&amp;"#"&amp;A250)</f>
        <v/>
      </c>
    </row>
    <row r="251" customFormat="false" ht="15" hidden="false" customHeight="false" outlineLevel="0" collapsed="false">
      <c r="A251" s="33"/>
      <c r="B251" s="34"/>
      <c r="C251" s="34"/>
      <c r="D251" s="34"/>
      <c r="E251" s="34"/>
      <c r="F251" s="34"/>
      <c r="G251" s="7"/>
      <c r="H251" s="35"/>
      <c r="I251" s="35"/>
      <c r="J251" s="7"/>
      <c r="K251" s="35"/>
      <c r="L251" s="7"/>
      <c r="M251" s="21" t="str">
        <f aca="false">IF(C251="","",IFERROR(I251/H251,0))</f>
        <v/>
      </c>
      <c r="N251" s="9" t="str">
        <f aca="false">IF(C251="","",IFERROR(J251/I251,0))</f>
        <v/>
      </c>
      <c r="O251" s="21" t="str">
        <f aca="false">IF(C251="","",IFERROR(J251/L251,0))</f>
        <v/>
      </c>
      <c r="P251" s="22" t="str">
        <f aca="false">IF(C251="","",IFERROR(L251/J251,0))</f>
        <v/>
      </c>
      <c r="Q251" s="34"/>
      <c r="R251" s="4" t="str">
        <f aca="false">IF(C251="","",B251&amp;" | "&amp;C251&amp;" | "&amp;D251)</f>
        <v/>
      </c>
      <c r="S251" s="4" t="str">
        <f aca="false">IF(C251="","",R251&amp;"#"&amp;A251)</f>
        <v/>
      </c>
    </row>
    <row r="252" customFormat="false" ht="15" hidden="false" customHeight="false" outlineLevel="0" collapsed="false">
      <c r="A252" s="33"/>
      <c r="B252" s="34"/>
      <c r="C252" s="34"/>
      <c r="D252" s="34"/>
      <c r="E252" s="34"/>
      <c r="F252" s="34"/>
      <c r="G252" s="7"/>
      <c r="H252" s="35"/>
      <c r="I252" s="35"/>
      <c r="J252" s="7"/>
      <c r="K252" s="35"/>
      <c r="L252" s="7"/>
      <c r="M252" s="21" t="str">
        <f aca="false">IF(C252="","",IFERROR(I252/H252,0))</f>
        <v/>
      </c>
      <c r="N252" s="9" t="str">
        <f aca="false">IF(C252="","",IFERROR(J252/I252,0))</f>
        <v/>
      </c>
      <c r="O252" s="21" t="str">
        <f aca="false">IF(C252="","",IFERROR(J252/L252,0))</f>
        <v/>
      </c>
      <c r="P252" s="22" t="str">
        <f aca="false">IF(C252="","",IFERROR(L252/J252,0))</f>
        <v/>
      </c>
      <c r="Q252" s="34"/>
      <c r="R252" s="4" t="str">
        <f aca="false">IF(C252="","",B252&amp;" | "&amp;C252&amp;" | "&amp;D252)</f>
        <v/>
      </c>
      <c r="S252" s="4" t="str">
        <f aca="false">IF(C252="","",R252&amp;"#"&amp;A252)</f>
        <v/>
      </c>
    </row>
    <row r="253" customFormat="false" ht="15" hidden="false" customHeight="false" outlineLevel="0" collapsed="false">
      <c r="A253" s="33"/>
      <c r="B253" s="34"/>
      <c r="C253" s="34"/>
      <c r="D253" s="34"/>
      <c r="E253" s="34"/>
      <c r="F253" s="34"/>
      <c r="G253" s="7"/>
      <c r="H253" s="35"/>
      <c r="I253" s="35"/>
      <c r="J253" s="7"/>
      <c r="K253" s="35"/>
      <c r="L253" s="7"/>
      <c r="M253" s="21" t="str">
        <f aca="false">IF(C253="","",IFERROR(I253/H253,0))</f>
        <v/>
      </c>
      <c r="N253" s="9" t="str">
        <f aca="false">IF(C253="","",IFERROR(J253/I253,0))</f>
        <v/>
      </c>
      <c r="O253" s="21" t="str">
        <f aca="false">IF(C253="","",IFERROR(J253/L253,0))</f>
        <v/>
      </c>
      <c r="P253" s="22" t="str">
        <f aca="false">IF(C253="","",IFERROR(L253/J253,0))</f>
        <v/>
      </c>
      <c r="Q253" s="34"/>
      <c r="R253" s="4" t="str">
        <f aca="false">IF(C253="","",B253&amp;" | "&amp;C253&amp;" | "&amp;D253)</f>
        <v/>
      </c>
      <c r="S253" s="4" t="str">
        <f aca="false">IF(C253="","",R253&amp;"#"&amp;A253)</f>
        <v/>
      </c>
    </row>
    <row r="254" customFormat="false" ht="15" hidden="false" customHeight="false" outlineLevel="0" collapsed="false">
      <c r="A254" s="33"/>
      <c r="B254" s="34"/>
      <c r="C254" s="34"/>
      <c r="D254" s="34"/>
      <c r="E254" s="34"/>
      <c r="F254" s="34"/>
      <c r="G254" s="7"/>
      <c r="H254" s="35"/>
      <c r="I254" s="35"/>
      <c r="J254" s="7"/>
      <c r="K254" s="35"/>
      <c r="L254" s="7"/>
      <c r="M254" s="21" t="str">
        <f aca="false">IF(C254="","",IFERROR(I254/H254,0))</f>
        <v/>
      </c>
      <c r="N254" s="9" t="str">
        <f aca="false">IF(C254="","",IFERROR(J254/I254,0))</f>
        <v/>
      </c>
      <c r="O254" s="21" t="str">
        <f aca="false">IF(C254="","",IFERROR(J254/L254,0))</f>
        <v/>
      </c>
      <c r="P254" s="22" t="str">
        <f aca="false">IF(C254="","",IFERROR(L254/J254,0))</f>
        <v/>
      </c>
      <c r="Q254" s="34"/>
      <c r="R254" s="4" t="str">
        <f aca="false">IF(C254="","",B254&amp;" | "&amp;C254&amp;" | "&amp;D254)</f>
        <v/>
      </c>
      <c r="S254" s="4" t="str">
        <f aca="false">IF(C254="","",R254&amp;"#"&amp;A254)</f>
        <v/>
      </c>
    </row>
    <row r="255" customFormat="false" ht="15" hidden="false" customHeight="false" outlineLevel="0" collapsed="false">
      <c r="A255" s="33"/>
      <c r="B255" s="34"/>
      <c r="C255" s="34"/>
      <c r="D255" s="34"/>
      <c r="E255" s="34"/>
      <c r="F255" s="34"/>
      <c r="G255" s="7"/>
      <c r="H255" s="35"/>
      <c r="I255" s="35"/>
      <c r="J255" s="7"/>
      <c r="K255" s="35"/>
      <c r="L255" s="7"/>
      <c r="M255" s="21" t="str">
        <f aca="false">IF(C255="","",IFERROR(I255/H255,0))</f>
        <v/>
      </c>
      <c r="N255" s="9" t="str">
        <f aca="false">IF(C255="","",IFERROR(J255/I255,0))</f>
        <v/>
      </c>
      <c r="O255" s="21" t="str">
        <f aca="false">IF(C255="","",IFERROR(J255/L255,0))</f>
        <v/>
      </c>
      <c r="P255" s="22" t="str">
        <f aca="false">IF(C255="","",IFERROR(L255/J255,0))</f>
        <v/>
      </c>
      <c r="Q255" s="34"/>
      <c r="R255" s="4" t="str">
        <f aca="false">IF(C255="","",B255&amp;" | "&amp;C255&amp;" | "&amp;D255)</f>
        <v/>
      </c>
      <c r="S255" s="4" t="str">
        <f aca="false">IF(C255="","",R255&amp;"#"&amp;A255)</f>
        <v/>
      </c>
    </row>
    <row r="256" customFormat="false" ht="15" hidden="false" customHeight="false" outlineLevel="0" collapsed="false">
      <c r="A256" s="33"/>
      <c r="B256" s="34"/>
      <c r="C256" s="34"/>
      <c r="D256" s="34"/>
      <c r="E256" s="34"/>
      <c r="F256" s="34"/>
      <c r="G256" s="7"/>
      <c r="H256" s="35"/>
      <c r="I256" s="35"/>
      <c r="J256" s="7"/>
      <c r="K256" s="35"/>
      <c r="L256" s="7"/>
      <c r="M256" s="21" t="str">
        <f aca="false">IF(C256="","",IFERROR(I256/H256,0))</f>
        <v/>
      </c>
      <c r="N256" s="9" t="str">
        <f aca="false">IF(C256="","",IFERROR(J256/I256,0))</f>
        <v/>
      </c>
      <c r="O256" s="21" t="str">
        <f aca="false">IF(C256="","",IFERROR(J256/L256,0))</f>
        <v/>
      </c>
      <c r="P256" s="22" t="str">
        <f aca="false">IF(C256="","",IFERROR(L256/J256,0))</f>
        <v/>
      </c>
      <c r="Q256" s="34"/>
      <c r="R256" s="4" t="str">
        <f aca="false">IF(C256="","",B256&amp;" | "&amp;C256&amp;" | "&amp;D256)</f>
        <v/>
      </c>
      <c r="S256" s="4" t="str">
        <f aca="false">IF(C256="","",R256&amp;"#"&amp;A256)</f>
        <v/>
      </c>
    </row>
    <row r="257" customFormat="false" ht="15" hidden="false" customHeight="false" outlineLevel="0" collapsed="false">
      <c r="A257" s="33"/>
      <c r="B257" s="34"/>
      <c r="C257" s="34"/>
      <c r="D257" s="34"/>
      <c r="E257" s="34"/>
      <c r="F257" s="34"/>
      <c r="G257" s="7"/>
      <c r="H257" s="35"/>
      <c r="I257" s="35"/>
      <c r="J257" s="7"/>
      <c r="K257" s="35"/>
      <c r="L257" s="7"/>
      <c r="M257" s="21" t="str">
        <f aca="false">IF(C257="","",IFERROR(I257/H257,0))</f>
        <v/>
      </c>
      <c r="N257" s="9" t="str">
        <f aca="false">IF(C257="","",IFERROR(J257/I257,0))</f>
        <v/>
      </c>
      <c r="O257" s="21" t="str">
        <f aca="false">IF(C257="","",IFERROR(J257/L257,0))</f>
        <v/>
      </c>
      <c r="P257" s="22" t="str">
        <f aca="false">IF(C257="","",IFERROR(L257/J257,0))</f>
        <v/>
      </c>
      <c r="Q257" s="34"/>
      <c r="R257" s="4" t="str">
        <f aca="false">IF(C257="","",B257&amp;" | "&amp;C257&amp;" | "&amp;D257)</f>
        <v/>
      </c>
      <c r="S257" s="4" t="str">
        <f aca="false">IF(C257="","",R257&amp;"#"&amp;A257)</f>
        <v/>
      </c>
    </row>
    <row r="258" customFormat="false" ht="15" hidden="false" customHeight="false" outlineLevel="0" collapsed="false">
      <c r="A258" s="33"/>
      <c r="B258" s="34"/>
      <c r="C258" s="34"/>
      <c r="D258" s="34"/>
      <c r="E258" s="34"/>
      <c r="F258" s="34"/>
      <c r="G258" s="7"/>
      <c r="H258" s="35"/>
      <c r="I258" s="35"/>
      <c r="J258" s="7"/>
      <c r="K258" s="35"/>
      <c r="L258" s="7"/>
      <c r="M258" s="21" t="str">
        <f aca="false">IF(C258="","",IFERROR(I258/H258,0))</f>
        <v/>
      </c>
      <c r="N258" s="9" t="str">
        <f aca="false">IF(C258="","",IFERROR(J258/I258,0))</f>
        <v/>
      </c>
      <c r="O258" s="21" t="str">
        <f aca="false">IF(C258="","",IFERROR(J258/L258,0))</f>
        <v/>
      </c>
      <c r="P258" s="22" t="str">
        <f aca="false">IF(C258="","",IFERROR(L258/J258,0))</f>
        <v/>
      </c>
      <c r="Q258" s="34"/>
      <c r="R258" s="4" t="str">
        <f aca="false">IF(C258="","",B258&amp;" | "&amp;C258&amp;" | "&amp;D258)</f>
        <v/>
      </c>
      <c r="S258" s="4" t="str">
        <f aca="false">IF(C258="","",R258&amp;"#"&amp;A258)</f>
        <v/>
      </c>
    </row>
    <row r="259" customFormat="false" ht="15" hidden="false" customHeight="false" outlineLevel="0" collapsed="false">
      <c r="A259" s="33"/>
      <c r="B259" s="34"/>
      <c r="C259" s="34"/>
      <c r="D259" s="34"/>
      <c r="E259" s="34"/>
      <c r="F259" s="34"/>
      <c r="G259" s="7"/>
      <c r="H259" s="35"/>
      <c r="I259" s="35"/>
      <c r="J259" s="7"/>
      <c r="K259" s="35"/>
      <c r="L259" s="7"/>
      <c r="M259" s="21" t="str">
        <f aca="false">IF(C259="","",IFERROR(I259/H259,0))</f>
        <v/>
      </c>
      <c r="N259" s="9" t="str">
        <f aca="false">IF(C259="","",IFERROR(J259/I259,0))</f>
        <v/>
      </c>
      <c r="O259" s="21" t="str">
        <f aca="false">IF(C259="","",IFERROR(J259/L259,0))</f>
        <v/>
      </c>
      <c r="P259" s="22" t="str">
        <f aca="false">IF(C259="","",IFERROR(L259/J259,0))</f>
        <v/>
      </c>
      <c r="Q259" s="34"/>
      <c r="R259" s="4" t="str">
        <f aca="false">IF(C259="","",B259&amp;" | "&amp;C259&amp;" | "&amp;D259)</f>
        <v/>
      </c>
      <c r="S259" s="4" t="str">
        <f aca="false">IF(C259="","",R259&amp;"#"&amp;A259)</f>
        <v/>
      </c>
    </row>
    <row r="260" customFormat="false" ht="15" hidden="false" customHeight="false" outlineLevel="0" collapsed="false">
      <c r="A260" s="33"/>
      <c r="B260" s="34"/>
      <c r="C260" s="34"/>
      <c r="D260" s="34"/>
      <c r="E260" s="34"/>
      <c r="F260" s="34"/>
      <c r="G260" s="7"/>
      <c r="H260" s="35"/>
      <c r="I260" s="35"/>
      <c r="J260" s="7"/>
      <c r="K260" s="35"/>
      <c r="L260" s="7"/>
      <c r="M260" s="21" t="str">
        <f aca="false">IF(C260="","",IFERROR(I260/H260,0))</f>
        <v/>
      </c>
      <c r="N260" s="9" t="str">
        <f aca="false">IF(C260="","",IFERROR(J260/I260,0))</f>
        <v/>
      </c>
      <c r="O260" s="21" t="str">
        <f aca="false">IF(C260="","",IFERROR(J260/L260,0))</f>
        <v/>
      </c>
      <c r="P260" s="22" t="str">
        <f aca="false">IF(C260="","",IFERROR(L260/J260,0))</f>
        <v/>
      </c>
      <c r="Q260" s="34"/>
      <c r="R260" s="4" t="str">
        <f aca="false">IF(C260="","",B260&amp;" | "&amp;C260&amp;" | "&amp;D260)</f>
        <v/>
      </c>
      <c r="S260" s="4" t="str">
        <f aca="false">IF(C260="","",R260&amp;"#"&amp;A260)</f>
        <v/>
      </c>
    </row>
    <row r="261" customFormat="false" ht="15" hidden="false" customHeight="false" outlineLevel="0" collapsed="false">
      <c r="A261" s="33"/>
      <c r="B261" s="34"/>
      <c r="C261" s="34"/>
      <c r="D261" s="34"/>
      <c r="E261" s="34"/>
      <c r="F261" s="34"/>
      <c r="G261" s="7"/>
      <c r="H261" s="35"/>
      <c r="I261" s="35"/>
      <c r="J261" s="7"/>
      <c r="K261" s="35"/>
      <c r="L261" s="7"/>
      <c r="M261" s="21" t="str">
        <f aca="false">IF(C261="","",IFERROR(I261/H261,0))</f>
        <v/>
      </c>
      <c r="N261" s="9" t="str">
        <f aca="false">IF(C261="","",IFERROR(J261/I261,0))</f>
        <v/>
      </c>
      <c r="O261" s="21" t="str">
        <f aca="false">IF(C261="","",IFERROR(J261/L261,0))</f>
        <v/>
      </c>
      <c r="P261" s="22" t="str">
        <f aca="false">IF(C261="","",IFERROR(L261/J261,0))</f>
        <v/>
      </c>
      <c r="Q261" s="34"/>
      <c r="R261" s="4" t="str">
        <f aca="false">IF(C261="","",B261&amp;" | "&amp;C261&amp;" | "&amp;D261)</f>
        <v/>
      </c>
      <c r="S261" s="4" t="str">
        <f aca="false">IF(C261="","",R261&amp;"#"&amp;A261)</f>
        <v/>
      </c>
    </row>
    <row r="262" customFormat="false" ht="15" hidden="false" customHeight="false" outlineLevel="0" collapsed="false">
      <c r="A262" s="33"/>
      <c r="B262" s="34"/>
      <c r="C262" s="34"/>
      <c r="D262" s="34"/>
      <c r="E262" s="34"/>
      <c r="F262" s="34"/>
      <c r="G262" s="7"/>
      <c r="H262" s="35"/>
      <c r="I262" s="35"/>
      <c r="J262" s="7"/>
      <c r="K262" s="35"/>
      <c r="L262" s="7"/>
      <c r="M262" s="21" t="str">
        <f aca="false">IF(C262="","",IFERROR(I262/H262,0))</f>
        <v/>
      </c>
      <c r="N262" s="9" t="str">
        <f aca="false">IF(C262="","",IFERROR(J262/I262,0))</f>
        <v/>
      </c>
      <c r="O262" s="21" t="str">
        <f aca="false">IF(C262="","",IFERROR(J262/L262,0))</f>
        <v/>
      </c>
      <c r="P262" s="22" t="str">
        <f aca="false">IF(C262="","",IFERROR(L262/J262,0))</f>
        <v/>
      </c>
      <c r="Q262" s="34"/>
      <c r="R262" s="4" t="str">
        <f aca="false">IF(C262="","",B262&amp;" | "&amp;C262&amp;" | "&amp;D262)</f>
        <v/>
      </c>
      <c r="S262" s="4" t="str">
        <f aca="false">IF(C262="","",R262&amp;"#"&amp;A262)</f>
        <v/>
      </c>
    </row>
    <row r="263" customFormat="false" ht="15" hidden="false" customHeight="false" outlineLevel="0" collapsed="false">
      <c r="A263" s="33"/>
      <c r="B263" s="34"/>
      <c r="C263" s="34"/>
      <c r="D263" s="34"/>
      <c r="E263" s="34"/>
      <c r="F263" s="34"/>
      <c r="G263" s="7"/>
      <c r="H263" s="35"/>
      <c r="I263" s="35"/>
      <c r="J263" s="7"/>
      <c r="K263" s="35"/>
      <c r="L263" s="7"/>
      <c r="M263" s="21" t="str">
        <f aca="false">IF(C263="","",IFERROR(I263/H263,0))</f>
        <v/>
      </c>
      <c r="N263" s="9" t="str">
        <f aca="false">IF(C263="","",IFERROR(J263/I263,0))</f>
        <v/>
      </c>
      <c r="O263" s="21" t="str">
        <f aca="false">IF(C263="","",IFERROR(J263/L263,0))</f>
        <v/>
      </c>
      <c r="P263" s="22" t="str">
        <f aca="false">IF(C263="","",IFERROR(L263/J263,0))</f>
        <v/>
      </c>
      <c r="Q263" s="34"/>
      <c r="R263" s="4" t="str">
        <f aca="false">IF(C263="","",B263&amp;" | "&amp;C263&amp;" | "&amp;D263)</f>
        <v/>
      </c>
      <c r="S263" s="4" t="str">
        <f aca="false">IF(C263="","",R263&amp;"#"&amp;A263)</f>
        <v/>
      </c>
    </row>
    <row r="264" customFormat="false" ht="15" hidden="false" customHeight="false" outlineLevel="0" collapsed="false">
      <c r="A264" s="33"/>
      <c r="B264" s="34"/>
      <c r="C264" s="34"/>
      <c r="D264" s="34"/>
      <c r="E264" s="34"/>
      <c r="F264" s="34"/>
      <c r="G264" s="7"/>
      <c r="H264" s="35"/>
      <c r="I264" s="35"/>
      <c r="J264" s="7"/>
      <c r="K264" s="35"/>
      <c r="L264" s="7"/>
      <c r="M264" s="21" t="str">
        <f aca="false">IF(C264="","",IFERROR(I264/H264,0))</f>
        <v/>
      </c>
      <c r="N264" s="9" t="str">
        <f aca="false">IF(C264="","",IFERROR(J264/I264,0))</f>
        <v/>
      </c>
      <c r="O264" s="21" t="str">
        <f aca="false">IF(C264="","",IFERROR(J264/L264,0))</f>
        <v/>
      </c>
      <c r="P264" s="22" t="str">
        <f aca="false">IF(C264="","",IFERROR(L264/J264,0))</f>
        <v/>
      </c>
      <c r="Q264" s="34"/>
      <c r="R264" s="4" t="str">
        <f aca="false">IF(C264="","",B264&amp;" | "&amp;C264&amp;" | "&amp;D264)</f>
        <v/>
      </c>
      <c r="S264" s="4" t="str">
        <f aca="false">IF(C264="","",R264&amp;"#"&amp;A264)</f>
        <v/>
      </c>
    </row>
    <row r="265" customFormat="false" ht="15" hidden="false" customHeight="false" outlineLevel="0" collapsed="false">
      <c r="A265" s="33"/>
      <c r="B265" s="34"/>
      <c r="C265" s="34"/>
      <c r="D265" s="34"/>
      <c r="E265" s="34"/>
      <c r="F265" s="34"/>
      <c r="G265" s="7"/>
      <c r="H265" s="35"/>
      <c r="I265" s="35"/>
      <c r="J265" s="7"/>
      <c r="K265" s="35"/>
      <c r="L265" s="7"/>
      <c r="M265" s="21" t="str">
        <f aca="false">IF(C265="","",IFERROR(I265/H265,0))</f>
        <v/>
      </c>
      <c r="N265" s="9" t="str">
        <f aca="false">IF(C265="","",IFERROR(J265/I265,0))</f>
        <v/>
      </c>
      <c r="O265" s="21" t="str">
        <f aca="false">IF(C265="","",IFERROR(J265/L265,0))</f>
        <v/>
      </c>
      <c r="P265" s="22" t="str">
        <f aca="false">IF(C265="","",IFERROR(L265/J265,0))</f>
        <v/>
      </c>
      <c r="Q265" s="34"/>
      <c r="R265" s="4" t="str">
        <f aca="false">IF(C265="","",B265&amp;" | "&amp;C265&amp;" | "&amp;D265)</f>
        <v/>
      </c>
      <c r="S265" s="4" t="str">
        <f aca="false">IF(C265="","",R265&amp;"#"&amp;A265)</f>
        <v/>
      </c>
    </row>
    <row r="266" customFormat="false" ht="15" hidden="false" customHeight="false" outlineLevel="0" collapsed="false">
      <c r="A266" s="33"/>
      <c r="B266" s="34"/>
      <c r="C266" s="34"/>
      <c r="D266" s="34"/>
      <c r="E266" s="34"/>
      <c r="F266" s="34"/>
      <c r="G266" s="7"/>
      <c r="H266" s="35"/>
      <c r="I266" s="35"/>
      <c r="J266" s="7"/>
      <c r="K266" s="35"/>
      <c r="L266" s="7"/>
      <c r="M266" s="21" t="str">
        <f aca="false">IF(C266="","",IFERROR(I266/H266,0))</f>
        <v/>
      </c>
      <c r="N266" s="9" t="str">
        <f aca="false">IF(C266="","",IFERROR(J266/I266,0))</f>
        <v/>
      </c>
      <c r="O266" s="21" t="str">
        <f aca="false">IF(C266="","",IFERROR(J266/L266,0))</f>
        <v/>
      </c>
      <c r="P266" s="22" t="str">
        <f aca="false">IF(C266="","",IFERROR(L266/J266,0))</f>
        <v/>
      </c>
      <c r="Q266" s="34"/>
      <c r="R266" s="4" t="str">
        <f aca="false">IF(C266="","",B266&amp;" | "&amp;C266&amp;" | "&amp;D266)</f>
        <v/>
      </c>
      <c r="S266" s="4" t="str">
        <f aca="false">IF(C266="","",R266&amp;"#"&amp;A266)</f>
        <v/>
      </c>
    </row>
    <row r="267" customFormat="false" ht="15" hidden="false" customHeight="false" outlineLevel="0" collapsed="false">
      <c r="A267" s="33"/>
      <c r="B267" s="34"/>
      <c r="C267" s="34"/>
      <c r="D267" s="34"/>
      <c r="E267" s="34"/>
      <c r="F267" s="34"/>
      <c r="G267" s="7"/>
      <c r="H267" s="35"/>
      <c r="I267" s="35"/>
      <c r="J267" s="7"/>
      <c r="K267" s="35"/>
      <c r="L267" s="7"/>
      <c r="M267" s="21" t="str">
        <f aca="false">IF(C267="","",IFERROR(I267/H267,0))</f>
        <v/>
      </c>
      <c r="N267" s="9" t="str">
        <f aca="false">IF(C267="","",IFERROR(J267/I267,0))</f>
        <v/>
      </c>
      <c r="O267" s="21" t="str">
        <f aca="false">IF(C267="","",IFERROR(J267/L267,0))</f>
        <v/>
      </c>
      <c r="P267" s="22" t="str">
        <f aca="false">IF(C267="","",IFERROR(L267/J267,0))</f>
        <v/>
      </c>
      <c r="Q267" s="34"/>
      <c r="R267" s="4" t="str">
        <f aca="false">IF(C267="","",B267&amp;" | "&amp;C267&amp;" | "&amp;D267)</f>
        <v/>
      </c>
      <c r="S267" s="4" t="str">
        <f aca="false">IF(C267="","",R267&amp;"#"&amp;A267)</f>
        <v/>
      </c>
    </row>
    <row r="268" customFormat="false" ht="15" hidden="false" customHeight="false" outlineLevel="0" collapsed="false">
      <c r="A268" s="33"/>
      <c r="B268" s="34"/>
      <c r="C268" s="34"/>
      <c r="D268" s="34"/>
      <c r="E268" s="34"/>
      <c r="F268" s="34"/>
      <c r="G268" s="7"/>
      <c r="H268" s="35"/>
      <c r="I268" s="35"/>
      <c r="J268" s="7"/>
      <c r="K268" s="35"/>
      <c r="L268" s="7"/>
      <c r="M268" s="21" t="str">
        <f aca="false">IF(C268="","",IFERROR(I268/H268,0))</f>
        <v/>
      </c>
      <c r="N268" s="9" t="str">
        <f aca="false">IF(C268="","",IFERROR(J268/I268,0))</f>
        <v/>
      </c>
      <c r="O268" s="21" t="str">
        <f aca="false">IF(C268="","",IFERROR(J268/L268,0))</f>
        <v/>
      </c>
      <c r="P268" s="22" t="str">
        <f aca="false">IF(C268="","",IFERROR(L268/J268,0))</f>
        <v/>
      </c>
      <c r="Q268" s="34"/>
      <c r="R268" s="4" t="str">
        <f aca="false">IF(C268="","",B268&amp;" | "&amp;C268&amp;" | "&amp;D268)</f>
        <v/>
      </c>
      <c r="S268" s="4" t="str">
        <f aca="false">IF(C268="","",R268&amp;"#"&amp;A268)</f>
        <v/>
      </c>
    </row>
    <row r="269" customFormat="false" ht="15" hidden="false" customHeight="false" outlineLevel="0" collapsed="false">
      <c r="A269" s="33"/>
      <c r="B269" s="34"/>
      <c r="C269" s="34"/>
      <c r="D269" s="34"/>
      <c r="E269" s="34"/>
      <c r="F269" s="34"/>
      <c r="G269" s="7"/>
      <c r="H269" s="35"/>
      <c r="I269" s="35"/>
      <c r="J269" s="7"/>
      <c r="K269" s="35"/>
      <c r="L269" s="7"/>
      <c r="M269" s="21" t="str">
        <f aca="false">IF(C269="","",IFERROR(I269/H269,0))</f>
        <v/>
      </c>
      <c r="N269" s="9" t="str">
        <f aca="false">IF(C269="","",IFERROR(J269/I269,0))</f>
        <v/>
      </c>
      <c r="O269" s="21" t="str">
        <f aca="false">IF(C269="","",IFERROR(J269/L269,0))</f>
        <v/>
      </c>
      <c r="P269" s="22" t="str">
        <f aca="false">IF(C269="","",IFERROR(L269/J269,0))</f>
        <v/>
      </c>
      <c r="Q269" s="34"/>
      <c r="R269" s="4" t="str">
        <f aca="false">IF(C269="","",B269&amp;" | "&amp;C269&amp;" | "&amp;D269)</f>
        <v/>
      </c>
      <c r="S269" s="4" t="str">
        <f aca="false">IF(C269="","",R269&amp;"#"&amp;A269)</f>
        <v/>
      </c>
    </row>
    <row r="270" customFormat="false" ht="15" hidden="false" customHeight="false" outlineLevel="0" collapsed="false">
      <c r="A270" s="33"/>
      <c r="B270" s="34"/>
      <c r="C270" s="34"/>
      <c r="D270" s="34"/>
      <c r="E270" s="34"/>
      <c r="F270" s="34"/>
      <c r="G270" s="7"/>
      <c r="H270" s="35"/>
      <c r="I270" s="35"/>
      <c r="J270" s="7"/>
      <c r="K270" s="35"/>
      <c r="L270" s="7"/>
      <c r="M270" s="21" t="str">
        <f aca="false">IF(C270="","",IFERROR(I270/H270,0))</f>
        <v/>
      </c>
      <c r="N270" s="9" t="str">
        <f aca="false">IF(C270="","",IFERROR(J270/I270,0))</f>
        <v/>
      </c>
      <c r="O270" s="21" t="str">
        <f aca="false">IF(C270="","",IFERROR(J270/L270,0))</f>
        <v/>
      </c>
      <c r="P270" s="22" t="str">
        <f aca="false">IF(C270="","",IFERROR(L270/J270,0))</f>
        <v/>
      </c>
      <c r="Q270" s="34"/>
      <c r="R270" s="4" t="str">
        <f aca="false">IF(C270="","",B270&amp;" | "&amp;C270&amp;" | "&amp;D270)</f>
        <v/>
      </c>
      <c r="S270" s="4" t="str">
        <f aca="false">IF(C270="","",R270&amp;"#"&amp;A270)</f>
        <v/>
      </c>
    </row>
    <row r="271" customFormat="false" ht="15" hidden="false" customHeight="false" outlineLevel="0" collapsed="false">
      <c r="A271" s="33"/>
      <c r="B271" s="34"/>
      <c r="C271" s="34"/>
      <c r="D271" s="34"/>
      <c r="E271" s="34"/>
      <c r="F271" s="34"/>
      <c r="G271" s="7"/>
      <c r="H271" s="35"/>
      <c r="I271" s="35"/>
      <c r="J271" s="7"/>
      <c r="K271" s="35"/>
      <c r="L271" s="7"/>
      <c r="M271" s="21" t="str">
        <f aca="false">IF(C271="","",IFERROR(I271/H271,0))</f>
        <v/>
      </c>
      <c r="N271" s="9" t="str">
        <f aca="false">IF(C271="","",IFERROR(J271/I271,0))</f>
        <v/>
      </c>
      <c r="O271" s="21" t="str">
        <f aca="false">IF(C271="","",IFERROR(J271/L271,0))</f>
        <v/>
      </c>
      <c r="P271" s="22" t="str">
        <f aca="false">IF(C271="","",IFERROR(L271/J271,0))</f>
        <v/>
      </c>
      <c r="Q271" s="34"/>
      <c r="R271" s="4" t="str">
        <f aca="false">IF(C271="","",B271&amp;" | "&amp;C271&amp;" | "&amp;D271)</f>
        <v/>
      </c>
      <c r="S271" s="4" t="str">
        <f aca="false">IF(C271="","",R271&amp;"#"&amp;A271)</f>
        <v/>
      </c>
    </row>
    <row r="272" customFormat="false" ht="15" hidden="false" customHeight="false" outlineLevel="0" collapsed="false">
      <c r="A272" s="33"/>
      <c r="B272" s="34"/>
      <c r="C272" s="34"/>
      <c r="D272" s="34"/>
      <c r="E272" s="34"/>
      <c r="F272" s="34"/>
      <c r="G272" s="7"/>
      <c r="H272" s="35"/>
      <c r="I272" s="35"/>
      <c r="J272" s="7"/>
      <c r="K272" s="35"/>
      <c r="L272" s="7"/>
      <c r="M272" s="21" t="str">
        <f aca="false">IF(C272="","",IFERROR(I272/H272,0))</f>
        <v/>
      </c>
      <c r="N272" s="9" t="str">
        <f aca="false">IF(C272="","",IFERROR(J272/I272,0))</f>
        <v/>
      </c>
      <c r="O272" s="21" t="str">
        <f aca="false">IF(C272="","",IFERROR(J272/L272,0))</f>
        <v/>
      </c>
      <c r="P272" s="22" t="str">
        <f aca="false">IF(C272="","",IFERROR(L272/J272,0))</f>
        <v/>
      </c>
      <c r="Q272" s="34"/>
      <c r="R272" s="4" t="str">
        <f aca="false">IF(C272="","",B272&amp;" | "&amp;C272&amp;" | "&amp;D272)</f>
        <v/>
      </c>
      <c r="S272" s="4" t="str">
        <f aca="false">IF(C272="","",R272&amp;"#"&amp;A272)</f>
        <v/>
      </c>
    </row>
    <row r="273" customFormat="false" ht="15" hidden="false" customHeight="false" outlineLevel="0" collapsed="false">
      <c r="A273" s="33"/>
      <c r="B273" s="34"/>
      <c r="C273" s="34"/>
      <c r="D273" s="34"/>
      <c r="E273" s="34"/>
      <c r="F273" s="34"/>
      <c r="G273" s="7"/>
      <c r="H273" s="35"/>
      <c r="I273" s="35"/>
      <c r="J273" s="7"/>
      <c r="K273" s="35"/>
      <c r="L273" s="7"/>
      <c r="M273" s="21" t="str">
        <f aca="false">IF(C273="","",IFERROR(I273/H273,0))</f>
        <v/>
      </c>
      <c r="N273" s="9" t="str">
        <f aca="false">IF(C273="","",IFERROR(J273/I273,0))</f>
        <v/>
      </c>
      <c r="O273" s="21" t="str">
        <f aca="false">IF(C273="","",IFERROR(J273/L273,0))</f>
        <v/>
      </c>
      <c r="P273" s="22" t="str">
        <f aca="false">IF(C273="","",IFERROR(L273/J273,0))</f>
        <v/>
      </c>
      <c r="Q273" s="34"/>
      <c r="R273" s="4" t="str">
        <f aca="false">IF(C273="","",B273&amp;" | "&amp;C273&amp;" | "&amp;D273)</f>
        <v/>
      </c>
      <c r="S273" s="4" t="str">
        <f aca="false">IF(C273="","",R273&amp;"#"&amp;A273)</f>
        <v/>
      </c>
    </row>
    <row r="274" customFormat="false" ht="15" hidden="false" customHeight="false" outlineLevel="0" collapsed="false">
      <c r="A274" s="33"/>
      <c r="B274" s="34"/>
      <c r="C274" s="34"/>
      <c r="D274" s="34"/>
      <c r="E274" s="34"/>
      <c r="F274" s="34"/>
      <c r="G274" s="7"/>
      <c r="H274" s="35"/>
      <c r="I274" s="35"/>
      <c r="J274" s="7"/>
      <c r="K274" s="35"/>
      <c r="L274" s="7"/>
      <c r="M274" s="21" t="str">
        <f aca="false">IF(C274="","",IFERROR(I274/H274,0))</f>
        <v/>
      </c>
      <c r="N274" s="9" t="str">
        <f aca="false">IF(C274="","",IFERROR(J274/I274,0))</f>
        <v/>
      </c>
      <c r="O274" s="21" t="str">
        <f aca="false">IF(C274="","",IFERROR(J274/L274,0))</f>
        <v/>
      </c>
      <c r="P274" s="22" t="str">
        <f aca="false">IF(C274="","",IFERROR(L274/J274,0))</f>
        <v/>
      </c>
      <c r="Q274" s="34"/>
      <c r="R274" s="4" t="str">
        <f aca="false">IF(C274="","",B274&amp;" | "&amp;C274&amp;" | "&amp;D274)</f>
        <v/>
      </c>
      <c r="S274" s="4" t="str">
        <f aca="false">IF(C274="","",R274&amp;"#"&amp;A274)</f>
        <v/>
      </c>
    </row>
    <row r="275" customFormat="false" ht="15" hidden="false" customHeight="false" outlineLevel="0" collapsed="false">
      <c r="A275" s="33"/>
      <c r="B275" s="34"/>
      <c r="C275" s="34"/>
      <c r="D275" s="34"/>
      <c r="E275" s="34"/>
      <c r="F275" s="34"/>
      <c r="G275" s="7"/>
      <c r="H275" s="35"/>
      <c r="I275" s="35"/>
      <c r="J275" s="7"/>
      <c r="K275" s="35"/>
      <c r="L275" s="7"/>
      <c r="M275" s="21" t="str">
        <f aca="false">IF(C275="","",IFERROR(I275/H275,0))</f>
        <v/>
      </c>
      <c r="N275" s="9" t="str">
        <f aca="false">IF(C275="","",IFERROR(J275/I275,0))</f>
        <v/>
      </c>
      <c r="O275" s="21" t="str">
        <f aca="false">IF(C275="","",IFERROR(J275/L275,0))</f>
        <v/>
      </c>
      <c r="P275" s="22" t="str">
        <f aca="false">IF(C275="","",IFERROR(L275/J275,0))</f>
        <v/>
      </c>
      <c r="Q275" s="34"/>
      <c r="R275" s="4" t="str">
        <f aca="false">IF(C275="","",B275&amp;" | "&amp;C275&amp;" | "&amp;D275)</f>
        <v/>
      </c>
      <c r="S275" s="4" t="str">
        <f aca="false">IF(C275="","",R275&amp;"#"&amp;A275)</f>
        <v/>
      </c>
    </row>
    <row r="276" customFormat="false" ht="15" hidden="false" customHeight="false" outlineLevel="0" collapsed="false">
      <c r="A276" s="33"/>
      <c r="B276" s="34"/>
      <c r="C276" s="34"/>
      <c r="D276" s="34"/>
      <c r="E276" s="34"/>
      <c r="F276" s="34"/>
      <c r="G276" s="7"/>
      <c r="H276" s="35"/>
      <c r="I276" s="35"/>
      <c r="J276" s="7"/>
      <c r="K276" s="35"/>
      <c r="L276" s="7"/>
      <c r="M276" s="21" t="str">
        <f aca="false">IF(C276="","",IFERROR(I276/H276,0))</f>
        <v/>
      </c>
      <c r="N276" s="9" t="str">
        <f aca="false">IF(C276="","",IFERROR(J276/I276,0))</f>
        <v/>
      </c>
      <c r="O276" s="21" t="str">
        <f aca="false">IF(C276="","",IFERROR(J276/L276,0))</f>
        <v/>
      </c>
      <c r="P276" s="22" t="str">
        <f aca="false">IF(C276="","",IFERROR(L276/J276,0))</f>
        <v/>
      </c>
      <c r="Q276" s="34"/>
      <c r="R276" s="4" t="str">
        <f aca="false">IF(C276="","",B276&amp;" | "&amp;C276&amp;" | "&amp;D276)</f>
        <v/>
      </c>
      <c r="S276" s="4" t="str">
        <f aca="false">IF(C276="","",R276&amp;"#"&amp;A276)</f>
        <v/>
      </c>
    </row>
    <row r="277" customFormat="false" ht="15" hidden="false" customHeight="false" outlineLevel="0" collapsed="false">
      <c r="A277" s="33"/>
      <c r="B277" s="34"/>
      <c r="C277" s="34"/>
      <c r="D277" s="34"/>
      <c r="E277" s="34"/>
      <c r="F277" s="34"/>
      <c r="G277" s="7"/>
      <c r="H277" s="35"/>
      <c r="I277" s="35"/>
      <c r="J277" s="7"/>
      <c r="K277" s="35"/>
      <c r="L277" s="7"/>
      <c r="M277" s="21" t="str">
        <f aca="false">IF(C277="","",IFERROR(I277/H277,0))</f>
        <v/>
      </c>
      <c r="N277" s="9" t="str">
        <f aca="false">IF(C277="","",IFERROR(J277/I277,0))</f>
        <v/>
      </c>
      <c r="O277" s="21" t="str">
        <f aca="false">IF(C277="","",IFERROR(J277/L277,0))</f>
        <v/>
      </c>
      <c r="P277" s="22" t="str">
        <f aca="false">IF(C277="","",IFERROR(L277/J277,0))</f>
        <v/>
      </c>
      <c r="Q277" s="34"/>
      <c r="R277" s="4" t="str">
        <f aca="false">IF(C277="","",B277&amp;" | "&amp;C277&amp;" | "&amp;D277)</f>
        <v/>
      </c>
      <c r="S277" s="4" t="str">
        <f aca="false">IF(C277="","",R277&amp;"#"&amp;A277)</f>
        <v/>
      </c>
    </row>
    <row r="278" customFormat="false" ht="15" hidden="false" customHeight="false" outlineLevel="0" collapsed="false">
      <c r="A278" s="33"/>
      <c r="B278" s="34"/>
      <c r="C278" s="34"/>
      <c r="D278" s="34"/>
      <c r="E278" s="34"/>
      <c r="F278" s="34"/>
      <c r="G278" s="7"/>
      <c r="H278" s="35"/>
      <c r="I278" s="35"/>
      <c r="J278" s="7"/>
      <c r="K278" s="35"/>
      <c r="L278" s="7"/>
      <c r="M278" s="21" t="str">
        <f aca="false">IF(C278="","",IFERROR(I278/H278,0))</f>
        <v/>
      </c>
      <c r="N278" s="9" t="str">
        <f aca="false">IF(C278="","",IFERROR(J278/I278,0))</f>
        <v/>
      </c>
      <c r="O278" s="21" t="str">
        <f aca="false">IF(C278="","",IFERROR(J278/L278,0))</f>
        <v/>
      </c>
      <c r="P278" s="22" t="str">
        <f aca="false">IF(C278="","",IFERROR(L278/J278,0))</f>
        <v/>
      </c>
      <c r="Q278" s="34"/>
      <c r="R278" s="4" t="str">
        <f aca="false">IF(C278="","",B278&amp;" | "&amp;C278&amp;" | "&amp;D278)</f>
        <v/>
      </c>
      <c r="S278" s="4" t="str">
        <f aca="false">IF(C278="","",R278&amp;"#"&amp;A278)</f>
        <v/>
      </c>
    </row>
    <row r="279" customFormat="false" ht="15" hidden="false" customHeight="false" outlineLevel="0" collapsed="false">
      <c r="A279" s="33"/>
      <c r="B279" s="34"/>
      <c r="C279" s="34"/>
      <c r="D279" s="34"/>
      <c r="E279" s="34"/>
      <c r="F279" s="34"/>
      <c r="G279" s="7"/>
      <c r="H279" s="35"/>
      <c r="I279" s="35"/>
      <c r="J279" s="7"/>
      <c r="K279" s="35"/>
      <c r="L279" s="7"/>
      <c r="M279" s="21" t="str">
        <f aca="false">IF(C279="","",IFERROR(I279/H279,0))</f>
        <v/>
      </c>
      <c r="N279" s="9" t="str">
        <f aca="false">IF(C279="","",IFERROR(J279/I279,0))</f>
        <v/>
      </c>
      <c r="O279" s="21" t="str">
        <f aca="false">IF(C279="","",IFERROR(J279/L279,0))</f>
        <v/>
      </c>
      <c r="P279" s="22" t="str">
        <f aca="false">IF(C279="","",IFERROR(L279/J279,0))</f>
        <v/>
      </c>
      <c r="Q279" s="34"/>
      <c r="R279" s="4" t="str">
        <f aca="false">IF(C279="","",B279&amp;" | "&amp;C279&amp;" | "&amp;D279)</f>
        <v/>
      </c>
      <c r="S279" s="4" t="str">
        <f aca="false">IF(C279="","",R279&amp;"#"&amp;A279)</f>
        <v/>
      </c>
    </row>
    <row r="280" customFormat="false" ht="15" hidden="false" customHeight="false" outlineLevel="0" collapsed="false">
      <c r="A280" s="33"/>
      <c r="B280" s="34"/>
      <c r="C280" s="34"/>
      <c r="D280" s="34"/>
      <c r="E280" s="34"/>
      <c r="F280" s="34"/>
      <c r="G280" s="7"/>
      <c r="H280" s="35"/>
      <c r="I280" s="35"/>
      <c r="J280" s="7"/>
      <c r="K280" s="35"/>
      <c r="L280" s="7"/>
      <c r="M280" s="21" t="str">
        <f aca="false">IF(C280="","",IFERROR(I280/H280,0))</f>
        <v/>
      </c>
      <c r="N280" s="9" t="str">
        <f aca="false">IF(C280="","",IFERROR(J280/I280,0))</f>
        <v/>
      </c>
      <c r="O280" s="21" t="str">
        <f aca="false">IF(C280="","",IFERROR(J280/L280,0))</f>
        <v/>
      </c>
      <c r="P280" s="22" t="str">
        <f aca="false">IF(C280="","",IFERROR(L280/J280,0))</f>
        <v/>
      </c>
      <c r="Q280" s="34"/>
      <c r="R280" s="4" t="str">
        <f aca="false">IF(C280="","",B280&amp;" | "&amp;C280&amp;" | "&amp;D280)</f>
        <v/>
      </c>
      <c r="S280" s="4" t="str">
        <f aca="false">IF(C280="","",R280&amp;"#"&amp;A280)</f>
        <v/>
      </c>
    </row>
    <row r="281" customFormat="false" ht="15" hidden="false" customHeight="false" outlineLevel="0" collapsed="false">
      <c r="A281" s="33"/>
      <c r="B281" s="34"/>
      <c r="C281" s="34"/>
      <c r="D281" s="34"/>
      <c r="E281" s="34"/>
      <c r="F281" s="34"/>
      <c r="G281" s="7"/>
      <c r="H281" s="35"/>
      <c r="I281" s="35"/>
      <c r="J281" s="7"/>
      <c r="K281" s="35"/>
      <c r="L281" s="7"/>
      <c r="M281" s="21" t="str">
        <f aca="false">IF(C281="","",IFERROR(I281/H281,0))</f>
        <v/>
      </c>
      <c r="N281" s="9" t="str">
        <f aca="false">IF(C281="","",IFERROR(J281/I281,0))</f>
        <v/>
      </c>
      <c r="O281" s="21" t="str">
        <f aca="false">IF(C281="","",IFERROR(J281/L281,0))</f>
        <v/>
      </c>
      <c r="P281" s="22" t="str">
        <f aca="false">IF(C281="","",IFERROR(L281/J281,0))</f>
        <v/>
      </c>
      <c r="Q281" s="34"/>
      <c r="R281" s="4" t="str">
        <f aca="false">IF(C281="","",B281&amp;" | "&amp;C281&amp;" | "&amp;D281)</f>
        <v/>
      </c>
      <c r="S281" s="4" t="str">
        <f aca="false">IF(C281="","",R281&amp;"#"&amp;A281)</f>
        <v/>
      </c>
    </row>
    <row r="282" customFormat="false" ht="15" hidden="false" customHeight="false" outlineLevel="0" collapsed="false">
      <c r="A282" s="33"/>
      <c r="B282" s="34"/>
      <c r="C282" s="34"/>
      <c r="D282" s="34"/>
      <c r="E282" s="34"/>
      <c r="F282" s="34"/>
      <c r="G282" s="7"/>
      <c r="H282" s="35"/>
      <c r="I282" s="35"/>
      <c r="J282" s="7"/>
      <c r="K282" s="35"/>
      <c r="L282" s="7"/>
      <c r="M282" s="21" t="str">
        <f aca="false">IF(C282="","",IFERROR(I282/H282,0))</f>
        <v/>
      </c>
      <c r="N282" s="9" t="str">
        <f aca="false">IF(C282="","",IFERROR(J282/I282,0))</f>
        <v/>
      </c>
      <c r="O282" s="21" t="str">
        <f aca="false">IF(C282="","",IFERROR(J282/L282,0))</f>
        <v/>
      </c>
      <c r="P282" s="22" t="str">
        <f aca="false">IF(C282="","",IFERROR(L282/J282,0))</f>
        <v/>
      </c>
      <c r="Q282" s="34"/>
      <c r="R282" s="4" t="str">
        <f aca="false">IF(C282="","",B282&amp;" | "&amp;C282&amp;" | "&amp;D282)</f>
        <v/>
      </c>
      <c r="S282" s="4" t="str">
        <f aca="false">IF(C282="","",R282&amp;"#"&amp;A282)</f>
        <v/>
      </c>
    </row>
    <row r="283" customFormat="false" ht="15" hidden="false" customHeight="false" outlineLevel="0" collapsed="false">
      <c r="A283" s="33"/>
      <c r="B283" s="34"/>
      <c r="C283" s="34"/>
      <c r="D283" s="34"/>
      <c r="E283" s="34"/>
      <c r="F283" s="34"/>
      <c r="G283" s="7"/>
      <c r="H283" s="35"/>
      <c r="I283" s="35"/>
      <c r="J283" s="7"/>
      <c r="K283" s="35"/>
      <c r="L283" s="7"/>
      <c r="M283" s="21" t="str">
        <f aca="false">IF(C283="","",IFERROR(I283/H283,0))</f>
        <v/>
      </c>
      <c r="N283" s="9" t="str">
        <f aca="false">IF(C283="","",IFERROR(J283/I283,0))</f>
        <v/>
      </c>
      <c r="O283" s="21" t="str">
        <f aca="false">IF(C283="","",IFERROR(J283/L283,0))</f>
        <v/>
      </c>
      <c r="P283" s="22" t="str">
        <f aca="false">IF(C283="","",IFERROR(L283/J283,0))</f>
        <v/>
      </c>
      <c r="Q283" s="34"/>
      <c r="R283" s="4" t="str">
        <f aca="false">IF(C283="","",B283&amp;" | "&amp;C283&amp;" | "&amp;D283)</f>
        <v/>
      </c>
      <c r="S283" s="4" t="str">
        <f aca="false">IF(C283="","",R283&amp;"#"&amp;A283)</f>
        <v/>
      </c>
    </row>
    <row r="284" customFormat="false" ht="15" hidden="false" customHeight="false" outlineLevel="0" collapsed="false">
      <c r="A284" s="33"/>
      <c r="B284" s="34"/>
      <c r="C284" s="34"/>
      <c r="D284" s="34"/>
      <c r="E284" s="34"/>
      <c r="F284" s="34"/>
      <c r="G284" s="7"/>
      <c r="H284" s="35"/>
      <c r="I284" s="35"/>
      <c r="J284" s="7"/>
      <c r="K284" s="35"/>
      <c r="L284" s="7"/>
      <c r="M284" s="21" t="str">
        <f aca="false">IF(C284="","",IFERROR(I284/H284,0))</f>
        <v/>
      </c>
      <c r="N284" s="9" t="str">
        <f aca="false">IF(C284="","",IFERROR(J284/I284,0))</f>
        <v/>
      </c>
      <c r="O284" s="21" t="str">
        <f aca="false">IF(C284="","",IFERROR(J284/L284,0))</f>
        <v/>
      </c>
      <c r="P284" s="22" t="str">
        <f aca="false">IF(C284="","",IFERROR(L284/J284,0))</f>
        <v/>
      </c>
      <c r="Q284" s="34"/>
      <c r="R284" s="4" t="str">
        <f aca="false">IF(C284="","",B284&amp;" | "&amp;C284&amp;" | "&amp;D284)</f>
        <v/>
      </c>
      <c r="S284" s="4" t="str">
        <f aca="false">IF(C284="","",R284&amp;"#"&amp;A284)</f>
        <v/>
      </c>
    </row>
    <row r="285" customFormat="false" ht="15" hidden="false" customHeight="false" outlineLevel="0" collapsed="false">
      <c r="A285" s="33"/>
      <c r="B285" s="34"/>
      <c r="C285" s="34"/>
      <c r="D285" s="34"/>
      <c r="E285" s="34"/>
      <c r="F285" s="34"/>
      <c r="G285" s="7"/>
      <c r="H285" s="35"/>
      <c r="I285" s="35"/>
      <c r="J285" s="7"/>
      <c r="K285" s="35"/>
      <c r="L285" s="7"/>
      <c r="M285" s="21" t="str">
        <f aca="false">IF(C285="","",IFERROR(I285/H285,0))</f>
        <v/>
      </c>
      <c r="N285" s="9" t="str">
        <f aca="false">IF(C285="","",IFERROR(J285/I285,0))</f>
        <v/>
      </c>
      <c r="O285" s="21" t="str">
        <f aca="false">IF(C285="","",IFERROR(J285/L285,0))</f>
        <v/>
      </c>
      <c r="P285" s="22" t="str">
        <f aca="false">IF(C285="","",IFERROR(L285/J285,0))</f>
        <v/>
      </c>
      <c r="Q285" s="34"/>
      <c r="R285" s="4" t="str">
        <f aca="false">IF(C285="","",B285&amp;" | "&amp;C285&amp;" | "&amp;D285)</f>
        <v/>
      </c>
      <c r="S285" s="4" t="str">
        <f aca="false">IF(C285="","",R285&amp;"#"&amp;A285)</f>
        <v/>
      </c>
    </row>
    <row r="286" customFormat="false" ht="15" hidden="false" customHeight="false" outlineLevel="0" collapsed="false">
      <c r="A286" s="33"/>
      <c r="B286" s="34"/>
      <c r="C286" s="34"/>
      <c r="D286" s="34"/>
      <c r="E286" s="34"/>
      <c r="F286" s="34"/>
      <c r="G286" s="7"/>
      <c r="H286" s="35"/>
      <c r="I286" s="35"/>
      <c r="J286" s="7"/>
      <c r="K286" s="35"/>
      <c r="L286" s="7"/>
      <c r="M286" s="21" t="str">
        <f aca="false">IF(C286="","",IFERROR(I286/H286,0))</f>
        <v/>
      </c>
      <c r="N286" s="9" t="str">
        <f aca="false">IF(C286="","",IFERROR(J286/I286,0))</f>
        <v/>
      </c>
      <c r="O286" s="21" t="str">
        <f aca="false">IF(C286="","",IFERROR(J286/L286,0))</f>
        <v/>
      </c>
      <c r="P286" s="22" t="str">
        <f aca="false">IF(C286="","",IFERROR(L286/J286,0))</f>
        <v/>
      </c>
      <c r="Q286" s="34"/>
      <c r="R286" s="4" t="str">
        <f aca="false">IF(C286="","",B286&amp;" | "&amp;C286&amp;" | "&amp;D286)</f>
        <v/>
      </c>
      <c r="S286" s="4" t="str">
        <f aca="false">IF(C286="","",R286&amp;"#"&amp;A286)</f>
        <v/>
      </c>
    </row>
    <row r="287" customFormat="false" ht="15" hidden="false" customHeight="false" outlineLevel="0" collapsed="false">
      <c r="A287" s="33"/>
      <c r="B287" s="34"/>
      <c r="C287" s="34"/>
      <c r="D287" s="34"/>
      <c r="E287" s="34"/>
      <c r="F287" s="34"/>
      <c r="G287" s="7"/>
      <c r="H287" s="35"/>
      <c r="I287" s="35"/>
      <c r="J287" s="7"/>
      <c r="K287" s="35"/>
      <c r="L287" s="7"/>
      <c r="M287" s="21" t="str">
        <f aca="false">IF(C287="","",IFERROR(I287/H287,0))</f>
        <v/>
      </c>
      <c r="N287" s="9" t="str">
        <f aca="false">IF(C287="","",IFERROR(J287/I287,0))</f>
        <v/>
      </c>
      <c r="O287" s="21" t="str">
        <f aca="false">IF(C287="","",IFERROR(J287/L287,0))</f>
        <v/>
      </c>
      <c r="P287" s="22" t="str">
        <f aca="false">IF(C287="","",IFERROR(L287/J287,0))</f>
        <v/>
      </c>
      <c r="Q287" s="34"/>
      <c r="R287" s="4" t="str">
        <f aca="false">IF(C287="","",B287&amp;" | "&amp;C287&amp;" | "&amp;D287)</f>
        <v/>
      </c>
      <c r="S287" s="4" t="str">
        <f aca="false">IF(C287="","",R287&amp;"#"&amp;A287)</f>
        <v/>
      </c>
    </row>
    <row r="288" customFormat="false" ht="15" hidden="false" customHeight="false" outlineLevel="0" collapsed="false">
      <c r="A288" s="33"/>
      <c r="B288" s="34"/>
      <c r="C288" s="34"/>
      <c r="D288" s="34"/>
      <c r="E288" s="34"/>
      <c r="F288" s="34"/>
      <c r="G288" s="7"/>
      <c r="H288" s="35"/>
      <c r="I288" s="35"/>
      <c r="J288" s="7"/>
      <c r="K288" s="35"/>
      <c r="L288" s="7"/>
      <c r="M288" s="21" t="str">
        <f aca="false">IF(C288="","",IFERROR(I288/H288,0))</f>
        <v/>
      </c>
      <c r="N288" s="9" t="str">
        <f aca="false">IF(C288="","",IFERROR(J288/I288,0))</f>
        <v/>
      </c>
      <c r="O288" s="21" t="str">
        <f aca="false">IF(C288="","",IFERROR(J288/L288,0))</f>
        <v/>
      </c>
      <c r="P288" s="22" t="str">
        <f aca="false">IF(C288="","",IFERROR(L288/J288,0))</f>
        <v/>
      </c>
      <c r="Q288" s="34"/>
      <c r="R288" s="4" t="str">
        <f aca="false">IF(C288="","",B288&amp;" | "&amp;C288&amp;" | "&amp;D288)</f>
        <v/>
      </c>
      <c r="S288" s="4" t="str">
        <f aca="false">IF(C288="","",R288&amp;"#"&amp;A288)</f>
        <v/>
      </c>
    </row>
    <row r="289" customFormat="false" ht="15" hidden="false" customHeight="false" outlineLevel="0" collapsed="false">
      <c r="A289" s="33"/>
      <c r="B289" s="34"/>
      <c r="C289" s="34"/>
      <c r="D289" s="34"/>
      <c r="E289" s="34"/>
      <c r="F289" s="34"/>
      <c r="G289" s="7"/>
      <c r="H289" s="35"/>
      <c r="I289" s="35"/>
      <c r="J289" s="7"/>
      <c r="K289" s="35"/>
      <c r="L289" s="7"/>
      <c r="M289" s="21" t="str">
        <f aca="false">IF(C289="","",IFERROR(I289/H289,0))</f>
        <v/>
      </c>
      <c r="N289" s="9" t="str">
        <f aca="false">IF(C289="","",IFERROR(J289/I289,0))</f>
        <v/>
      </c>
      <c r="O289" s="21" t="str">
        <f aca="false">IF(C289="","",IFERROR(J289/L289,0))</f>
        <v/>
      </c>
      <c r="P289" s="22" t="str">
        <f aca="false">IF(C289="","",IFERROR(L289/J289,0))</f>
        <v/>
      </c>
      <c r="Q289" s="34"/>
      <c r="R289" s="4" t="str">
        <f aca="false">IF(C289="","",B289&amp;" | "&amp;C289&amp;" | "&amp;D289)</f>
        <v/>
      </c>
      <c r="S289" s="4" t="str">
        <f aca="false">IF(C289="","",R289&amp;"#"&amp;A289)</f>
        <v/>
      </c>
    </row>
    <row r="290" customFormat="false" ht="15" hidden="false" customHeight="false" outlineLevel="0" collapsed="false">
      <c r="A290" s="33"/>
      <c r="B290" s="34"/>
      <c r="C290" s="34"/>
      <c r="D290" s="34"/>
      <c r="E290" s="34"/>
      <c r="F290" s="34"/>
      <c r="G290" s="7"/>
      <c r="H290" s="35"/>
      <c r="I290" s="35"/>
      <c r="J290" s="7"/>
      <c r="K290" s="35"/>
      <c r="L290" s="7"/>
      <c r="M290" s="21" t="str">
        <f aca="false">IF(C290="","",IFERROR(I290/H290,0))</f>
        <v/>
      </c>
      <c r="N290" s="9" t="str">
        <f aca="false">IF(C290="","",IFERROR(J290/I290,0))</f>
        <v/>
      </c>
      <c r="O290" s="21" t="str">
        <f aca="false">IF(C290="","",IFERROR(J290/L290,0))</f>
        <v/>
      </c>
      <c r="P290" s="22" t="str">
        <f aca="false">IF(C290="","",IFERROR(L290/J290,0))</f>
        <v/>
      </c>
      <c r="Q290" s="34"/>
      <c r="R290" s="4" t="str">
        <f aca="false">IF(C290="","",B290&amp;" | "&amp;C290&amp;" | "&amp;D290)</f>
        <v/>
      </c>
      <c r="S290" s="4" t="str">
        <f aca="false">IF(C290="","",R290&amp;"#"&amp;A290)</f>
        <v/>
      </c>
    </row>
    <row r="291" customFormat="false" ht="15" hidden="false" customHeight="false" outlineLevel="0" collapsed="false">
      <c r="A291" s="33"/>
      <c r="B291" s="34"/>
      <c r="C291" s="34"/>
      <c r="D291" s="34"/>
      <c r="E291" s="34"/>
      <c r="F291" s="34"/>
      <c r="G291" s="7"/>
      <c r="H291" s="35"/>
      <c r="I291" s="35"/>
      <c r="J291" s="7"/>
      <c r="K291" s="35"/>
      <c r="L291" s="7"/>
      <c r="M291" s="21" t="str">
        <f aca="false">IF(C291="","",IFERROR(I291/H291,0))</f>
        <v/>
      </c>
      <c r="N291" s="9" t="str">
        <f aca="false">IF(C291="","",IFERROR(J291/I291,0))</f>
        <v/>
      </c>
      <c r="O291" s="21" t="str">
        <f aca="false">IF(C291="","",IFERROR(J291/L291,0))</f>
        <v/>
      </c>
      <c r="P291" s="22" t="str">
        <f aca="false">IF(C291="","",IFERROR(L291/J291,0))</f>
        <v/>
      </c>
      <c r="Q291" s="34"/>
      <c r="R291" s="4" t="str">
        <f aca="false">IF(C291="","",B291&amp;" | "&amp;C291&amp;" | "&amp;D291)</f>
        <v/>
      </c>
      <c r="S291" s="4" t="str">
        <f aca="false">IF(C291="","",R291&amp;"#"&amp;A291)</f>
        <v/>
      </c>
    </row>
    <row r="292" customFormat="false" ht="15" hidden="false" customHeight="false" outlineLevel="0" collapsed="false">
      <c r="A292" s="33"/>
      <c r="B292" s="34"/>
      <c r="C292" s="34"/>
      <c r="D292" s="34"/>
      <c r="E292" s="34"/>
      <c r="F292" s="34"/>
      <c r="G292" s="7"/>
      <c r="H292" s="35"/>
      <c r="I292" s="35"/>
      <c r="J292" s="7"/>
      <c r="K292" s="35"/>
      <c r="L292" s="7"/>
      <c r="M292" s="21" t="str">
        <f aca="false">IF(C292="","",IFERROR(I292/H292,0))</f>
        <v/>
      </c>
      <c r="N292" s="9" t="str">
        <f aca="false">IF(C292="","",IFERROR(J292/I292,0))</f>
        <v/>
      </c>
      <c r="O292" s="21" t="str">
        <f aca="false">IF(C292="","",IFERROR(J292/L292,0))</f>
        <v/>
      </c>
      <c r="P292" s="22" t="str">
        <f aca="false">IF(C292="","",IFERROR(L292/J292,0))</f>
        <v/>
      </c>
      <c r="Q292" s="34"/>
      <c r="R292" s="4" t="str">
        <f aca="false">IF(C292="","",B292&amp;" | "&amp;C292&amp;" | "&amp;D292)</f>
        <v/>
      </c>
      <c r="S292" s="4" t="str">
        <f aca="false">IF(C292="","",R292&amp;"#"&amp;A292)</f>
        <v/>
      </c>
    </row>
    <row r="293" customFormat="false" ht="15" hidden="false" customHeight="false" outlineLevel="0" collapsed="false">
      <c r="A293" s="33"/>
      <c r="B293" s="34"/>
      <c r="C293" s="34"/>
      <c r="D293" s="34"/>
      <c r="E293" s="34"/>
      <c r="F293" s="34"/>
      <c r="G293" s="7"/>
      <c r="H293" s="35"/>
      <c r="I293" s="35"/>
      <c r="J293" s="7"/>
      <c r="K293" s="35"/>
      <c r="L293" s="7"/>
      <c r="M293" s="21" t="str">
        <f aca="false">IF(C293="","",IFERROR(I293/H293,0))</f>
        <v/>
      </c>
      <c r="N293" s="9" t="str">
        <f aca="false">IF(C293="","",IFERROR(J293/I293,0))</f>
        <v/>
      </c>
      <c r="O293" s="21" t="str">
        <f aca="false">IF(C293="","",IFERROR(J293/L293,0))</f>
        <v/>
      </c>
      <c r="P293" s="22" t="str">
        <f aca="false">IF(C293="","",IFERROR(L293/J293,0))</f>
        <v/>
      </c>
      <c r="Q293" s="34"/>
      <c r="R293" s="4" t="str">
        <f aca="false">IF(C293="","",B293&amp;" | "&amp;C293&amp;" | "&amp;D293)</f>
        <v/>
      </c>
      <c r="S293" s="4" t="str">
        <f aca="false">IF(C293="","",R293&amp;"#"&amp;A293)</f>
        <v/>
      </c>
    </row>
    <row r="294" customFormat="false" ht="15" hidden="false" customHeight="false" outlineLevel="0" collapsed="false">
      <c r="A294" s="33"/>
      <c r="B294" s="34"/>
      <c r="C294" s="34"/>
      <c r="D294" s="34"/>
      <c r="E294" s="34"/>
      <c r="F294" s="34"/>
      <c r="G294" s="7"/>
      <c r="H294" s="35"/>
      <c r="I294" s="35"/>
      <c r="J294" s="7"/>
      <c r="K294" s="35"/>
      <c r="L294" s="7"/>
      <c r="M294" s="21" t="str">
        <f aca="false">IF(C294="","",IFERROR(I294/H294,0))</f>
        <v/>
      </c>
      <c r="N294" s="9" t="str">
        <f aca="false">IF(C294="","",IFERROR(J294/I294,0))</f>
        <v/>
      </c>
      <c r="O294" s="21" t="str">
        <f aca="false">IF(C294="","",IFERROR(J294/L294,0))</f>
        <v/>
      </c>
      <c r="P294" s="22" t="str">
        <f aca="false">IF(C294="","",IFERROR(L294/J294,0))</f>
        <v/>
      </c>
      <c r="Q294" s="34"/>
      <c r="R294" s="4" t="str">
        <f aca="false">IF(C294="","",B294&amp;" | "&amp;C294&amp;" | "&amp;D294)</f>
        <v/>
      </c>
      <c r="S294" s="4" t="str">
        <f aca="false">IF(C294="","",R294&amp;"#"&amp;A294)</f>
        <v/>
      </c>
    </row>
    <row r="295" customFormat="false" ht="15" hidden="false" customHeight="false" outlineLevel="0" collapsed="false">
      <c r="A295" s="33"/>
      <c r="B295" s="34"/>
      <c r="C295" s="34"/>
      <c r="D295" s="34"/>
      <c r="E295" s="34"/>
      <c r="F295" s="34"/>
      <c r="G295" s="7"/>
      <c r="H295" s="35"/>
      <c r="I295" s="35"/>
      <c r="J295" s="7"/>
      <c r="K295" s="35"/>
      <c r="L295" s="7"/>
      <c r="M295" s="21" t="str">
        <f aca="false">IF(C295="","",IFERROR(I295/H295,0))</f>
        <v/>
      </c>
      <c r="N295" s="9" t="str">
        <f aca="false">IF(C295="","",IFERROR(J295/I295,0))</f>
        <v/>
      </c>
      <c r="O295" s="21" t="str">
        <f aca="false">IF(C295="","",IFERROR(J295/L295,0))</f>
        <v/>
      </c>
      <c r="P295" s="22" t="str">
        <f aca="false">IF(C295="","",IFERROR(L295/J295,0))</f>
        <v/>
      </c>
      <c r="Q295" s="34"/>
      <c r="R295" s="4" t="str">
        <f aca="false">IF(C295="","",B295&amp;" | "&amp;C295&amp;" | "&amp;D295)</f>
        <v/>
      </c>
      <c r="S295" s="4" t="str">
        <f aca="false">IF(C295="","",R295&amp;"#"&amp;A295)</f>
        <v/>
      </c>
    </row>
    <row r="296" customFormat="false" ht="15" hidden="false" customHeight="false" outlineLevel="0" collapsed="false">
      <c r="A296" s="33"/>
      <c r="B296" s="34"/>
      <c r="C296" s="34"/>
      <c r="D296" s="34"/>
      <c r="E296" s="34"/>
      <c r="F296" s="34"/>
      <c r="G296" s="7"/>
      <c r="H296" s="35"/>
      <c r="I296" s="35"/>
      <c r="J296" s="7"/>
      <c r="K296" s="35"/>
      <c r="L296" s="7"/>
      <c r="M296" s="21" t="str">
        <f aca="false">IF(C296="","",IFERROR(I296/H296,0))</f>
        <v/>
      </c>
      <c r="N296" s="9" t="str">
        <f aca="false">IF(C296="","",IFERROR(J296/I296,0))</f>
        <v/>
      </c>
      <c r="O296" s="21" t="str">
        <f aca="false">IF(C296="","",IFERROR(J296/L296,0))</f>
        <v/>
      </c>
      <c r="P296" s="22" t="str">
        <f aca="false">IF(C296="","",IFERROR(L296/J296,0))</f>
        <v/>
      </c>
      <c r="Q296" s="34"/>
      <c r="R296" s="4" t="str">
        <f aca="false">IF(C296="","",B296&amp;" | "&amp;C296&amp;" | "&amp;D296)</f>
        <v/>
      </c>
      <c r="S296" s="4" t="str">
        <f aca="false">IF(C296="","",R296&amp;"#"&amp;A296)</f>
        <v/>
      </c>
    </row>
    <row r="297" customFormat="false" ht="15" hidden="false" customHeight="false" outlineLevel="0" collapsed="false">
      <c r="A297" s="33"/>
      <c r="B297" s="34"/>
      <c r="C297" s="34"/>
      <c r="D297" s="34"/>
      <c r="E297" s="34"/>
      <c r="F297" s="34"/>
      <c r="G297" s="7"/>
      <c r="H297" s="35"/>
      <c r="I297" s="35"/>
      <c r="J297" s="7"/>
      <c r="K297" s="35"/>
      <c r="L297" s="7"/>
      <c r="M297" s="21" t="str">
        <f aca="false">IF(C297="","",IFERROR(I297/H297,0))</f>
        <v/>
      </c>
      <c r="N297" s="9" t="str">
        <f aca="false">IF(C297="","",IFERROR(J297/I297,0))</f>
        <v/>
      </c>
      <c r="O297" s="21" t="str">
        <f aca="false">IF(C297="","",IFERROR(J297/L297,0))</f>
        <v/>
      </c>
      <c r="P297" s="22" t="str">
        <f aca="false">IF(C297="","",IFERROR(L297/J297,0))</f>
        <v/>
      </c>
      <c r="Q297" s="34"/>
      <c r="R297" s="4" t="str">
        <f aca="false">IF(C297="","",B297&amp;" | "&amp;C297&amp;" | "&amp;D297)</f>
        <v/>
      </c>
      <c r="S297" s="4" t="str">
        <f aca="false">IF(C297="","",R297&amp;"#"&amp;A297)</f>
        <v/>
      </c>
    </row>
    <row r="298" customFormat="false" ht="15" hidden="false" customHeight="false" outlineLevel="0" collapsed="false">
      <c r="A298" s="33"/>
      <c r="B298" s="34"/>
      <c r="C298" s="34"/>
      <c r="D298" s="34"/>
      <c r="E298" s="34"/>
      <c r="F298" s="34"/>
      <c r="G298" s="7"/>
      <c r="H298" s="35"/>
      <c r="I298" s="35"/>
      <c r="J298" s="7"/>
      <c r="K298" s="35"/>
      <c r="L298" s="7"/>
      <c r="M298" s="21" t="str">
        <f aca="false">IF(C298="","",IFERROR(I298/H298,0))</f>
        <v/>
      </c>
      <c r="N298" s="9" t="str">
        <f aca="false">IF(C298="","",IFERROR(J298/I298,0))</f>
        <v/>
      </c>
      <c r="O298" s="21" t="str">
        <f aca="false">IF(C298="","",IFERROR(J298/L298,0))</f>
        <v/>
      </c>
      <c r="P298" s="22" t="str">
        <f aca="false">IF(C298="","",IFERROR(L298/J298,0))</f>
        <v/>
      </c>
      <c r="Q298" s="34"/>
      <c r="R298" s="4" t="str">
        <f aca="false">IF(C298="","",B298&amp;" | "&amp;C298&amp;" | "&amp;D298)</f>
        <v/>
      </c>
      <c r="S298" s="4" t="str">
        <f aca="false">IF(C298="","",R298&amp;"#"&amp;A298)</f>
        <v/>
      </c>
    </row>
    <row r="299" customFormat="false" ht="15" hidden="false" customHeight="false" outlineLevel="0" collapsed="false">
      <c r="A299" s="33"/>
      <c r="B299" s="34"/>
      <c r="C299" s="34"/>
      <c r="D299" s="34"/>
      <c r="E299" s="34"/>
      <c r="F299" s="34"/>
      <c r="G299" s="7"/>
      <c r="H299" s="35"/>
      <c r="I299" s="35"/>
      <c r="J299" s="7"/>
      <c r="K299" s="35"/>
      <c r="L299" s="7"/>
      <c r="M299" s="21" t="str">
        <f aca="false">IF(C299="","",IFERROR(I299/H299,0))</f>
        <v/>
      </c>
      <c r="N299" s="9" t="str">
        <f aca="false">IF(C299="","",IFERROR(J299/I299,0))</f>
        <v/>
      </c>
      <c r="O299" s="21" t="str">
        <f aca="false">IF(C299="","",IFERROR(J299/L299,0))</f>
        <v/>
      </c>
      <c r="P299" s="22" t="str">
        <f aca="false">IF(C299="","",IFERROR(L299/J299,0))</f>
        <v/>
      </c>
      <c r="Q299" s="34"/>
      <c r="R299" s="4" t="str">
        <f aca="false">IF(C299="","",B299&amp;" | "&amp;C299&amp;" | "&amp;D299)</f>
        <v/>
      </c>
      <c r="S299" s="4" t="str">
        <f aca="false">IF(C299="","",R299&amp;"#"&amp;A299)</f>
        <v/>
      </c>
    </row>
    <row r="300" customFormat="false" ht="15" hidden="false" customHeight="false" outlineLevel="0" collapsed="false">
      <c r="A300" s="33"/>
      <c r="B300" s="34"/>
      <c r="C300" s="34"/>
      <c r="D300" s="34"/>
      <c r="E300" s="34"/>
      <c r="F300" s="34"/>
      <c r="G300" s="7"/>
      <c r="H300" s="35"/>
      <c r="I300" s="35"/>
      <c r="J300" s="7"/>
      <c r="K300" s="35"/>
      <c r="L300" s="7"/>
      <c r="M300" s="21" t="str">
        <f aca="false">IF(C300="","",IFERROR(I300/H300,0))</f>
        <v/>
      </c>
      <c r="N300" s="9" t="str">
        <f aca="false">IF(C300="","",IFERROR(J300/I300,0))</f>
        <v/>
      </c>
      <c r="O300" s="21" t="str">
        <f aca="false">IF(C300="","",IFERROR(J300/L300,0))</f>
        <v/>
      </c>
      <c r="P300" s="22" t="str">
        <f aca="false">IF(C300="","",IFERROR(L300/J300,0))</f>
        <v/>
      </c>
      <c r="Q300" s="34"/>
      <c r="R300" s="4" t="str">
        <f aca="false">IF(C300="","",B300&amp;" | "&amp;C300&amp;" | "&amp;D300)</f>
        <v/>
      </c>
      <c r="S300" s="4" t="str">
        <f aca="false">IF(C300="","",R300&amp;"#"&amp;A300)</f>
        <v/>
      </c>
    </row>
    <row r="301" customFormat="false" ht="15" hidden="false" customHeight="false" outlineLevel="0" collapsed="false">
      <c r="A301" s="33"/>
      <c r="B301" s="34"/>
      <c r="C301" s="34"/>
      <c r="D301" s="34"/>
      <c r="E301" s="34"/>
      <c r="F301" s="34"/>
      <c r="G301" s="7"/>
      <c r="H301" s="35"/>
      <c r="I301" s="35"/>
      <c r="J301" s="7"/>
      <c r="K301" s="35"/>
      <c r="L301" s="7"/>
      <c r="M301" s="21" t="str">
        <f aca="false">IF(C301="","",IFERROR(I301/H301,0))</f>
        <v/>
      </c>
      <c r="N301" s="9" t="str">
        <f aca="false">IF(C301="","",IFERROR(J301/I301,0))</f>
        <v/>
      </c>
      <c r="O301" s="21" t="str">
        <f aca="false">IF(C301="","",IFERROR(J301/L301,0))</f>
        <v/>
      </c>
      <c r="P301" s="22" t="str">
        <f aca="false">IF(C301="","",IFERROR(L301/J301,0))</f>
        <v/>
      </c>
      <c r="Q301" s="34"/>
      <c r="R301" s="4" t="str">
        <f aca="false">IF(C301="","",B301&amp;" | "&amp;C301&amp;" | "&amp;D301)</f>
        <v/>
      </c>
      <c r="S301" s="4" t="str">
        <f aca="false">IF(C301="","",R301&amp;"#"&amp;A301)</f>
        <v/>
      </c>
    </row>
    <row r="302" customFormat="false" ht="15" hidden="false" customHeight="false" outlineLevel="0" collapsed="false">
      <c r="A302" s="33"/>
      <c r="B302" s="34"/>
      <c r="C302" s="34"/>
      <c r="D302" s="34"/>
      <c r="E302" s="34"/>
      <c r="F302" s="34"/>
      <c r="G302" s="7"/>
      <c r="H302" s="35"/>
      <c r="I302" s="35"/>
      <c r="J302" s="7"/>
      <c r="K302" s="35"/>
      <c r="L302" s="7"/>
      <c r="M302" s="21" t="str">
        <f aca="false">IF(C302="","",IFERROR(I302/H302,0))</f>
        <v/>
      </c>
      <c r="N302" s="9" t="str">
        <f aca="false">IF(C302="","",IFERROR(J302/I302,0))</f>
        <v/>
      </c>
      <c r="O302" s="21" t="str">
        <f aca="false">IF(C302="","",IFERROR(J302/L302,0))</f>
        <v/>
      </c>
      <c r="P302" s="22" t="str">
        <f aca="false">IF(C302="","",IFERROR(L302/J302,0))</f>
        <v/>
      </c>
      <c r="Q302" s="34"/>
      <c r="R302" s="4" t="str">
        <f aca="false">IF(C302="","",B302&amp;" | "&amp;C302&amp;" | "&amp;D302)</f>
        <v/>
      </c>
      <c r="S302" s="4" t="str">
        <f aca="false">IF(C302="","",R302&amp;"#"&amp;A302)</f>
        <v/>
      </c>
    </row>
    <row r="303" customFormat="false" ht="15" hidden="false" customHeight="false" outlineLevel="0" collapsed="false">
      <c r="A303" s="33"/>
      <c r="B303" s="34"/>
      <c r="C303" s="34"/>
      <c r="D303" s="34"/>
      <c r="E303" s="34"/>
      <c r="F303" s="34"/>
      <c r="G303" s="7"/>
      <c r="H303" s="35"/>
      <c r="I303" s="35"/>
      <c r="J303" s="7"/>
      <c r="K303" s="35"/>
      <c r="L303" s="7"/>
      <c r="M303" s="21" t="str">
        <f aca="false">IF(C303="","",IFERROR(I303/H303,0))</f>
        <v/>
      </c>
      <c r="N303" s="9" t="str">
        <f aca="false">IF(C303="","",IFERROR(J303/I303,0))</f>
        <v/>
      </c>
      <c r="O303" s="21" t="str">
        <f aca="false">IF(C303="","",IFERROR(J303/L303,0))</f>
        <v/>
      </c>
      <c r="P303" s="22" t="str">
        <f aca="false">IF(C303="","",IFERROR(L303/J303,0))</f>
        <v/>
      </c>
      <c r="Q303" s="34"/>
      <c r="R303" s="4" t="str">
        <f aca="false">IF(C303="","",B303&amp;" | "&amp;C303&amp;" | "&amp;D303)</f>
        <v/>
      </c>
      <c r="S303" s="4" t="str">
        <f aca="false">IF(C303="","",R303&amp;"#"&amp;A303)</f>
        <v/>
      </c>
    </row>
    <row r="304" customFormat="false" ht="15" hidden="false" customHeight="false" outlineLevel="0" collapsed="false">
      <c r="A304" s="33"/>
      <c r="B304" s="34"/>
      <c r="C304" s="34"/>
      <c r="D304" s="34"/>
      <c r="E304" s="34"/>
      <c r="F304" s="34"/>
      <c r="G304" s="7"/>
      <c r="H304" s="35"/>
      <c r="I304" s="35"/>
      <c r="J304" s="7"/>
      <c r="K304" s="35"/>
      <c r="L304" s="7"/>
      <c r="M304" s="21" t="str">
        <f aca="false">IF(C304="","",IFERROR(I304/H304,0))</f>
        <v/>
      </c>
      <c r="N304" s="9" t="str">
        <f aca="false">IF(C304="","",IFERROR(J304/I304,0))</f>
        <v/>
      </c>
      <c r="O304" s="21" t="str">
        <f aca="false">IF(C304="","",IFERROR(J304/L304,0))</f>
        <v/>
      </c>
      <c r="P304" s="22" t="str">
        <f aca="false">IF(C304="","",IFERROR(L304/J304,0))</f>
        <v/>
      </c>
      <c r="Q304" s="34"/>
      <c r="R304" s="4" t="str">
        <f aca="false">IF(C304="","",B304&amp;" | "&amp;C304&amp;" | "&amp;D304)</f>
        <v/>
      </c>
      <c r="S304" s="4" t="str">
        <f aca="false">IF(C304="","",R304&amp;"#"&amp;A304)</f>
        <v/>
      </c>
    </row>
    <row r="305" customFormat="false" ht="15" hidden="false" customHeight="false" outlineLevel="0" collapsed="false">
      <c r="A305" s="33"/>
      <c r="B305" s="34"/>
      <c r="C305" s="34"/>
      <c r="D305" s="34"/>
      <c r="E305" s="34"/>
      <c r="F305" s="34"/>
      <c r="G305" s="7"/>
      <c r="H305" s="35"/>
      <c r="I305" s="35"/>
      <c r="J305" s="7"/>
      <c r="K305" s="35"/>
      <c r="L305" s="7"/>
      <c r="M305" s="21" t="str">
        <f aca="false">IF(C305="","",IFERROR(I305/H305,0))</f>
        <v/>
      </c>
      <c r="N305" s="9" t="str">
        <f aca="false">IF(C305="","",IFERROR(J305/I305,0))</f>
        <v/>
      </c>
      <c r="O305" s="21" t="str">
        <f aca="false">IF(C305="","",IFERROR(J305/L305,0))</f>
        <v/>
      </c>
      <c r="P305" s="22" t="str">
        <f aca="false">IF(C305="","",IFERROR(L305/J305,0))</f>
        <v/>
      </c>
      <c r="Q305" s="34"/>
      <c r="R305" s="4" t="str">
        <f aca="false">IF(C305="","",B305&amp;" | "&amp;C305&amp;" | "&amp;D305)</f>
        <v/>
      </c>
      <c r="S305" s="4" t="str">
        <f aca="false">IF(C305="","",R305&amp;"#"&amp;A305)</f>
        <v/>
      </c>
    </row>
    <row r="306" customFormat="false" ht="15" hidden="false" customHeight="false" outlineLevel="0" collapsed="false">
      <c r="A306" s="33"/>
      <c r="B306" s="34"/>
      <c r="C306" s="34"/>
      <c r="D306" s="34"/>
      <c r="E306" s="34"/>
      <c r="F306" s="34"/>
      <c r="G306" s="7"/>
      <c r="H306" s="35"/>
      <c r="I306" s="35"/>
      <c r="J306" s="7"/>
      <c r="K306" s="35"/>
      <c r="L306" s="7"/>
      <c r="M306" s="21" t="str">
        <f aca="false">IF(C306="","",IFERROR(I306/H306,0))</f>
        <v/>
      </c>
      <c r="N306" s="9" t="str">
        <f aca="false">IF(C306="","",IFERROR(J306/I306,0))</f>
        <v/>
      </c>
      <c r="O306" s="21" t="str">
        <f aca="false">IF(C306="","",IFERROR(J306/L306,0))</f>
        <v/>
      </c>
      <c r="P306" s="22" t="str">
        <f aca="false">IF(C306="","",IFERROR(L306/J306,0))</f>
        <v/>
      </c>
      <c r="Q306" s="34"/>
      <c r="R306" s="4" t="str">
        <f aca="false">IF(C306="","",B306&amp;" | "&amp;C306&amp;" | "&amp;D306)</f>
        <v/>
      </c>
      <c r="S306" s="4" t="str">
        <f aca="false">IF(C306="","",R306&amp;"#"&amp;A306)</f>
        <v/>
      </c>
    </row>
    <row r="307" customFormat="false" ht="15" hidden="false" customHeight="false" outlineLevel="0" collapsed="false">
      <c r="A307" s="33"/>
      <c r="B307" s="34"/>
      <c r="C307" s="34"/>
      <c r="D307" s="34"/>
      <c r="E307" s="34"/>
      <c r="F307" s="34"/>
      <c r="G307" s="7"/>
      <c r="H307" s="35"/>
      <c r="I307" s="35"/>
      <c r="J307" s="7"/>
      <c r="K307" s="35"/>
      <c r="L307" s="7"/>
      <c r="M307" s="21" t="str">
        <f aca="false">IF(C307="","",IFERROR(I307/H307,0))</f>
        <v/>
      </c>
      <c r="N307" s="9" t="str">
        <f aca="false">IF(C307="","",IFERROR(J307/I307,0))</f>
        <v/>
      </c>
      <c r="O307" s="21" t="str">
        <f aca="false">IF(C307="","",IFERROR(J307/L307,0))</f>
        <v/>
      </c>
      <c r="P307" s="22" t="str">
        <f aca="false">IF(C307="","",IFERROR(L307/J307,0))</f>
        <v/>
      </c>
      <c r="Q307" s="34"/>
      <c r="R307" s="4" t="str">
        <f aca="false">IF(C307="","",B307&amp;" | "&amp;C307&amp;" | "&amp;D307)</f>
        <v/>
      </c>
      <c r="S307" s="4" t="str">
        <f aca="false">IF(C307="","",R307&amp;"#"&amp;A307)</f>
        <v/>
      </c>
    </row>
    <row r="308" customFormat="false" ht="15" hidden="false" customHeight="false" outlineLevel="0" collapsed="false">
      <c r="A308" s="33"/>
      <c r="B308" s="34"/>
      <c r="C308" s="34"/>
      <c r="D308" s="34"/>
      <c r="E308" s="34"/>
      <c r="F308" s="34"/>
      <c r="G308" s="7"/>
      <c r="H308" s="35"/>
      <c r="I308" s="35"/>
      <c r="J308" s="7"/>
      <c r="K308" s="35"/>
      <c r="L308" s="7"/>
      <c r="M308" s="21" t="str">
        <f aca="false">IF(C308="","",IFERROR(I308/H308,0))</f>
        <v/>
      </c>
      <c r="N308" s="9" t="str">
        <f aca="false">IF(C308="","",IFERROR(J308/I308,0))</f>
        <v/>
      </c>
      <c r="O308" s="21" t="str">
        <f aca="false">IF(C308="","",IFERROR(J308/L308,0))</f>
        <v/>
      </c>
      <c r="P308" s="22" t="str">
        <f aca="false">IF(C308="","",IFERROR(L308/J308,0))</f>
        <v/>
      </c>
      <c r="Q308" s="34"/>
      <c r="R308" s="4" t="str">
        <f aca="false">IF(C308="","",B308&amp;" | "&amp;C308&amp;" | "&amp;D308)</f>
        <v/>
      </c>
      <c r="S308" s="4" t="str">
        <f aca="false">IF(C308="","",R308&amp;"#"&amp;A308)</f>
        <v/>
      </c>
    </row>
    <row r="309" customFormat="false" ht="15" hidden="false" customHeight="false" outlineLevel="0" collapsed="false">
      <c r="A309" s="33"/>
      <c r="B309" s="34"/>
      <c r="C309" s="34"/>
      <c r="D309" s="34"/>
      <c r="E309" s="34"/>
      <c r="F309" s="34"/>
      <c r="G309" s="7"/>
      <c r="H309" s="35"/>
      <c r="I309" s="35"/>
      <c r="J309" s="7"/>
      <c r="K309" s="35"/>
      <c r="L309" s="7"/>
      <c r="M309" s="21" t="str">
        <f aca="false">IF(C309="","",IFERROR(I309/H309,0))</f>
        <v/>
      </c>
      <c r="N309" s="9" t="str">
        <f aca="false">IF(C309="","",IFERROR(J309/I309,0))</f>
        <v/>
      </c>
      <c r="O309" s="21" t="str">
        <f aca="false">IF(C309="","",IFERROR(J309/L309,0))</f>
        <v/>
      </c>
      <c r="P309" s="22" t="str">
        <f aca="false">IF(C309="","",IFERROR(L309/J309,0))</f>
        <v/>
      </c>
      <c r="Q309" s="34"/>
      <c r="R309" s="4" t="str">
        <f aca="false">IF(C309="","",B309&amp;" | "&amp;C309&amp;" | "&amp;D309)</f>
        <v/>
      </c>
      <c r="S309" s="4" t="str">
        <f aca="false">IF(C309="","",R309&amp;"#"&amp;A309)</f>
        <v/>
      </c>
    </row>
    <row r="310" customFormat="false" ht="15" hidden="false" customHeight="false" outlineLevel="0" collapsed="false">
      <c r="A310" s="33"/>
      <c r="B310" s="34"/>
      <c r="C310" s="34"/>
      <c r="D310" s="34"/>
      <c r="E310" s="34"/>
      <c r="F310" s="34"/>
      <c r="G310" s="7"/>
      <c r="H310" s="35"/>
      <c r="I310" s="35"/>
      <c r="J310" s="7"/>
      <c r="K310" s="35"/>
      <c r="L310" s="7"/>
      <c r="M310" s="21" t="str">
        <f aca="false">IF(C310="","",IFERROR(I310/H310,0))</f>
        <v/>
      </c>
      <c r="N310" s="9" t="str">
        <f aca="false">IF(C310="","",IFERROR(J310/I310,0))</f>
        <v/>
      </c>
      <c r="O310" s="21" t="str">
        <f aca="false">IF(C310="","",IFERROR(J310/L310,0))</f>
        <v/>
      </c>
      <c r="P310" s="22" t="str">
        <f aca="false">IF(C310="","",IFERROR(L310/J310,0))</f>
        <v/>
      </c>
      <c r="Q310" s="34"/>
      <c r="R310" s="4" t="str">
        <f aca="false">IF(C310="","",B310&amp;" | "&amp;C310&amp;" | "&amp;D310)</f>
        <v/>
      </c>
      <c r="S310" s="4" t="str">
        <f aca="false">IF(C310="","",R310&amp;"#"&amp;A310)</f>
        <v/>
      </c>
    </row>
    <row r="311" customFormat="false" ht="15" hidden="false" customHeight="false" outlineLevel="0" collapsed="false">
      <c r="A311" s="33"/>
      <c r="B311" s="34"/>
      <c r="C311" s="34"/>
      <c r="D311" s="34"/>
      <c r="E311" s="34"/>
      <c r="F311" s="34"/>
      <c r="G311" s="7"/>
      <c r="H311" s="35"/>
      <c r="I311" s="35"/>
      <c r="J311" s="7"/>
      <c r="K311" s="35"/>
      <c r="L311" s="7"/>
      <c r="M311" s="21" t="str">
        <f aca="false">IF(C311="","",IFERROR(I311/H311,0))</f>
        <v/>
      </c>
      <c r="N311" s="9" t="str">
        <f aca="false">IF(C311="","",IFERROR(J311/I311,0))</f>
        <v/>
      </c>
      <c r="O311" s="21" t="str">
        <f aca="false">IF(C311="","",IFERROR(J311/L311,0))</f>
        <v/>
      </c>
      <c r="P311" s="22" t="str">
        <f aca="false">IF(C311="","",IFERROR(L311/J311,0))</f>
        <v/>
      </c>
      <c r="Q311" s="34"/>
      <c r="R311" s="4" t="str">
        <f aca="false">IF(C311="","",B311&amp;" | "&amp;C311&amp;" | "&amp;D311)</f>
        <v/>
      </c>
      <c r="S311" s="4" t="str">
        <f aca="false">IF(C311="","",R311&amp;"#"&amp;A311)</f>
        <v/>
      </c>
    </row>
    <row r="312" customFormat="false" ht="15" hidden="false" customHeight="false" outlineLevel="0" collapsed="false">
      <c r="A312" s="33"/>
      <c r="B312" s="34"/>
      <c r="C312" s="34"/>
      <c r="D312" s="34"/>
      <c r="E312" s="34"/>
      <c r="F312" s="34"/>
      <c r="G312" s="7"/>
      <c r="H312" s="35"/>
      <c r="I312" s="35"/>
      <c r="J312" s="7"/>
      <c r="K312" s="35"/>
      <c r="L312" s="7"/>
      <c r="M312" s="21" t="str">
        <f aca="false">IF(C312="","",IFERROR(I312/H312,0))</f>
        <v/>
      </c>
      <c r="N312" s="9" t="str">
        <f aca="false">IF(C312="","",IFERROR(J312/I312,0))</f>
        <v/>
      </c>
      <c r="O312" s="21" t="str">
        <f aca="false">IF(C312="","",IFERROR(J312/L312,0))</f>
        <v/>
      </c>
      <c r="P312" s="22" t="str">
        <f aca="false">IF(C312="","",IFERROR(L312/J312,0))</f>
        <v/>
      </c>
      <c r="Q312" s="34"/>
      <c r="R312" s="4" t="str">
        <f aca="false">IF(C312="","",B312&amp;" | "&amp;C312&amp;" | "&amp;D312)</f>
        <v/>
      </c>
      <c r="S312" s="4" t="str">
        <f aca="false">IF(C312="","",R312&amp;"#"&amp;A312)</f>
        <v/>
      </c>
    </row>
    <row r="313" customFormat="false" ht="15" hidden="false" customHeight="false" outlineLevel="0" collapsed="false">
      <c r="A313" s="33"/>
      <c r="B313" s="34"/>
      <c r="C313" s="34"/>
      <c r="D313" s="34"/>
      <c r="E313" s="34"/>
      <c r="F313" s="34"/>
      <c r="G313" s="7"/>
      <c r="H313" s="35"/>
      <c r="I313" s="35"/>
      <c r="J313" s="7"/>
      <c r="K313" s="35"/>
      <c r="L313" s="7"/>
      <c r="M313" s="21" t="str">
        <f aca="false">IF(C313="","",IFERROR(I313/H313,0))</f>
        <v/>
      </c>
      <c r="N313" s="9" t="str">
        <f aca="false">IF(C313="","",IFERROR(J313/I313,0))</f>
        <v/>
      </c>
      <c r="O313" s="21" t="str">
        <f aca="false">IF(C313="","",IFERROR(J313/L313,0))</f>
        <v/>
      </c>
      <c r="P313" s="22" t="str">
        <f aca="false">IF(C313="","",IFERROR(L313/J313,0))</f>
        <v/>
      </c>
      <c r="Q313" s="34"/>
      <c r="R313" s="4" t="str">
        <f aca="false">IF(C313="","",B313&amp;" | "&amp;C313&amp;" | "&amp;D313)</f>
        <v/>
      </c>
      <c r="S313" s="4" t="str">
        <f aca="false">IF(C313="","",R313&amp;"#"&amp;A313)</f>
        <v/>
      </c>
    </row>
    <row r="314" customFormat="false" ht="15" hidden="false" customHeight="false" outlineLevel="0" collapsed="false">
      <c r="A314" s="33"/>
      <c r="B314" s="34"/>
      <c r="C314" s="34"/>
      <c r="D314" s="34"/>
      <c r="E314" s="34"/>
      <c r="F314" s="34"/>
      <c r="G314" s="7"/>
      <c r="H314" s="35"/>
      <c r="I314" s="35"/>
      <c r="J314" s="7"/>
      <c r="K314" s="35"/>
      <c r="L314" s="7"/>
      <c r="M314" s="21" t="str">
        <f aca="false">IF(C314="","",IFERROR(I314/H314,0))</f>
        <v/>
      </c>
      <c r="N314" s="9" t="str">
        <f aca="false">IF(C314="","",IFERROR(J314/I314,0))</f>
        <v/>
      </c>
      <c r="O314" s="21" t="str">
        <f aca="false">IF(C314="","",IFERROR(J314/L314,0))</f>
        <v/>
      </c>
      <c r="P314" s="22" t="str">
        <f aca="false">IF(C314="","",IFERROR(L314/J314,0))</f>
        <v/>
      </c>
      <c r="Q314" s="34"/>
      <c r="R314" s="4" t="str">
        <f aca="false">IF(C314="","",B314&amp;" | "&amp;C314&amp;" | "&amp;D314)</f>
        <v/>
      </c>
      <c r="S314" s="4" t="str">
        <f aca="false">IF(C314="","",R314&amp;"#"&amp;A314)</f>
        <v/>
      </c>
    </row>
    <row r="315" customFormat="false" ht="15" hidden="false" customHeight="false" outlineLevel="0" collapsed="false">
      <c r="A315" s="33"/>
      <c r="B315" s="34"/>
      <c r="C315" s="34"/>
      <c r="D315" s="34"/>
      <c r="E315" s="34"/>
      <c r="F315" s="34"/>
      <c r="G315" s="7"/>
      <c r="H315" s="35"/>
      <c r="I315" s="35"/>
      <c r="J315" s="7"/>
      <c r="K315" s="35"/>
      <c r="L315" s="7"/>
      <c r="M315" s="21" t="str">
        <f aca="false">IF(C315="","",IFERROR(I315/H315,0))</f>
        <v/>
      </c>
      <c r="N315" s="9" t="str">
        <f aca="false">IF(C315="","",IFERROR(J315/I315,0))</f>
        <v/>
      </c>
      <c r="O315" s="21" t="str">
        <f aca="false">IF(C315="","",IFERROR(J315/L315,0))</f>
        <v/>
      </c>
      <c r="P315" s="22" t="str">
        <f aca="false">IF(C315="","",IFERROR(L315/J315,0))</f>
        <v/>
      </c>
      <c r="Q315" s="34"/>
      <c r="R315" s="4" t="str">
        <f aca="false">IF(C315="","",B315&amp;" | "&amp;C315&amp;" | "&amp;D315)</f>
        <v/>
      </c>
      <c r="S315" s="4" t="str">
        <f aca="false">IF(C315="","",R315&amp;"#"&amp;A315)</f>
        <v/>
      </c>
    </row>
    <row r="316" customFormat="false" ht="15" hidden="false" customHeight="false" outlineLevel="0" collapsed="false">
      <c r="A316" s="33"/>
      <c r="B316" s="34"/>
      <c r="C316" s="34"/>
      <c r="D316" s="34"/>
      <c r="E316" s="34"/>
      <c r="F316" s="34"/>
      <c r="G316" s="7"/>
      <c r="H316" s="35"/>
      <c r="I316" s="35"/>
      <c r="J316" s="7"/>
      <c r="K316" s="35"/>
      <c r="L316" s="7"/>
      <c r="M316" s="21" t="str">
        <f aca="false">IF(C316="","",IFERROR(I316/H316,0))</f>
        <v/>
      </c>
      <c r="N316" s="9" t="str">
        <f aca="false">IF(C316="","",IFERROR(J316/I316,0))</f>
        <v/>
      </c>
      <c r="O316" s="21" t="str">
        <f aca="false">IF(C316="","",IFERROR(J316/L316,0))</f>
        <v/>
      </c>
      <c r="P316" s="22" t="str">
        <f aca="false">IF(C316="","",IFERROR(L316/J316,0))</f>
        <v/>
      </c>
      <c r="Q316" s="34"/>
      <c r="R316" s="4" t="str">
        <f aca="false">IF(C316="","",B316&amp;" | "&amp;C316&amp;" | "&amp;D316)</f>
        <v/>
      </c>
      <c r="S316" s="4" t="str">
        <f aca="false">IF(C316="","",R316&amp;"#"&amp;A316)</f>
        <v/>
      </c>
    </row>
    <row r="317" customFormat="false" ht="15" hidden="false" customHeight="false" outlineLevel="0" collapsed="false">
      <c r="A317" s="33"/>
      <c r="B317" s="34"/>
      <c r="C317" s="34"/>
      <c r="D317" s="34"/>
      <c r="E317" s="34"/>
      <c r="F317" s="34"/>
      <c r="G317" s="7"/>
      <c r="H317" s="35"/>
      <c r="I317" s="35"/>
      <c r="J317" s="7"/>
      <c r="K317" s="35"/>
      <c r="L317" s="7"/>
      <c r="M317" s="21" t="str">
        <f aca="false">IF(C317="","",IFERROR(I317/H317,0))</f>
        <v/>
      </c>
      <c r="N317" s="9" t="str">
        <f aca="false">IF(C317="","",IFERROR(J317/I317,0))</f>
        <v/>
      </c>
      <c r="O317" s="21" t="str">
        <f aca="false">IF(C317="","",IFERROR(J317/L317,0))</f>
        <v/>
      </c>
      <c r="P317" s="22" t="str">
        <f aca="false">IF(C317="","",IFERROR(L317/J317,0))</f>
        <v/>
      </c>
      <c r="Q317" s="34"/>
      <c r="R317" s="4" t="str">
        <f aca="false">IF(C317="","",B317&amp;" | "&amp;C317&amp;" | "&amp;D317)</f>
        <v/>
      </c>
      <c r="S317" s="4" t="str">
        <f aca="false">IF(C317="","",R317&amp;"#"&amp;A317)</f>
        <v/>
      </c>
    </row>
    <row r="318" customFormat="false" ht="15" hidden="false" customHeight="false" outlineLevel="0" collapsed="false">
      <c r="A318" s="33"/>
      <c r="B318" s="34"/>
      <c r="C318" s="34"/>
      <c r="D318" s="34"/>
      <c r="E318" s="34"/>
      <c r="F318" s="34"/>
      <c r="G318" s="7"/>
      <c r="H318" s="35"/>
      <c r="I318" s="35"/>
      <c r="J318" s="7"/>
      <c r="K318" s="35"/>
      <c r="L318" s="7"/>
      <c r="M318" s="21" t="str">
        <f aca="false">IF(C318="","",IFERROR(I318/H318,0))</f>
        <v/>
      </c>
      <c r="N318" s="9" t="str">
        <f aca="false">IF(C318="","",IFERROR(J318/I318,0))</f>
        <v/>
      </c>
      <c r="O318" s="21" t="str">
        <f aca="false">IF(C318="","",IFERROR(J318/L318,0))</f>
        <v/>
      </c>
      <c r="P318" s="22" t="str">
        <f aca="false">IF(C318="","",IFERROR(L318/J318,0))</f>
        <v/>
      </c>
      <c r="Q318" s="34"/>
      <c r="R318" s="4" t="str">
        <f aca="false">IF(C318="","",B318&amp;" | "&amp;C318&amp;" | "&amp;D318)</f>
        <v/>
      </c>
      <c r="S318" s="4" t="str">
        <f aca="false">IF(C318="","",R318&amp;"#"&amp;A318)</f>
        <v/>
      </c>
    </row>
    <row r="319" customFormat="false" ht="15" hidden="false" customHeight="false" outlineLevel="0" collapsed="false">
      <c r="A319" s="33"/>
      <c r="B319" s="34"/>
      <c r="C319" s="34"/>
      <c r="D319" s="34"/>
      <c r="E319" s="34"/>
      <c r="F319" s="34"/>
      <c r="G319" s="7"/>
      <c r="H319" s="35"/>
      <c r="I319" s="35"/>
      <c r="J319" s="7"/>
      <c r="K319" s="35"/>
      <c r="L319" s="7"/>
      <c r="M319" s="21" t="str">
        <f aca="false">IF(C319="","",IFERROR(I319/H319,0))</f>
        <v/>
      </c>
      <c r="N319" s="9" t="str">
        <f aca="false">IF(C319="","",IFERROR(J319/I319,0))</f>
        <v/>
      </c>
      <c r="O319" s="21" t="str">
        <f aca="false">IF(C319="","",IFERROR(J319/L319,0))</f>
        <v/>
      </c>
      <c r="P319" s="22" t="str">
        <f aca="false">IF(C319="","",IFERROR(L319/J319,0))</f>
        <v/>
      </c>
      <c r="Q319" s="34"/>
      <c r="R319" s="4" t="str">
        <f aca="false">IF(C319="","",B319&amp;" | "&amp;C319&amp;" | "&amp;D319)</f>
        <v/>
      </c>
      <c r="S319" s="4" t="str">
        <f aca="false">IF(C319="","",R319&amp;"#"&amp;A319)</f>
        <v/>
      </c>
    </row>
    <row r="320" customFormat="false" ht="15" hidden="false" customHeight="false" outlineLevel="0" collapsed="false">
      <c r="A320" s="33"/>
      <c r="B320" s="34"/>
      <c r="C320" s="34"/>
      <c r="D320" s="34"/>
      <c r="E320" s="34"/>
      <c r="F320" s="34"/>
      <c r="G320" s="7"/>
      <c r="H320" s="35"/>
      <c r="I320" s="35"/>
      <c r="J320" s="7"/>
      <c r="K320" s="35"/>
      <c r="L320" s="7"/>
      <c r="M320" s="21" t="str">
        <f aca="false">IF(C320="","",IFERROR(I320/H320,0))</f>
        <v/>
      </c>
      <c r="N320" s="9" t="str">
        <f aca="false">IF(C320="","",IFERROR(J320/I320,0))</f>
        <v/>
      </c>
      <c r="O320" s="21" t="str">
        <f aca="false">IF(C320="","",IFERROR(J320/L320,0))</f>
        <v/>
      </c>
      <c r="P320" s="22" t="str">
        <f aca="false">IF(C320="","",IFERROR(L320/J320,0))</f>
        <v/>
      </c>
      <c r="Q320" s="34"/>
      <c r="R320" s="4" t="str">
        <f aca="false">IF(C320="","",B320&amp;" | "&amp;C320&amp;" | "&amp;D320)</f>
        <v/>
      </c>
      <c r="S320" s="4" t="str">
        <f aca="false">IF(C320="","",R320&amp;"#"&amp;A320)</f>
        <v/>
      </c>
    </row>
    <row r="321" customFormat="false" ht="15" hidden="false" customHeight="false" outlineLevel="0" collapsed="false">
      <c r="A321" s="33"/>
      <c r="B321" s="34"/>
      <c r="C321" s="34"/>
      <c r="D321" s="34"/>
      <c r="E321" s="34"/>
      <c r="F321" s="34"/>
      <c r="G321" s="7"/>
      <c r="H321" s="35"/>
      <c r="I321" s="35"/>
      <c r="J321" s="7"/>
      <c r="K321" s="35"/>
      <c r="L321" s="7"/>
      <c r="M321" s="21" t="str">
        <f aca="false">IF(C321="","",IFERROR(I321/H321,0))</f>
        <v/>
      </c>
      <c r="N321" s="9" t="str">
        <f aca="false">IF(C321="","",IFERROR(J321/I321,0))</f>
        <v/>
      </c>
      <c r="O321" s="21" t="str">
        <f aca="false">IF(C321="","",IFERROR(J321/L321,0))</f>
        <v/>
      </c>
      <c r="P321" s="22" t="str">
        <f aca="false">IF(C321="","",IFERROR(L321/J321,0))</f>
        <v/>
      </c>
      <c r="Q321" s="34"/>
      <c r="R321" s="4" t="str">
        <f aca="false">IF(C321="","",B321&amp;" | "&amp;C321&amp;" | "&amp;D321)</f>
        <v/>
      </c>
      <c r="S321" s="4" t="str">
        <f aca="false">IF(C321="","",R321&amp;"#"&amp;A321)</f>
        <v/>
      </c>
    </row>
    <row r="322" customFormat="false" ht="15" hidden="false" customHeight="false" outlineLevel="0" collapsed="false">
      <c r="A322" s="33"/>
      <c r="B322" s="34"/>
      <c r="C322" s="34"/>
      <c r="D322" s="34"/>
      <c r="E322" s="34"/>
      <c r="F322" s="34"/>
      <c r="G322" s="7"/>
      <c r="H322" s="35"/>
      <c r="I322" s="35"/>
      <c r="J322" s="7"/>
      <c r="K322" s="35"/>
      <c r="L322" s="7"/>
      <c r="M322" s="21" t="str">
        <f aca="false">IF(C322="","",IFERROR(I322/H322,0))</f>
        <v/>
      </c>
      <c r="N322" s="9" t="str">
        <f aca="false">IF(C322="","",IFERROR(J322/I322,0))</f>
        <v/>
      </c>
      <c r="O322" s="21" t="str">
        <f aca="false">IF(C322="","",IFERROR(J322/L322,0))</f>
        <v/>
      </c>
      <c r="P322" s="22" t="str">
        <f aca="false">IF(C322="","",IFERROR(L322/J322,0))</f>
        <v/>
      </c>
      <c r="Q322" s="34"/>
      <c r="R322" s="4" t="str">
        <f aca="false">IF(C322="","",B322&amp;" | "&amp;C322&amp;" | "&amp;D322)</f>
        <v/>
      </c>
      <c r="S322" s="4" t="str">
        <f aca="false">IF(C322="","",R322&amp;"#"&amp;A322)</f>
        <v/>
      </c>
    </row>
    <row r="323" customFormat="false" ht="15" hidden="false" customHeight="false" outlineLevel="0" collapsed="false">
      <c r="A323" s="33"/>
      <c r="B323" s="34"/>
      <c r="C323" s="34"/>
      <c r="D323" s="34"/>
      <c r="E323" s="34"/>
      <c r="F323" s="34"/>
      <c r="G323" s="7"/>
      <c r="H323" s="35"/>
      <c r="I323" s="35"/>
      <c r="J323" s="7"/>
      <c r="K323" s="35"/>
      <c r="L323" s="7"/>
      <c r="M323" s="21" t="str">
        <f aca="false">IF(C323="","",IFERROR(I323/H323,0))</f>
        <v/>
      </c>
      <c r="N323" s="9" t="str">
        <f aca="false">IF(C323="","",IFERROR(J323/I323,0))</f>
        <v/>
      </c>
      <c r="O323" s="21" t="str">
        <f aca="false">IF(C323="","",IFERROR(J323/L323,0))</f>
        <v/>
      </c>
      <c r="P323" s="22" t="str">
        <f aca="false">IF(C323="","",IFERROR(L323/J323,0))</f>
        <v/>
      </c>
      <c r="Q323" s="34"/>
      <c r="R323" s="4" t="str">
        <f aca="false">IF(C323="","",B323&amp;" | "&amp;C323&amp;" | "&amp;D323)</f>
        <v/>
      </c>
      <c r="S323" s="4" t="str">
        <f aca="false">IF(C323="","",R323&amp;"#"&amp;A323)</f>
        <v/>
      </c>
    </row>
    <row r="324" customFormat="false" ht="15" hidden="false" customHeight="false" outlineLevel="0" collapsed="false">
      <c r="A324" s="33"/>
      <c r="B324" s="34"/>
      <c r="C324" s="34"/>
      <c r="D324" s="34"/>
      <c r="E324" s="34"/>
      <c r="F324" s="34"/>
      <c r="G324" s="7"/>
      <c r="H324" s="35"/>
      <c r="I324" s="35"/>
      <c r="J324" s="7"/>
      <c r="K324" s="35"/>
      <c r="L324" s="7"/>
      <c r="M324" s="21" t="str">
        <f aca="false">IF(C324="","",IFERROR(I324/H324,0))</f>
        <v/>
      </c>
      <c r="N324" s="9" t="str">
        <f aca="false">IF(C324="","",IFERROR(J324/I324,0))</f>
        <v/>
      </c>
      <c r="O324" s="21" t="str">
        <f aca="false">IF(C324="","",IFERROR(J324/L324,0))</f>
        <v/>
      </c>
      <c r="P324" s="22" t="str">
        <f aca="false">IF(C324="","",IFERROR(L324/J324,0))</f>
        <v/>
      </c>
      <c r="Q324" s="34"/>
      <c r="R324" s="4" t="str">
        <f aca="false">IF(C324="","",B324&amp;" | "&amp;C324&amp;" | "&amp;D324)</f>
        <v/>
      </c>
      <c r="S324" s="4" t="str">
        <f aca="false">IF(C324="","",R324&amp;"#"&amp;A324)</f>
        <v/>
      </c>
    </row>
    <row r="325" customFormat="false" ht="15" hidden="false" customHeight="false" outlineLevel="0" collapsed="false">
      <c r="A325" s="33"/>
      <c r="B325" s="34"/>
      <c r="C325" s="34"/>
      <c r="D325" s="34"/>
      <c r="E325" s="34"/>
      <c r="F325" s="34"/>
      <c r="G325" s="7"/>
      <c r="H325" s="35"/>
      <c r="I325" s="35"/>
      <c r="J325" s="7"/>
      <c r="K325" s="35"/>
      <c r="L325" s="7"/>
      <c r="M325" s="21" t="str">
        <f aca="false">IF(C325="","",IFERROR(I325/H325,0))</f>
        <v/>
      </c>
      <c r="N325" s="9" t="str">
        <f aca="false">IF(C325="","",IFERROR(J325/I325,0))</f>
        <v/>
      </c>
      <c r="O325" s="21" t="str">
        <f aca="false">IF(C325="","",IFERROR(J325/L325,0))</f>
        <v/>
      </c>
      <c r="P325" s="22" t="str">
        <f aca="false">IF(C325="","",IFERROR(L325/J325,0))</f>
        <v/>
      </c>
      <c r="Q325" s="34"/>
      <c r="R325" s="4" t="str">
        <f aca="false">IF(C325="","",B325&amp;" | "&amp;C325&amp;" | "&amp;D325)</f>
        <v/>
      </c>
      <c r="S325" s="4" t="str">
        <f aca="false">IF(C325="","",R325&amp;"#"&amp;A325)</f>
        <v/>
      </c>
    </row>
    <row r="326" customFormat="false" ht="15" hidden="false" customHeight="false" outlineLevel="0" collapsed="false">
      <c r="A326" s="33"/>
      <c r="B326" s="34"/>
      <c r="C326" s="34"/>
      <c r="D326" s="34"/>
      <c r="E326" s="34"/>
      <c r="F326" s="34"/>
      <c r="G326" s="7"/>
      <c r="H326" s="35"/>
      <c r="I326" s="35"/>
      <c r="J326" s="7"/>
      <c r="K326" s="35"/>
      <c r="L326" s="7"/>
      <c r="M326" s="21" t="str">
        <f aca="false">IF(C326="","",IFERROR(I326/H326,0))</f>
        <v/>
      </c>
      <c r="N326" s="9" t="str">
        <f aca="false">IF(C326="","",IFERROR(J326/I326,0))</f>
        <v/>
      </c>
      <c r="O326" s="21" t="str">
        <f aca="false">IF(C326="","",IFERROR(J326/L326,0))</f>
        <v/>
      </c>
      <c r="P326" s="22" t="str">
        <f aca="false">IF(C326="","",IFERROR(L326/J326,0))</f>
        <v/>
      </c>
      <c r="Q326" s="34"/>
      <c r="R326" s="4" t="str">
        <f aca="false">IF(C326="","",B326&amp;" | "&amp;C326&amp;" | "&amp;D326)</f>
        <v/>
      </c>
      <c r="S326" s="4" t="str">
        <f aca="false">IF(C326="","",R326&amp;"#"&amp;A326)</f>
        <v/>
      </c>
    </row>
    <row r="327" customFormat="false" ht="15" hidden="false" customHeight="false" outlineLevel="0" collapsed="false">
      <c r="A327" s="33"/>
      <c r="B327" s="34"/>
      <c r="C327" s="34"/>
      <c r="D327" s="34"/>
      <c r="E327" s="34"/>
      <c r="F327" s="34"/>
      <c r="G327" s="7"/>
      <c r="H327" s="35"/>
      <c r="I327" s="35"/>
      <c r="J327" s="7"/>
      <c r="K327" s="35"/>
      <c r="L327" s="7"/>
      <c r="M327" s="21" t="str">
        <f aca="false">IF(C327="","",IFERROR(I327/H327,0))</f>
        <v/>
      </c>
      <c r="N327" s="9" t="str">
        <f aca="false">IF(C327="","",IFERROR(J327/I327,0))</f>
        <v/>
      </c>
      <c r="O327" s="21" t="str">
        <f aca="false">IF(C327="","",IFERROR(J327/L327,0))</f>
        <v/>
      </c>
      <c r="P327" s="22" t="str">
        <f aca="false">IF(C327="","",IFERROR(L327/J327,0))</f>
        <v/>
      </c>
      <c r="Q327" s="34"/>
      <c r="R327" s="4" t="str">
        <f aca="false">IF(C327="","",B327&amp;" | "&amp;C327&amp;" | "&amp;D327)</f>
        <v/>
      </c>
      <c r="S327" s="4" t="str">
        <f aca="false">IF(C327="","",R327&amp;"#"&amp;A327)</f>
        <v/>
      </c>
    </row>
    <row r="328" customFormat="false" ht="15" hidden="false" customHeight="false" outlineLevel="0" collapsed="false">
      <c r="A328" s="33"/>
      <c r="B328" s="34"/>
      <c r="C328" s="34"/>
      <c r="D328" s="34"/>
      <c r="E328" s="34"/>
      <c r="F328" s="34"/>
      <c r="G328" s="7"/>
      <c r="H328" s="35"/>
      <c r="I328" s="35"/>
      <c r="J328" s="7"/>
      <c r="K328" s="35"/>
      <c r="L328" s="7"/>
      <c r="M328" s="21" t="str">
        <f aca="false">IF(C328="","",IFERROR(I328/H328,0))</f>
        <v/>
      </c>
      <c r="N328" s="9" t="str">
        <f aca="false">IF(C328="","",IFERROR(J328/I328,0))</f>
        <v/>
      </c>
      <c r="O328" s="21" t="str">
        <f aca="false">IF(C328="","",IFERROR(J328/L328,0))</f>
        <v/>
      </c>
      <c r="P328" s="22" t="str">
        <f aca="false">IF(C328="","",IFERROR(L328/J328,0))</f>
        <v/>
      </c>
      <c r="Q328" s="34"/>
      <c r="R328" s="4" t="str">
        <f aca="false">IF(C328="","",B328&amp;" | "&amp;C328&amp;" | "&amp;D328)</f>
        <v/>
      </c>
      <c r="S328" s="4" t="str">
        <f aca="false">IF(C328="","",R328&amp;"#"&amp;A328)</f>
        <v/>
      </c>
    </row>
    <row r="329" customFormat="false" ht="15" hidden="false" customHeight="false" outlineLevel="0" collapsed="false">
      <c r="A329" s="33"/>
      <c r="B329" s="34"/>
      <c r="C329" s="34"/>
      <c r="D329" s="34"/>
      <c r="E329" s="34"/>
      <c r="F329" s="34"/>
      <c r="G329" s="7"/>
      <c r="H329" s="35"/>
      <c r="I329" s="35"/>
      <c r="J329" s="7"/>
      <c r="K329" s="35"/>
      <c r="L329" s="7"/>
      <c r="M329" s="21" t="str">
        <f aca="false">IF(C329="","",IFERROR(I329/H329,0))</f>
        <v/>
      </c>
      <c r="N329" s="9" t="str">
        <f aca="false">IF(C329="","",IFERROR(J329/I329,0))</f>
        <v/>
      </c>
      <c r="O329" s="21" t="str">
        <f aca="false">IF(C329="","",IFERROR(J329/L329,0))</f>
        <v/>
      </c>
      <c r="P329" s="22" t="str">
        <f aca="false">IF(C329="","",IFERROR(L329/J329,0))</f>
        <v/>
      </c>
      <c r="Q329" s="34"/>
      <c r="R329" s="4" t="str">
        <f aca="false">IF(C329="","",B329&amp;" | "&amp;C329&amp;" | "&amp;D329)</f>
        <v/>
      </c>
      <c r="S329" s="4" t="str">
        <f aca="false">IF(C329="","",R329&amp;"#"&amp;A329)</f>
        <v/>
      </c>
    </row>
    <row r="330" customFormat="false" ht="15" hidden="false" customHeight="false" outlineLevel="0" collapsed="false">
      <c r="A330" s="33"/>
      <c r="B330" s="34"/>
      <c r="C330" s="34"/>
      <c r="D330" s="34"/>
      <c r="E330" s="34"/>
      <c r="F330" s="34"/>
      <c r="G330" s="7"/>
      <c r="H330" s="35"/>
      <c r="I330" s="35"/>
      <c r="J330" s="7"/>
      <c r="K330" s="35"/>
      <c r="L330" s="7"/>
      <c r="M330" s="21" t="str">
        <f aca="false">IF(C330="","",IFERROR(I330/H330,0))</f>
        <v/>
      </c>
      <c r="N330" s="9" t="str">
        <f aca="false">IF(C330="","",IFERROR(J330/I330,0))</f>
        <v/>
      </c>
      <c r="O330" s="21" t="str">
        <f aca="false">IF(C330="","",IFERROR(J330/L330,0))</f>
        <v/>
      </c>
      <c r="P330" s="22" t="str">
        <f aca="false">IF(C330="","",IFERROR(L330/J330,0))</f>
        <v/>
      </c>
      <c r="Q330" s="34"/>
      <c r="R330" s="4" t="str">
        <f aca="false">IF(C330="","",B330&amp;" | "&amp;C330&amp;" | "&amp;D330)</f>
        <v/>
      </c>
      <c r="S330" s="4" t="str">
        <f aca="false">IF(C330="","",R330&amp;"#"&amp;A330)</f>
        <v/>
      </c>
    </row>
    <row r="331" customFormat="false" ht="15" hidden="false" customHeight="false" outlineLevel="0" collapsed="false">
      <c r="A331" s="33"/>
      <c r="B331" s="34"/>
      <c r="C331" s="34"/>
      <c r="D331" s="34"/>
      <c r="E331" s="34"/>
      <c r="F331" s="34"/>
      <c r="G331" s="7"/>
      <c r="H331" s="35"/>
      <c r="I331" s="35"/>
      <c r="J331" s="7"/>
      <c r="K331" s="35"/>
      <c r="L331" s="7"/>
      <c r="M331" s="21" t="str">
        <f aca="false">IF(C331="","",IFERROR(I331/H331,0))</f>
        <v/>
      </c>
      <c r="N331" s="9" t="str">
        <f aca="false">IF(C331="","",IFERROR(J331/I331,0))</f>
        <v/>
      </c>
      <c r="O331" s="21" t="str">
        <f aca="false">IF(C331="","",IFERROR(J331/L331,0))</f>
        <v/>
      </c>
      <c r="P331" s="22" t="str">
        <f aca="false">IF(C331="","",IFERROR(L331/J331,0))</f>
        <v/>
      </c>
      <c r="Q331" s="34"/>
      <c r="R331" s="4" t="str">
        <f aca="false">IF(C331="","",B331&amp;" | "&amp;C331&amp;" | "&amp;D331)</f>
        <v/>
      </c>
      <c r="S331" s="4" t="str">
        <f aca="false">IF(C331="","",R331&amp;"#"&amp;A331)</f>
        <v/>
      </c>
    </row>
    <row r="332" customFormat="false" ht="15" hidden="false" customHeight="false" outlineLevel="0" collapsed="false">
      <c r="A332" s="33"/>
      <c r="B332" s="34"/>
      <c r="C332" s="34"/>
      <c r="D332" s="34"/>
      <c r="E332" s="34"/>
      <c r="F332" s="34"/>
      <c r="G332" s="7"/>
      <c r="H332" s="35"/>
      <c r="I332" s="35"/>
      <c r="J332" s="7"/>
      <c r="K332" s="35"/>
      <c r="L332" s="7"/>
      <c r="M332" s="21" t="str">
        <f aca="false">IF(C332="","",IFERROR(I332/H332,0))</f>
        <v/>
      </c>
      <c r="N332" s="9" t="str">
        <f aca="false">IF(C332="","",IFERROR(J332/I332,0))</f>
        <v/>
      </c>
      <c r="O332" s="21" t="str">
        <f aca="false">IF(C332="","",IFERROR(J332/L332,0))</f>
        <v/>
      </c>
      <c r="P332" s="22" t="str">
        <f aca="false">IF(C332="","",IFERROR(L332/J332,0))</f>
        <v/>
      </c>
      <c r="Q332" s="34"/>
      <c r="R332" s="4" t="str">
        <f aca="false">IF(C332="","",B332&amp;" | "&amp;C332&amp;" | "&amp;D332)</f>
        <v/>
      </c>
      <c r="S332" s="4" t="str">
        <f aca="false">IF(C332="","",R332&amp;"#"&amp;A332)</f>
        <v/>
      </c>
    </row>
    <row r="333" customFormat="false" ht="15" hidden="false" customHeight="false" outlineLevel="0" collapsed="false">
      <c r="A333" s="33"/>
      <c r="B333" s="34"/>
      <c r="C333" s="34"/>
      <c r="D333" s="34"/>
      <c r="E333" s="34"/>
      <c r="F333" s="34"/>
      <c r="G333" s="7"/>
      <c r="H333" s="35"/>
      <c r="I333" s="35"/>
      <c r="J333" s="7"/>
      <c r="K333" s="35"/>
      <c r="L333" s="7"/>
      <c r="M333" s="21" t="str">
        <f aca="false">IF(C333="","",IFERROR(I333/H333,0))</f>
        <v/>
      </c>
      <c r="N333" s="9" t="str">
        <f aca="false">IF(C333="","",IFERROR(J333/I333,0))</f>
        <v/>
      </c>
      <c r="O333" s="21" t="str">
        <f aca="false">IF(C333="","",IFERROR(J333/L333,0))</f>
        <v/>
      </c>
      <c r="P333" s="22" t="str">
        <f aca="false">IF(C333="","",IFERROR(L333/J333,0))</f>
        <v/>
      </c>
      <c r="Q333" s="34"/>
      <c r="R333" s="4" t="str">
        <f aca="false">IF(C333="","",B333&amp;" | "&amp;C333&amp;" | "&amp;D333)</f>
        <v/>
      </c>
      <c r="S333" s="4" t="str">
        <f aca="false">IF(C333="","",R333&amp;"#"&amp;A333)</f>
        <v/>
      </c>
    </row>
    <row r="334" customFormat="false" ht="15" hidden="false" customHeight="false" outlineLevel="0" collapsed="false">
      <c r="A334" s="33"/>
      <c r="B334" s="34"/>
      <c r="C334" s="34"/>
      <c r="D334" s="34"/>
      <c r="E334" s="34"/>
      <c r="F334" s="34"/>
      <c r="G334" s="7"/>
      <c r="H334" s="35"/>
      <c r="I334" s="35"/>
      <c r="J334" s="7"/>
      <c r="K334" s="35"/>
      <c r="L334" s="7"/>
      <c r="M334" s="21" t="str">
        <f aca="false">IF(C334="","",IFERROR(I334/H334,0))</f>
        <v/>
      </c>
      <c r="N334" s="9" t="str">
        <f aca="false">IF(C334="","",IFERROR(J334/I334,0))</f>
        <v/>
      </c>
      <c r="O334" s="21" t="str">
        <f aca="false">IF(C334="","",IFERROR(J334/L334,0))</f>
        <v/>
      </c>
      <c r="P334" s="22" t="str">
        <f aca="false">IF(C334="","",IFERROR(L334/J334,0))</f>
        <v/>
      </c>
      <c r="Q334" s="34"/>
      <c r="R334" s="4" t="str">
        <f aca="false">IF(C334="","",B334&amp;" | "&amp;C334&amp;" | "&amp;D334)</f>
        <v/>
      </c>
      <c r="S334" s="4" t="str">
        <f aca="false">IF(C334="","",R334&amp;"#"&amp;A334)</f>
        <v/>
      </c>
    </row>
    <row r="335" customFormat="false" ht="15" hidden="false" customHeight="false" outlineLevel="0" collapsed="false">
      <c r="A335" s="33"/>
      <c r="B335" s="34"/>
      <c r="C335" s="34"/>
      <c r="D335" s="34"/>
      <c r="E335" s="34"/>
      <c r="F335" s="34"/>
      <c r="G335" s="7"/>
      <c r="H335" s="35"/>
      <c r="I335" s="35"/>
      <c r="J335" s="7"/>
      <c r="K335" s="35"/>
      <c r="L335" s="7"/>
      <c r="M335" s="21" t="str">
        <f aca="false">IF(C335="","",IFERROR(I335/H335,0))</f>
        <v/>
      </c>
      <c r="N335" s="9" t="str">
        <f aca="false">IF(C335="","",IFERROR(J335/I335,0))</f>
        <v/>
      </c>
      <c r="O335" s="21" t="str">
        <f aca="false">IF(C335="","",IFERROR(J335/L335,0))</f>
        <v/>
      </c>
      <c r="P335" s="22" t="str">
        <f aca="false">IF(C335="","",IFERROR(L335/J335,0))</f>
        <v/>
      </c>
      <c r="Q335" s="34"/>
      <c r="R335" s="4" t="str">
        <f aca="false">IF(C335="","",B335&amp;" | "&amp;C335&amp;" | "&amp;D335)</f>
        <v/>
      </c>
      <c r="S335" s="4" t="str">
        <f aca="false">IF(C335="","",R335&amp;"#"&amp;A335)</f>
        <v/>
      </c>
    </row>
    <row r="336" customFormat="false" ht="15" hidden="false" customHeight="false" outlineLevel="0" collapsed="false">
      <c r="A336" s="33"/>
      <c r="B336" s="34"/>
      <c r="C336" s="34"/>
      <c r="D336" s="34"/>
      <c r="E336" s="34"/>
      <c r="F336" s="34"/>
      <c r="G336" s="7"/>
      <c r="H336" s="35"/>
      <c r="I336" s="35"/>
      <c r="J336" s="7"/>
      <c r="K336" s="35"/>
      <c r="L336" s="7"/>
      <c r="M336" s="21" t="str">
        <f aca="false">IF(C336="","",IFERROR(I336/H336,0))</f>
        <v/>
      </c>
      <c r="N336" s="9" t="str">
        <f aca="false">IF(C336="","",IFERROR(J336/I336,0))</f>
        <v/>
      </c>
      <c r="O336" s="21" t="str">
        <f aca="false">IF(C336="","",IFERROR(J336/L336,0))</f>
        <v/>
      </c>
      <c r="P336" s="22" t="str">
        <f aca="false">IF(C336="","",IFERROR(L336/J336,0))</f>
        <v/>
      </c>
      <c r="Q336" s="34"/>
      <c r="R336" s="4" t="str">
        <f aca="false">IF(C336="","",B336&amp;" | "&amp;C336&amp;" | "&amp;D336)</f>
        <v/>
      </c>
      <c r="S336" s="4" t="str">
        <f aca="false">IF(C336="","",R336&amp;"#"&amp;A336)</f>
        <v/>
      </c>
    </row>
    <row r="337" customFormat="false" ht="15" hidden="false" customHeight="false" outlineLevel="0" collapsed="false">
      <c r="A337" s="33"/>
      <c r="B337" s="34"/>
      <c r="C337" s="34"/>
      <c r="D337" s="34"/>
      <c r="E337" s="34"/>
      <c r="F337" s="34"/>
      <c r="G337" s="7"/>
      <c r="H337" s="35"/>
      <c r="I337" s="35"/>
      <c r="J337" s="7"/>
      <c r="K337" s="35"/>
      <c r="L337" s="7"/>
      <c r="M337" s="21" t="str">
        <f aca="false">IF(C337="","",IFERROR(I337/H337,0))</f>
        <v/>
      </c>
      <c r="N337" s="9" t="str">
        <f aca="false">IF(C337="","",IFERROR(J337/I337,0))</f>
        <v/>
      </c>
      <c r="O337" s="21" t="str">
        <f aca="false">IF(C337="","",IFERROR(J337/L337,0))</f>
        <v/>
      </c>
      <c r="P337" s="22" t="str">
        <f aca="false">IF(C337="","",IFERROR(L337/J337,0))</f>
        <v/>
      </c>
      <c r="Q337" s="34"/>
      <c r="R337" s="4" t="str">
        <f aca="false">IF(C337="","",B337&amp;" | "&amp;C337&amp;" | "&amp;D337)</f>
        <v/>
      </c>
      <c r="S337" s="4" t="str">
        <f aca="false">IF(C337="","",R337&amp;"#"&amp;A337)</f>
        <v/>
      </c>
    </row>
    <row r="338" customFormat="false" ht="15" hidden="false" customHeight="false" outlineLevel="0" collapsed="false">
      <c r="A338" s="33"/>
      <c r="B338" s="34"/>
      <c r="C338" s="34"/>
      <c r="D338" s="34"/>
      <c r="E338" s="34"/>
      <c r="F338" s="34"/>
      <c r="G338" s="7"/>
      <c r="H338" s="35"/>
      <c r="I338" s="35"/>
      <c r="J338" s="7"/>
      <c r="K338" s="35"/>
      <c r="L338" s="7"/>
      <c r="M338" s="21" t="str">
        <f aca="false">IF(C338="","",IFERROR(I338/H338,0))</f>
        <v/>
      </c>
      <c r="N338" s="9" t="str">
        <f aca="false">IF(C338="","",IFERROR(J338/I338,0))</f>
        <v/>
      </c>
      <c r="O338" s="21" t="str">
        <f aca="false">IF(C338="","",IFERROR(J338/L338,0))</f>
        <v/>
      </c>
      <c r="P338" s="22" t="str">
        <f aca="false">IF(C338="","",IFERROR(L338/J338,0))</f>
        <v/>
      </c>
      <c r="Q338" s="34"/>
      <c r="R338" s="4" t="str">
        <f aca="false">IF(C338="","",B338&amp;" | "&amp;C338&amp;" | "&amp;D338)</f>
        <v/>
      </c>
      <c r="S338" s="4" t="str">
        <f aca="false">IF(C338="","",R338&amp;"#"&amp;A338)</f>
        <v/>
      </c>
    </row>
    <row r="339" customFormat="false" ht="15" hidden="false" customHeight="false" outlineLevel="0" collapsed="false">
      <c r="A339" s="33"/>
      <c r="B339" s="34"/>
      <c r="C339" s="34"/>
      <c r="D339" s="34"/>
      <c r="E339" s="34"/>
      <c r="F339" s="34"/>
      <c r="G339" s="7"/>
      <c r="H339" s="35"/>
      <c r="I339" s="35"/>
      <c r="J339" s="7"/>
      <c r="K339" s="35"/>
      <c r="L339" s="7"/>
      <c r="M339" s="21" t="str">
        <f aca="false">IF(C339="","",IFERROR(I339/H339,0))</f>
        <v/>
      </c>
      <c r="N339" s="9" t="str">
        <f aca="false">IF(C339="","",IFERROR(J339/I339,0))</f>
        <v/>
      </c>
      <c r="O339" s="21" t="str">
        <f aca="false">IF(C339="","",IFERROR(J339/L339,0))</f>
        <v/>
      </c>
      <c r="P339" s="22" t="str">
        <f aca="false">IF(C339="","",IFERROR(L339/J339,0))</f>
        <v/>
      </c>
      <c r="Q339" s="34"/>
      <c r="R339" s="4" t="str">
        <f aca="false">IF(C339="","",B339&amp;" | "&amp;C339&amp;" | "&amp;D339)</f>
        <v/>
      </c>
      <c r="S339" s="4" t="str">
        <f aca="false">IF(C339="","",R339&amp;"#"&amp;A339)</f>
        <v/>
      </c>
    </row>
    <row r="340" customFormat="false" ht="15" hidden="false" customHeight="false" outlineLevel="0" collapsed="false">
      <c r="A340" s="33"/>
      <c r="B340" s="34"/>
      <c r="C340" s="34"/>
      <c r="D340" s="34"/>
      <c r="E340" s="34"/>
      <c r="F340" s="34"/>
      <c r="G340" s="7"/>
      <c r="H340" s="35"/>
      <c r="I340" s="35"/>
      <c r="J340" s="7"/>
      <c r="K340" s="35"/>
      <c r="L340" s="7"/>
      <c r="M340" s="21" t="str">
        <f aca="false">IF(C340="","",IFERROR(I340/H340,0))</f>
        <v/>
      </c>
      <c r="N340" s="9" t="str">
        <f aca="false">IF(C340="","",IFERROR(J340/I340,0))</f>
        <v/>
      </c>
      <c r="O340" s="21" t="str">
        <f aca="false">IF(C340="","",IFERROR(J340/L340,0))</f>
        <v/>
      </c>
      <c r="P340" s="22" t="str">
        <f aca="false">IF(C340="","",IFERROR(L340/J340,0))</f>
        <v/>
      </c>
      <c r="Q340" s="34"/>
      <c r="R340" s="4" t="str">
        <f aca="false">IF(C340="","",B340&amp;" | "&amp;C340&amp;" | "&amp;D340)</f>
        <v/>
      </c>
      <c r="S340" s="4" t="str">
        <f aca="false">IF(C340="","",R340&amp;"#"&amp;A340)</f>
        <v/>
      </c>
    </row>
    <row r="341" customFormat="false" ht="15" hidden="false" customHeight="false" outlineLevel="0" collapsed="false">
      <c r="A341" s="33"/>
      <c r="B341" s="34"/>
      <c r="C341" s="34"/>
      <c r="D341" s="34"/>
      <c r="E341" s="34"/>
      <c r="F341" s="34"/>
      <c r="G341" s="7"/>
      <c r="H341" s="35"/>
      <c r="I341" s="35"/>
      <c r="J341" s="7"/>
      <c r="K341" s="35"/>
      <c r="L341" s="7"/>
      <c r="M341" s="21" t="str">
        <f aca="false">IF(C341="","",IFERROR(I341/H341,0))</f>
        <v/>
      </c>
      <c r="N341" s="9" t="str">
        <f aca="false">IF(C341="","",IFERROR(J341/I341,0))</f>
        <v/>
      </c>
      <c r="O341" s="21" t="str">
        <f aca="false">IF(C341="","",IFERROR(J341/L341,0))</f>
        <v/>
      </c>
      <c r="P341" s="22" t="str">
        <f aca="false">IF(C341="","",IFERROR(L341/J341,0))</f>
        <v/>
      </c>
      <c r="Q341" s="34"/>
      <c r="R341" s="4" t="str">
        <f aca="false">IF(C341="","",B341&amp;" | "&amp;C341&amp;" | "&amp;D341)</f>
        <v/>
      </c>
      <c r="S341" s="4" t="str">
        <f aca="false">IF(C341="","",R341&amp;"#"&amp;A341)</f>
        <v/>
      </c>
    </row>
    <row r="342" customFormat="false" ht="15" hidden="false" customHeight="false" outlineLevel="0" collapsed="false">
      <c r="A342" s="33"/>
      <c r="B342" s="34"/>
      <c r="C342" s="34"/>
      <c r="D342" s="34"/>
      <c r="E342" s="34"/>
      <c r="F342" s="34"/>
      <c r="G342" s="7"/>
      <c r="H342" s="35"/>
      <c r="I342" s="35"/>
      <c r="J342" s="7"/>
      <c r="K342" s="35"/>
      <c r="L342" s="7"/>
      <c r="M342" s="21" t="str">
        <f aca="false">IF(C342="","",IFERROR(I342/H342,0))</f>
        <v/>
      </c>
      <c r="N342" s="9" t="str">
        <f aca="false">IF(C342="","",IFERROR(J342/I342,0))</f>
        <v/>
      </c>
      <c r="O342" s="21" t="str">
        <f aca="false">IF(C342="","",IFERROR(J342/L342,0))</f>
        <v/>
      </c>
      <c r="P342" s="22" t="str">
        <f aca="false">IF(C342="","",IFERROR(L342/J342,0))</f>
        <v/>
      </c>
      <c r="Q342" s="34"/>
      <c r="R342" s="4" t="str">
        <f aca="false">IF(C342="","",B342&amp;" | "&amp;C342&amp;" | "&amp;D342)</f>
        <v/>
      </c>
      <c r="S342" s="4" t="str">
        <f aca="false">IF(C342="","",R342&amp;"#"&amp;A342)</f>
        <v/>
      </c>
    </row>
    <row r="343" customFormat="false" ht="15" hidden="false" customHeight="false" outlineLevel="0" collapsed="false">
      <c r="A343" s="33"/>
      <c r="B343" s="34"/>
      <c r="C343" s="34"/>
      <c r="D343" s="34"/>
      <c r="E343" s="34"/>
      <c r="F343" s="34"/>
      <c r="G343" s="7"/>
      <c r="H343" s="35"/>
      <c r="I343" s="35"/>
      <c r="J343" s="7"/>
      <c r="K343" s="35"/>
      <c r="L343" s="7"/>
      <c r="M343" s="21" t="str">
        <f aca="false">IF(C343="","",IFERROR(I343/H343,0))</f>
        <v/>
      </c>
      <c r="N343" s="9" t="str">
        <f aca="false">IF(C343="","",IFERROR(J343/I343,0))</f>
        <v/>
      </c>
      <c r="O343" s="21" t="str">
        <f aca="false">IF(C343="","",IFERROR(J343/L343,0))</f>
        <v/>
      </c>
      <c r="P343" s="22" t="str">
        <f aca="false">IF(C343="","",IFERROR(L343/J343,0))</f>
        <v/>
      </c>
      <c r="Q343" s="34"/>
      <c r="R343" s="4" t="str">
        <f aca="false">IF(C343="","",B343&amp;" | "&amp;C343&amp;" | "&amp;D343)</f>
        <v/>
      </c>
      <c r="S343" s="4" t="str">
        <f aca="false">IF(C343="","",R343&amp;"#"&amp;A343)</f>
        <v/>
      </c>
    </row>
    <row r="344" customFormat="false" ht="15" hidden="false" customHeight="false" outlineLevel="0" collapsed="false">
      <c r="A344" s="33"/>
      <c r="B344" s="34"/>
      <c r="C344" s="34"/>
      <c r="D344" s="34"/>
      <c r="E344" s="34"/>
      <c r="F344" s="34"/>
      <c r="G344" s="7"/>
      <c r="H344" s="35"/>
      <c r="I344" s="35"/>
      <c r="J344" s="7"/>
      <c r="K344" s="35"/>
      <c r="L344" s="7"/>
      <c r="M344" s="21" t="str">
        <f aca="false">IF(C344="","",IFERROR(I344/H344,0))</f>
        <v/>
      </c>
      <c r="N344" s="9" t="str">
        <f aca="false">IF(C344="","",IFERROR(J344/I344,0))</f>
        <v/>
      </c>
      <c r="O344" s="21" t="str">
        <f aca="false">IF(C344="","",IFERROR(J344/L344,0))</f>
        <v/>
      </c>
      <c r="P344" s="22" t="str">
        <f aca="false">IF(C344="","",IFERROR(L344/J344,0))</f>
        <v/>
      </c>
      <c r="Q344" s="34"/>
      <c r="R344" s="4" t="str">
        <f aca="false">IF(C344="","",B344&amp;" | "&amp;C344&amp;" | "&amp;D344)</f>
        <v/>
      </c>
      <c r="S344" s="4" t="str">
        <f aca="false">IF(C344="","",R344&amp;"#"&amp;A344)</f>
        <v/>
      </c>
    </row>
    <row r="345" customFormat="false" ht="15" hidden="false" customHeight="false" outlineLevel="0" collapsed="false">
      <c r="A345" s="33"/>
      <c r="B345" s="34"/>
      <c r="C345" s="34"/>
      <c r="D345" s="34"/>
      <c r="E345" s="34"/>
      <c r="F345" s="34"/>
      <c r="G345" s="7"/>
      <c r="H345" s="35"/>
      <c r="I345" s="35"/>
      <c r="J345" s="7"/>
      <c r="K345" s="35"/>
      <c r="L345" s="7"/>
      <c r="M345" s="21" t="str">
        <f aca="false">IF(C345="","",IFERROR(I345/H345,0))</f>
        <v/>
      </c>
      <c r="N345" s="9" t="str">
        <f aca="false">IF(C345="","",IFERROR(J345/I345,0))</f>
        <v/>
      </c>
      <c r="O345" s="21" t="str">
        <f aca="false">IF(C345="","",IFERROR(J345/L345,0))</f>
        <v/>
      </c>
      <c r="P345" s="22" t="str">
        <f aca="false">IF(C345="","",IFERROR(L345/J345,0))</f>
        <v/>
      </c>
      <c r="Q345" s="34"/>
      <c r="R345" s="4" t="str">
        <f aca="false">IF(C345="","",B345&amp;" | "&amp;C345&amp;" | "&amp;D345)</f>
        <v/>
      </c>
      <c r="S345" s="4" t="str">
        <f aca="false">IF(C345="","",R345&amp;"#"&amp;A345)</f>
        <v/>
      </c>
    </row>
    <row r="346" customFormat="false" ht="15" hidden="false" customHeight="false" outlineLevel="0" collapsed="false">
      <c r="A346" s="33"/>
      <c r="B346" s="34"/>
      <c r="C346" s="34"/>
      <c r="D346" s="34"/>
      <c r="E346" s="34"/>
      <c r="F346" s="34"/>
      <c r="G346" s="7"/>
      <c r="H346" s="35"/>
      <c r="I346" s="35"/>
      <c r="J346" s="7"/>
      <c r="K346" s="35"/>
      <c r="L346" s="7"/>
      <c r="M346" s="21" t="str">
        <f aca="false">IF(C346="","",IFERROR(I346/H346,0))</f>
        <v/>
      </c>
      <c r="N346" s="9" t="str">
        <f aca="false">IF(C346="","",IFERROR(J346/I346,0))</f>
        <v/>
      </c>
      <c r="O346" s="21" t="str">
        <f aca="false">IF(C346="","",IFERROR(J346/L346,0))</f>
        <v/>
      </c>
      <c r="P346" s="22" t="str">
        <f aca="false">IF(C346="","",IFERROR(L346/J346,0))</f>
        <v/>
      </c>
      <c r="Q346" s="34"/>
      <c r="R346" s="4" t="str">
        <f aca="false">IF(C346="","",B346&amp;" | "&amp;C346&amp;" | "&amp;D346)</f>
        <v/>
      </c>
      <c r="S346" s="4" t="str">
        <f aca="false">IF(C346="","",R346&amp;"#"&amp;A346)</f>
        <v/>
      </c>
    </row>
    <row r="347" customFormat="false" ht="15" hidden="false" customHeight="false" outlineLevel="0" collapsed="false">
      <c r="A347" s="33"/>
      <c r="B347" s="34"/>
      <c r="C347" s="34"/>
      <c r="D347" s="34"/>
      <c r="E347" s="34"/>
      <c r="F347" s="34"/>
      <c r="G347" s="7"/>
      <c r="H347" s="35"/>
      <c r="I347" s="35"/>
      <c r="J347" s="7"/>
      <c r="K347" s="35"/>
      <c r="L347" s="7"/>
      <c r="M347" s="21" t="str">
        <f aca="false">IF(C347="","",IFERROR(I347/H347,0))</f>
        <v/>
      </c>
      <c r="N347" s="9" t="str">
        <f aca="false">IF(C347="","",IFERROR(J347/I347,0))</f>
        <v/>
      </c>
      <c r="O347" s="21" t="str">
        <f aca="false">IF(C347="","",IFERROR(J347/L347,0))</f>
        <v/>
      </c>
      <c r="P347" s="22" t="str">
        <f aca="false">IF(C347="","",IFERROR(L347/J347,0))</f>
        <v/>
      </c>
      <c r="Q347" s="34"/>
      <c r="R347" s="4" t="str">
        <f aca="false">IF(C347="","",B347&amp;" | "&amp;C347&amp;" | "&amp;D347)</f>
        <v/>
      </c>
      <c r="S347" s="4" t="str">
        <f aca="false">IF(C347="","",R347&amp;"#"&amp;A347)</f>
        <v/>
      </c>
    </row>
    <row r="348" customFormat="false" ht="15" hidden="false" customHeight="false" outlineLevel="0" collapsed="false">
      <c r="A348" s="33"/>
      <c r="B348" s="34"/>
      <c r="C348" s="34"/>
      <c r="D348" s="34"/>
      <c r="E348" s="34"/>
      <c r="F348" s="34"/>
      <c r="G348" s="7"/>
      <c r="H348" s="35"/>
      <c r="I348" s="35"/>
      <c r="J348" s="7"/>
      <c r="K348" s="35"/>
      <c r="L348" s="7"/>
      <c r="M348" s="21" t="str">
        <f aca="false">IF(C348="","",IFERROR(I348/H348,0))</f>
        <v/>
      </c>
      <c r="N348" s="9" t="str">
        <f aca="false">IF(C348="","",IFERROR(J348/I348,0))</f>
        <v/>
      </c>
      <c r="O348" s="21" t="str">
        <f aca="false">IF(C348="","",IFERROR(J348/L348,0))</f>
        <v/>
      </c>
      <c r="P348" s="22" t="str">
        <f aca="false">IF(C348="","",IFERROR(L348/J348,0))</f>
        <v/>
      </c>
      <c r="Q348" s="34"/>
      <c r="R348" s="4" t="str">
        <f aca="false">IF(C348="","",B348&amp;" | "&amp;C348&amp;" | "&amp;D348)</f>
        <v/>
      </c>
      <c r="S348" s="4" t="str">
        <f aca="false">IF(C348="","",R348&amp;"#"&amp;A348)</f>
        <v/>
      </c>
    </row>
    <row r="349" customFormat="false" ht="15" hidden="false" customHeight="false" outlineLevel="0" collapsed="false">
      <c r="A349" s="33"/>
      <c r="B349" s="34"/>
      <c r="C349" s="34"/>
      <c r="D349" s="34"/>
      <c r="E349" s="34"/>
      <c r="F349" s="34"/>
      <c r="G349" s="7"/>
      <c r="H349" s="35"/>
      <c r="I349" s="35"/>
      <c r="J349" s="7"/>
      <c r="K349" s="35"/>
      <c r="L349" s="7"/>
      <c r="M349" s="21" t="str">
        <f aca="false">IF(C349="","",IFERROR(I349/H349,0))</f>
        <v/>
      </c>
      <c r="N349" s="9" t="str">
        <f aca="false">IF(C349="","",IFERROR(J349/I349,0))</f>
        <v/>
      </c>
      <c r="O349" s="21" t="str">
        <f aca="false">IF(C349="","",IFERROR(J349/L349,0))</f>
        <v/>
      </c>
      <c r="P349" s="22" t="str">
        <f aca="false">IF(C349="","",IFERROR(L349/J349,0))</f>
        <v/>
      </c>
      <c r="Q349" s="34"/>
      <c r="R349" s="4" t="str">
        <f aca="false">IF(C349="","",B349&amp;" | "&amp;C349&amp;" | "&amp;D349)</f>
        <v/>
      </c>
      <c r="S349" s="4" t="str">
        <f aca="false">IF(C349="","",R349&amp;"#"&amp;A349)</f>
        <v/>
      </c>
    </row>
    <row r="350" customFormat="false" ht="15" hidden="false" customHeight="false" outlineLevel="0" collapsed="false">
      <c r="A350" s="33"/>
      <c r="B350" s="34"/>
      <c r="C350" s="34"/>
      <c r="D350" s="34"/>
      <c r="E350" s="34"/>
      <c r="F350" s="34"/>
      <c r="G350" s="7"/>
      <c r="H350" s="35"/>
      <c r="I350" s="35"/>
      <c r="J350" s="7"/>
      <c r="K350" s="35"/>
      <c r="L350" s="7"/>
      <c r="M350" s="21" t="str">
        <f aca="false">IF(C350="","",IFERROR(I350/H350,0))</f>
        <v/>
      </c>
      <c r="N350" s="9" t="str">
        <f aca="false">IF(C350="","",IFERROR(J350/I350,0))</f>
        <v/>
      </c>
      <c r="O350" s="21" t="str">
        <f aca="false">IF(C350="","",IFERROR(J350/L350,0))</f>
        <v/>
      </c>
      <c r="P350" s="22" t="str">
        <f aca="false">IF(C350="","",IFERROR(L350/J350,0))</f>
        <v/>
      </c>
      <c r="Q350" s="34"/>
      <c r="R350" s="4" t="str">
        <f aca="false">IF(C350="","",B350&amp;" | "&amp;C350&amp;" | "&amp;D350)</f>
        <v/>
      </c>
      <c r="S350" s="4" t="str">
        <f aca="false">IF(C350="","",R350&amp;"#"&amp;A350)</f>
        <v/>
      </c>
    </row>
    <row r="351" customFormat="false" ht="15" hidden="false" customHeight="false" outlineLevel="0" collapsed="false">
      <c r="A351" s="33"/>
      <c r="B351" s="34"/>
      <c r="C351" s="34"/>
      <c r="D351" s="34"/>
      <c r="E351" s="34"/>
      <c r="F351" s="34"/>
      <c r="G351" s="7"/>
      <c r="H351" s="35"/>
      <c r="I351" s="35"/>
      <c r="J351" s="7"/>
      <c r="K351" s="35"/>
      <c r="L351" s="7"/>
      <c r="M351" s="21" t="str">
        <f aca="false">IF(C351="","",IFERROR(I351/H351,0))</f>
        <v/>
      </c>
      <c r="N351" s="9" t="str">
        <f aca="false">IF(C351="","",IFERROR(J351/I351,0))</f>
        <v/>
      </c>
      <c r="O351" s="21" t="str">
        <f aca="false">IF(C351="","",IFERROR(J351/L351,0))</f>
        <v/>
      </c>
      <c r="P351" s="22" t="str">
        <f aca="false">IF(C351="","",IFERROR(L351/J351,0))</f>
        <v/>
      </c>
      <c r="Q351" s="34"/>
      <c r="R351" s="4" t="str">
        <f aca="false">IF(C351="","",B351&amp;" | "&amp;C351&amp;" | "&amp;D351)</f>
        <v/>
      </c>
      <c r="S351" s="4" t="str">
        <f aca="false">IF(C351="","",R351&amp;"#"&amp;A351)</f>
        <v/>
      </c>
    </row>
    <row r="352" customFormat="false" ht="15" hidden="false" customHeight="false" outlineLevel="0" collapsed="false">
      <c r="A352" s="33"/>
      <c r="B352" s="34"/>
      <c r="C352" s="34"/>
      <c r="D352" s="34"/>
      <c r="E352" s="34"/>
      <c r="F352" s="34"/>
      <c r="G352" s="7"/>
      <c r="H352" s="35"/>
      <c r="I352" s="35"/>
      <c r="J352" s="7"/>
      <c r="K352" s="35"/>
      <c r="L352" s="7"/>
      <c r="M352" s="21" t="str">
        <f aca="false">IF(C352="","",IFERROR(I352/H352,0))</f>
        <v/>
      </c>
      <c r="N352" s="9" t="str">
        <f aca="false">IF(C352="","",IFERROR(J352/I352,0))</f>
        <v/>
      </c>
      <c r="O352" s="21" t="str">
        <f aca="false">IF(C352="","",IFERROR(J352/L352,0))</f>
        <v/>
      </c>
      <c r="P352" s="22" t="str">
        <f aca="false">IF(C352="","",IFERROR(L352/J352,0))</f>
        <v/>
      </c>
      <c r="Q352" s="34"/>
      <c r="R352" s="4" t="str">
        <f aca="false">IF(C352="","",B352&amp;" | "&amp;C352&amp;" | "&amp;D352)</f>
        <v/>
      </c>
      <c r="S352" s="4" t="str">
        <f aca="false">IF(C352="","",R352&amp;"#"&amp;A352)</f>
        <v/>
      </c>
    </row>
    <row r="353" customFormat="false" ht="15" hidden="false" customHeight="false" outlineLevel="0" collapsed="false">
      <c r="A353" s="33"/>
      <c r="B353" s="34"/>
      <c r="C353" s="34"/>
      <c r="D353" s="34"/>
      <c r="E353" s="34"/>
      <c r="F353" s="34"/>
      <c r="G353" s="7"/>
      <c r="H353" s="35"/>
      <c r="I353" s="35"/>
      <c r="J353" s="7"/>
      <c r="K353" s="35"/>
      <c r="L353" s="7"/>
      <c r="M353" s="21" t="str">
        <f aca="false">IF(C353="","",IFERROR(I353/H353,0))</f>
        <v/>
      </c>
      <c r="N353" s="9" t="str">
        <f aca="false">IF(C353="","",IFERROR(J353/I353,0))</f>
        <v/>
      </c>
      <c r="O353" s="21" t="str">
        <f aca="false">IF(C353="","",IFERROR(J353/L353,0))</f>
        <v/>
      </c>
      <c r="P353" s="22" t="str">
        <f aca="false">IF(C353="","",IFERROR(L353/J353,0))</f>
        <v/>
      </c>
      <c r="Q353" s="34"/>
      <c r="R353" s="4" t="str">
        <f aca="false">IF(C353="","",B353&amp;" | "&amp;C353&amp;" | "&amp;D353)</f>
        <v/>
      </c>
      <c r="S353" s="4" t="str">
        <f aca="false">IF(C353="","",R353&amp;"#"&amp;A353)</f>
        <v/>
      </c>
    </row>
    <row r="354" customFormat="false" ht="15" hidden="false" customHeight="false" outlineLevel="0" collapsed="false">
      <c r="A354" s="33"/>
      <c r="B354" s="34"/>
      <c r="C354" s="34"/>
      <c r="D354" s="34"/>
      <c r="E354" s="34"/>
      <c r="F354" s="34"/>
      <c r="G354" s="7"/>
      <c r="H354" s="35"/>
      <c r="I354" s="35"/>
      <c r="J354" s="7"/>
      <c r="K354" s="35"/>
      <c r="L354" s="7"/>
      <c r="M354" s="21" t="str">
        <f aca="false">IF(C354="","",IFERROR(I354/H354,0))</f>
        <v/>
      </c>
      <c r="N354" s="9" t="str">
        <f aca="false">IF(C354="","",IFERROR(J354/I354,0))</f>
        <v/>
      </c>
      <c r="O354" s="21" t="str">
        <f aca="false">IF(C354="","",IFERROR(J354/L354,0))</f>
        <v/>
      </c>
      <c r="P354" s="22" t="str">
        <f aca="false">IF(C354="","",IFERROR(L354/J354,0))</f>
        <v/>
      </c>
      <c r="Q354" s="34"/>
      <c r="R354" s="4" t="str">
        <f aca="false">IF(C354="","",B354&amp;" | "&amp;C354&amp;" | "&amp;D354)</f>
        <v/>
      </c>
      <c r="S354" s="4" t="str">
        <f aca="false">IF(C354="","",R354&amp;"#"&amp;A354)</f>
        <v/>
      </c>
    </row>
    <row r="355" customFormat="false" ht="15" hidden="false" customHeight="false" outlineLevel="0" collapsed="false">
      <c r="A355" s="33"/>
      <c r="B355" s="34"/>
      <c r="C355" s="34"/>
      <c r="D355" s="34"/>
      <c r="E355" s="34"/>
      <c r="F355" s="34"/>
      <c r="G355" s="7"/>
      <c r="H355" s="35"/>
      <c r="I355" s="35"/>
      <c r="J355" s="7"/>
      <c r="K355" s="35"/>
      <c r="L355" s="7"/>
      <c r="M355" s="21" t="str">
        <f aca="false">IF(C355="","",IFERROR(I355/H355,0))</f>
        <v/>
      </c>
      <c r="N355" s="9" t="str">
        <f aca="false">IF(C355="","",IFERROR(J355/I355,0))</f>
        <v/>
      </c>
      <c r="O355" s="21" t="str">
        <f aca="false">IF(C355="","",IFERROR(J355/L355,0))</f>
        <v/>
      </c>
      <c r="P355" s="22" t="str">
        <f aca="false">IF(C355="","",IFERROR(L355/J355,0))</f>
        <v/>
      </c>
      <c r="Q355" s="34"/>
      <c r="R355" s="4" t="str">
        <f aca="false">IF(C355="","",B355&amp;" | "&amp;C355&amp;" | "&amp;D355)</f>
        <v/>
      </c>
      <c r="S355" s="4" t="str">
        <f aca="false">IF(C355="","",R355&amp;"#"&amp;A355)</f>
        <v/>
      </c>
    </row>
    <row r="356" customFormat="false" ht="15" hidden="false" customHeight="false" outlineLevel="0" collapsed="false">
      <c r="A356" s="33"/>
      <c r="B356" s="34"/>
      <c r="C356" s="34"/>
      <c r="D356" s="34"/>
      <c r="E356" s="34"/>
      <c r="F356" s="34"/>
      <c r="G356" s="7"/>
      <c r="H356" s="35"/>
      <c r="I356" s="35"/>
      <c r="J356" s="7"/>
      <c r="K356" s="35"/>
      <c r="L356" s="7"/>
      <c r="M356" s="21" t="str">
        <f aca="false">IF(C356="","",IFERROR(I356/H356,0))</f>
        <v/>
      </c>
      <c r="N356" s="9" t="str">
        <f aca="false">IF(C356="","",IFERROR(J356/I356,0))</f>
        <v/>
      </c>
      <c r="O356" s="21" t="str">
        <f aca="false">IF(C356="","",IFERROR(J356/L356,0))</f>
        <v/>
      </c>
      <c r="P356" s="22" t="str">
        <f aca="false">IF(C356="","",IFERROR(L356/J356,0))</f>
        <v/>
      </c>
      <c r="Q356" s="34"/>
      <c r="R356" s="4" t="str">
        <f aca="false">IF(C356="","",B356&amp;" | "&amp;C356&amp;" | "&amp;D356)</f>
        <v/>
      </c>
      <c r="S356" s="4" t="str">
        <f aca="false">IF(C356="","",R356&amp;"#"&amp;A356)</f>
        <v/>
      </c>
    </row>
    <row r="357" customFormat="false" ht="15" hidden="false" customHeight="false" outlineLevel="0" collapsed="false">
      <c r="A357" s="33"/>
      <c r="B357" s="34"/>
      <c r="C357" s="34"/>
      <c r="D357" s="34"/>
      <c r="E357" s="34"/>
      <c r="F357" s="34"/>
      <c r="G357" s="7"/>
      <c r="H357" s="35"/>
      <c r="I357" s="35"/>
      <c r="J357" s="7"/>
      <c r="K357" s="35"/>
      <c r="L357" s="7"/>
      <c r="M357" s="21" t="str">
        <f aca="false">IF(C357="","",IFERROR(I357/H357,0))</f>
        <v/>
      </c>
      <c r="N357" s="9" t="str">
        <f aca="false">IF(C357="","",IFERROR(J357/I357,0))</f>
        <v/>
      </c>
      <c r="O357" s="21" t="str">
        <f aca="false">IF(C357="","",IFERROR(J357/L357,0))</f>
        <v/>
      </c>
      <c r="P357" s="22" t="str">
        <f aca="false">IF(C357="","",IFERROR(L357/J357,0))</f>
        <v/>
      </c>
      <c r="Q357" s="34"/>
      <c r="R357" s="4" t="str">
        <f aca="false">IF(C357="","",B357&amp;" | "&amp;C357&amp;" | "&amp;D357)</f>
        <v/>
      </c>
      <c r="S357" s="4" t="str">
        <f aca="false">IF(C357="","",R357&amp;"#"&amp;A357)</f>
        <v/>
      </c>
    </row>
    <row r="358" customFormat="false" ht="15" hidden="false" customHeight="false" outlineLevel="0" collapsed="false">
      <c r="A358" s="33"/>
      <c r="B358" s="34"/>
      <c r="C358" s="34"/>
      <c r="D358" s="34"/>
      <c r="E358" s="34"/>
      <c r="F358" s="34"/>
      <c r="G358" s="7"/>
      <c r="H358" s="35"/>
      <c r="I358" s="35"/>
      <c r="J358" s="7"/>
      <c r="K358" s="35"/>
      <c r="L358" s="7"/>
      <c r="M358" s="21" t="str">
        <f aca="false">IF(C358="","",IFERROR(I358/H358,0))</f>
        <v/>
      </c>
      <c r="N358" s="9" t="str">
        <f aca="false">IF(C358="","",IFERROR(J358/I358,0))</f>
        <v/>
      </c>
      <c r="O358" s="21" t="str">
        <f aca="false">IF(C358="","",IFERROR(J358/L358,0))</f>
        <v/>
      </c>
      <c r="P358" s="22" t="str">
        <f aca="false">IF(C358="","",IFERROR(L358/J358,0))</f>
        <v/>
      </c>
      <c r="Q358" s="34"/>
      <c r="R358" s="4" t="str">
        <f aca="false">IF(C358="","",B358&amp;" | "&amp;C358&amp;" | "&amp;D358)</f>
        <v/>
      </c>
      <c r="S358" s="4" t="str">
        <f aca="false">IF(C358="","",R358&amp;"#"&amp;A358)</f>
        <v/>
      </c>
    </row>
    <row r="359" customFormat="false" ht="15" hidden="false" customHeight="false" outlineLevel="0" collapsed="false">
      <c r="A359" s="33"/>
      <c r="B359" s="34"/>
      <c r="C359" s="34"/>
      <c r="D359" s="34"/>
      <c r="E359" s="34"/>
      <c r="F359" s="34"/>
      <c r="G359" s="7"/>
      <c r="H359" s="35"/>
      <c r="I359" s="35"/>
      <c r="J359" s="7"/>
      <c r="K359" s="35"/>
      <c r="L359" s="7"/>
      <c r="M359" s="21" t="str">
        <f aca="false">IF(C359="","",IFERROR(I359/H359,0))</f>
        <v/>
      </c>
      <c r="N359" s="9" t="str">
        <f aca="false">IF(C359="","",IFERROR(J359/I359,0))</f>
        <v/>
      </c>
      <c r="O359" s="21" t="str">
        <f aca="false">IF(C359="","",IFERROR(J359/L359,0))</f>
        <v/>
      </c>
      <c r="P359" s="22" t="str">
        <f aca="false">IF(C359="","",IFERROR(L359/J359,0))</f>
        <v/>
      </c>
      <c r="Q359" s="34"/>
      <c r="R359" s="4" t="str">
        <f aca="false">IF(C359="","",B359&amp;" | "&amp;C359&amp;" | "&amp;D359)</f>
        <v/>
      </c>
      <c r="S359" s="4" t="str">
        <f aca="false">IF(C359="","",R359&amp;"#"&amp;A359)</f>
        <v/>
      </c>
    </row>
    <row r="360" customFormat="false" ht="15" hidden="false" customHeight="false" outlineLevel="0" collapsed="false">
      <c r="A360" s="33"/>
      <c r="B360" s="34"/>
      <c r="C360" s="34"/>
      <c r="D360" s="34"/>
      <c r="E360" s="34"/>
      <c r="F360" s="34"/>
      <c r="G360" s="7"/>
      <c r="H360" s="35"/>
      <c r="I360" s="35"/>
      <c r="J360" s="7"/>
      <c r="K360" s="35"/>
      <c r="L360" s="7"/>
      <c r="M360" s="21" t="str">
        <f aca="false">IF(C360="","",IFERROR(I360/H360,0))</f>
        <v/>
      </c>
      <c r="N360" s="9" t="str">
        <f aca="false">IF(C360="","",IFERROR(J360/I360,0))</f>
        <v/>
      </c>
      <c r="O360" s="21" t="str">
        <f aca="false">IF(C360="","",IFERROR(J360/L360,0))</f>
        <v/>
      </c>
      <c r="P360" s="22" t="str">
        <f aca="false">IF(C360="","",IFERROR(L360/J360,0))</f>
        <v/>
      </c>
      <c r="Q360" s="34"/>
      <c r="R360" s="4" t="str">
        <f aca="false">IF(C360="","",B360&amp;" | "&amp;C360&amp;" | "&amp;D360)</f>
        <v/>
      </c>
      <c r="S360" s="4" t="str">
        <f aca="false">IF(C360="","",R360&amp;"#"&amp;A360)</f>
        <v/>
      </c>
    </row>
    <row r="361" customFormat="false" ht="15" hidden="false" customHeight="false" outlineLevel="0" collapsed="false">
      <c r="A361" s="33"/>
      <c r="B361" s="34"/>
      <c r="C361" s="34"/>
      <c r="D361" s="34"/>
      <c r="E361" s="34"/>
      <c r="F361" s="34"/>
      <c r="G361" s="7"/>
      <c r="H361" s="35"/>
      <c r="I361" s="35"/>
      <c r="J361" s="7"/>
      <c r="K361" s="35"/>
      <c r="L361" s="7"/>
      <c r="M361" s="21" t="str">
        <f aca="false">IF(C361="","",IFERROR(I361/H361,0))</f>
        <v/>
      </c>
      <c r="N361" s="9" t="str">
        <f aca="false">IF(C361="","",IFERROR(J361/I361,0))</f>
        <v/>
      </c>
      <c r="O361" s="21" t="str">
        <f aca="false">IF(C361="","",IFERROR(J361/L361,0))</f>
        <v/>
      </c>
      <c r="P361" s="22" t="str">
        <f aca="false">IF(C361="","",IFERROR(L361/J361,0))</f>
        <v/>
      </c>
      <c r="Q361" s="34"/>
      <c r="R361" s="4" t="str">
        <f aca="false">IF(C361="","",B361&amp;" | "&amp;C361&amp;" | "&amp;D361)</f>
        <v/>
      </c>
      <c r="S361" s="4" t="str">
        <f aca="false">IF(C361="","",R361&amp;"#"&amp;A361)</f>
        <v/>
      </c>
    </row>
    <row r="362" customFormat="false" ht="15" hidden="false" customHeight="false" outlineLevel="0" collapsed="false">
      <c r="A362" s="33"/>
      <c r="B362" s="34"/>
      <c r="C362" s="34"/>
      <c r="D362" s="34"/>
      <c r="E362" s="34"/>
      <c r="F362" s="34"/>
      <c r="G362" s="7"/>
      <c r="H362" s="35"/>
      <c r="I362" s="35"/>
      <c r="J362" s="7"/>
      <c r="K362" s="35"/>
      <c r="L362" s="7"/>
      <c r="M362" s="21" t="str">
        <f aca="false">IF(C362="","",IFERROR(I362/H362,0))</f>
        <v/>
      </c>
      <c r="N362" s="9" t="str">
        <f aca="false">IF(C362="","",IFERROR(J362/I362,0))</f>
        <v/>
      </c>
      <c r="O362" s="21" t="str">
        <f aca="false">IF(C362="","",IFERROR(J362/L362,0))</f>
        <v/>
      </c>
      <c r="P362" s="22" t="str">
        <f aca="false">IF(C362="","",IFERROR(L362/J362,0))</f>
        <v/>
      </c>
      <c r="Q362" s="34"/>
      <c r="R362" s="4" t="str">
        <f aca="false">IF(C362="","",B362&amp;" | "&amp;C362&amp;" | "&amp;D362)</f>
        <v/>
      </c>
      <c r="S362" s="4" t="str">
        <f aca="false">IF(C362="","",R362&amp;"#"&amp;A362)</f>
        <v/>
      </c>
    </row>
    <row r="363" customFormat="false" ht="15" hidden="false" customHeight="false" outlineLevel="0" collapsed="false">
      <c r="A363" s="33"/>
      <c r="B363" s="34"/>
      <c r="C363" s="34"/>
      <c r="D363" s="34"/>
      <c r="E363" s="34"/>
      <c r="F363" s="34"/>
      <c r="G363" s="7"/>
      <c r="H363" s="35"/>
      <c r="I363" s="35"/>
      <c r="J363" s="7"/>
      <c r="K363" s="35"/>
      <c r="L363" s="7"/>
      <c r="M363" s="21" t="str">
        <f aca="false">IF(C363="","",IFERROR(I363/H363,0))</f>
        <v/>
      </c>
      <c r="N363" s="9" t="str">
        <f aca="false">IF(C363="","",IFERROR(J363/I363,0))</f>
        <v/>
      </c>
      <c r="O363" s="21" t="str">
        <f aca="false">IF(C363="","",IFERROR(J363/L363,0))</f>
        <v/>
      </c>
      <c r="P363" s="22" t="str">
        <f aca="false">IF(C363="","",IFERROR(L363/J363,0))</f>
        <v/>
      </c>
      <c r="Q363" s="34"/>
      <c r="R363" s="4" t="str">
        <f aca="false">IF(C363="","",B363&amp;" | "&amp;C363&amp;" | "&amp;D363)</f>
        <v/>
      </c>
      <c r="S363" s="4" t="str">
        <f aca="false">IF(C363="","",R363&amp;"#"&amp;A363)</f>
        <v/>
      </c>
    </row>
    <row r="364" customFormat="false" ht="15" hidden="false" customHeight="false" outlineLevel="0" collapsed="false">
      <c r="A364" s="33"/>
      <c r="B364" s="34"/>
      <c r="C364" s="34"/>
      <c r="D364" s="34"/>
      <c r="E364" s="34"/>
      <c r="F364" s="34"/>
      <c r="G364" s="7"/>
      <c r="H364" s="35"/>
      <c r="I364" s="35"/>
      <c r="J364" s="7"/>
      <c r="K364" s="35"/>
      <c r="L364" s="7"/>
      <c r="M364" s="21" t="str">
        <f aca="false">IF(C364="","",IFERROR(I364/H364,0))</f>
        <v/>
      </c>
      <c r="N364" s="9" t="str">
        <f aca="false">IF(C364="","",IFERROR(J364/I364,0))</f>
        <v/>
      </c>
      <c r="O364" s="21" t="str">
        <f aca="false">IF(C364="","",IFERROR(J364/L364,0))</f>
        <v/>
      </c>
      <c r="P364" s="22" t="str">
        <f aca="false">IF(C364="","",IFERROR(L364/J364,0))</f>
        <v/>
      </c>
      <c r="Q364" s="34"/>
      <c r="R364" s="4" t="str">
        <f aca="false">IF(C364="","",B364&amp;" | "&amp;C364&amp;" | "&amp;D364)</f>
        <v/>
      </c>
      <c r="S364" s="4" t="str">
        <f aca="false">IF(C364="","",R364&amp;"#"&amp;A364)</f>
        <v/>
      </c>
    </row>
    <row r="365" customFormat="false" ht="15" hidden="false" customHeight="false" outlineLevel="0" collapsed="false">
      <c r="A365" s="33"/>
      <c r="B365" s="34"/>
      <c r="C365" s="34"/>
      <c r="D365" s="34"/>
      <c r="E365" s="34"/>
      <c r="F365" s="34"/>
      <c r="G365" s="7"/>
      <c r="H365" s="35"/>
      <c r="I365" s="35"/>
      <c r="J365" s="7"/>
      <c r="K365" s="35"/>
      <c r="L365" s="7"/>
      <c r="M365" s="21" t="str">
        <f aca="false">IF(C365="","",IFERROR(I365/H365,0))</f>
        <v/>
      </c>
      <c r="N365" s="9" t="str">
        <f aca="false">IF(C365="","",IFERROR(J365/I365,0))</f>
        <v/>
      </c>
      <c r="O365" s="21" t="str">
        <f aca="false">IF(C365="","",IFERROR(J365/L365,0))</f>
        <v/>
      </c>
      <c r="P365" s="22" t="str">
        <f aca="false">IF(C365="","",IFERROR(L365/J365,0))</f>
        <v/>
      </c>
      <c r="Q365" s="34"/>
      <c r="R365" s="4" t="str">
        <f aca="false">IF(C365="","",B365&amp;" | "&amp;C365&amp;" | "&amp;D365)</f>
        <v/>
      </c>
      <c r="S365" s="4" t="str">
        <f aca="false">IF(C365="","",R365&amp;"#"&amp;A365)</f>
        <v/>
      </c>
    </row>
    <row r="366" customFormat="false" ht="15" hidden="false" customHeight="false" outlineLevel="0" collapsed="false">
      <c r="A366" s="33"/>
      <c r="B366" s="34"/>
      <c r="C366" s="34"/>
      <c r="D366" s="34"/>
      <c r="E366" s="34"/>
      <c r="F366" s="34"/>
      <c r="G366" s="7"/>
      <c r="H366" s="35"/>
      <c r="I366" s="35"/>
      <c r="J366" s="7"/>
      <c r="K366" s="35"/>
      <c r="L366" s="7"/>
      <c r="M366" s="21" t="str">
        <f aca="false">IF(C366="","",IFERROR(I366/H366,0))</f>
        <v/>
      </c>
      <c r="N366" s="9" t="str">
        <f aca="false">IF(C366="","",IFERROR(J366/I366,0))</f>
        <v/>
      </c>
      <c r="O366" s="21" t="str">
        <f aca="false">IF(C366="","",IFERROR(J366/L366,0))</f>
        <v/>
      </c>
      <c r="P366" s="22" t="str">
        <f aca="false">IF(C366="","",IFERROR(L366/J366,0))</f>
        <v/>
      </c>
      <c r="Q366" s="34"/>
      <c r="R366" s="4" t="str">
        <f aca="false">IF(C366="","",B366&amp;" | "&amp;C366&amp;" | "&amp;D366)</f>
        <v/>
      </c>
      <c r="S366" s="4" t="str">
        <f aca="false">IF(C366="","",R366&amp;"#"&amp;A366)</f>
        <v/>
      </c>
    </row>
    <row r="367" customFormat="false" ht="15" hidden="false" customHeight="false" outlineLevel="0" collapsed="false">
      <c r="A367" s="33"/>
      <c r="B367" s="34"/>
      <c r="C367" s="34"/>
      <c r="D367" s="34"/>
      <c r="E367" s="34"/>
      <c r="F367" s="34"/>
      <c r="G367" s="7"/>
      <c r="H367" s="35"/>
      <c r="I367" s="35"/>
      <c r="J367" s="7"/>
      <c r="K367" s="35"/>
      <c r="L367" s="7"/>
      <c r="M367" s="21" t="str">
        <f aca="false">IF(C367="","",IFERROR(I367/H367,0))</f>
        <v/>
      </c>
      <c r="N367" s="9" t="str">
        <f aca="false">IF(C367="","",IFERROR(J367/I367,0))</f>
        <v/>
      </c>
      <c r="O367" s="21" t="str">
        <f aca="false">IF(C367="","",IFERROR(J367/L367,0))</f>
        <v/>
      </c>
      <c r="P367" s="22" t="str">
        <f aca="false">IF(C367="","",IFERROR(L367/J367,0))</f>
        <v/>
      </c>
      <c r="Q367" s="34"/>
      <c r="R367" s="4" t="str">
        <f aca="false">IF(C367="","",B367&amp;" | "&amp;C367&amp;" | "&amp;D367)</f>
        <v/>
      </c>
      <c r="S367" s="4" t="str">
        <f aca="false">IF(C367="","",R367&amp;"#"&amp;A367)</f>
        <v/>
      </c>
    </row>
    <row r="368" customFormat="false" ht="15" hidden="false" customHeight="false" outlineLevel="0" collapsed="false">
      <c r="A368" s="33"/>
      <c r="B368" s="34"/>
      <c r="C368" s="34"/>
      <c r="D368" s="34"/>
      <c r="E368" s="34"/>
      <c r="F368" s="34"/>
      <c r="G368" s="7"/>
      <c r="H368" s="35"/>
      <c r="I368" s="35"/>
      <c r="J368" s="7"/>
      <c r="K368" s="35"/>
      <c r="L368" s="7"/>
      <c r="M368" s="21" t="str">
        <f aca="false">IF(C368="","",IFERROR(I368/H368,0))</f>
        <v/>
      </c>
      <c r="N368" s="9" t="str">
        <f aca="false">IF(C368="","",IFERROR(J368/I368,0))</f>
        <v/>
      </c>
      <c r="O368" s="21" t="str">
        <f aca="false">IF(C368="","",IFERROR(J368/L368,0))</f>
        <v/>
      </c>
      <c r="P368" s="22" t="str">
        <f aca="false">IF(C368="","",IFERROR(L368/J368,0))</f>
        <v/>
      </c>
      <c r="Q368" s="34"/>
      <c r="R368" s="4" t="str">
        <f aca="false">IF(C368="","",B368&amp;" | "&amp;C368&amp;" | "&amp;D368)</f>
        <v/>
      </c>
      <c r="S368" s="4" t="str">
        <f aca="false">IF(C368="","",R368&amp;"#"&amp;A368)</f>
        <v/>
      </c>
    </row>
    <row r="369" customFormat="false" ht="15" hidden="false" customHeight="false" outlineLevel="0" collapsed="false">
      <c r="A369" s="33"/>
      <c r="B369" s="34"/>
      <c r="C369" s="34"/>
      <c r="D369" s="34"/>
      <c r="E369" s="34"/>
      <c r="F369" s="34"/>
      <c r="G369" s="7"/>
      <c r="H369" s="35"/>
      <c r="I369" s="35"/>
      <c r="J369" s="7"/>
      <c r="K369" s="35"/>
      <c r="L369" s="7"/>
      <c r="M369" s="21" t="str">
        <f aca="false">IF(C369="","",IFERROR(I369/H369,0))</f>
        <v/>
      </c>
      <c r="N369" s="9" t="str">
        <f aca="false">IF(C369="","",IFERROR(J369/I369,0))</f>
        <v/>
      </c>
      <c r="O369" s="21" t="str">
        <f aca="false">IF(C369="","",IFERROR(J369/L369,0))</f>
        <v/>
      </c>
      <c r="P369" s="22" t="str">
        <f aca="false">IF(C369="","",IFERROR(L369/J369,0))</f>
        <v/>
      </c>
      <c r="Q369" s="34"/>
      <c r="R369" s="4" t="str">
        <f aca="false">IF(C369="","",B369&amp;" | "&amp;C369&amp;" | "&amp;D369)</f>
        <v/>
      </c>
      <c r="S369" s="4" t="str">
        <f aca="false">IF(C369="","",R369&amp;"#"&amp;A369)</f>
        <v/>
      </c>
    </row>
    <row r="370" customFormat="false" ht="15" hidden="false" customHeight="false" outlineLevel="0" collapsed="false">
      <c r="A370" s="33"/>
      <c r="B370" s="34"/>
      <c r="C370" s="34"/>
      <c r="D370" s="34"/>
      <c r="E370" s="34"/>
      <c r="F370" s="34"/>
      <c r="G370" s="7"/>
      <c r="H370" s="35"/>
      <c r="I370" s="35"/>
      <c r="J370" s="7"/>
      <c r="K370" s="35"/>
      <c r="L370" s="7"/>
      <c r="M370" s="21" t="str">
        <f aca="false">IF(C370="","",IFERROR(I370/H370,0))</f>
        <v/>
      </c>
      <c r="N370" s="9" t="str">
        <f aca="false">IF(C370="","",IFERROR(J370/I370,0))</f>
        <v/>
      </c>
      <c r="O370" s="21" t="str">
        <f aca="false">IF(C370="","",IFERROR(J370/L370,0))</f>
        <v/>
      </c>
      <c r="P370" s="22" t="str">
        <f aca="false">IF(C370="","",IFERROR(L370/J370,0))</f>
        <v/>
      </c>
      <c r="Q370" s="34"/>
      <c r="R370" s="4" t="str">
        <f aca="false">IF(C370="","",B370&amp;" | "&amp;C370&amp;" | "&amp;D370)</f>
        <v/>
      </c>
      <c r="S370" s="4" t="str">
        <f aca="false">IF(C370="","",R370&amp;"#"&amp;A370)</f>
        <v/>
      </c>
    </row>
    <row r="371" customFormat="false" ht="15" hidden="false" customHeight="false" outlineLevel="0" collapsed="false">
      <c r="A371" s="33"/>
      <c r="B371" s="34"/>
      <c r="C371" s="34"/>
      <c r="D371" s="34"/>
      <c r="E371" s="34"/>
      <c r="F371" s="34"/>
      <c r="G371" s="7"/>
      <c r="H371" s="35"/>
      <c r="I371" s="35"/>
      <c r="J371" s="7"/>
      <c r="K371" s="35"/>
      <c r="L371" s="7"/>
      <c r="M371" s="21" t="str">
        <f aca="false">IF(C371="","",IFERROR(I371/H371,0))</f>
        <v/>
      </c>
      <c r="N371" s="9" t="str">
        <f aca="false">IF(C371="","",IFERROR(J371/I371,0))</f>
        <v/>
      </c>
      <c r="O371" s="21" t="str">
        <f aca="false">IF(C371="","",IFERROR(J371/L371,0))</f>
        <v/>
      </c>
      <c r="P371" s="22" t="str">
        <f aca="false">IF(C371="","",IFERROR(L371/J371,0))</f>
        <v/>
      </c>
      <c r="Q371" s="34"/>
      <c r="R371" s="4" t="str">
        <f aca="false">IF(C371="","",B371&amp;" | "&amp;C371&amp;" | "&amp;D371)</f>
        <v/>
      </c>
      <c r="S371" s="4" t="str">
        <f aca="false">IF(C371="","",R371&amp;"#"&amp;A371)</f>
        <v/>
      </c>
    </row>
    <row r="372" customFormat="false" ht="15" hidden="false" customHeight="false" outlineLevel="0" collapsed="false">
      <c r="A372" s="33"/>
      <c r="B372" s="34"/>
      <c r="C372" s="34"/>
      <c r="D372" s="34"/>
      <c r="E372" s="34"/>
      <c r="F372" s="34"/>
      <c r="G372" s="7"/>
      <c r="H372" s="35"/>
      <c r="I372" s="35"/>
      <c r="J372" s="7"/>
      <c r="K372" s="35"/>
      <c r="L372" s="7"/>
      <c r="M372" s="21" t="str">
        <f aca="false">IF(C372="","",IFERROR(I372/H372,0))</f>
        <v/>
      </c>
      <c r="N372" s="9" t="str">
        <f aca="false">IF(C372="","",IFERROR(J372/I372,0))</f>
        <v/>
      </c>
      <c r="O372" s="21" t="str">
        <f aca="false">IF(C372="","",IFERROR(J372/L372,0))</f>
        <v/>
      </c>
      <c r="P372" s="22" t="str">
        <f aca="false">IF(C372="","",IFERROR(L372/J372,0))</f>
        <v/>
      </c>
      <c r="Q372" s="34"/>
      <c r="R372" s="4" t="str">
        <f aca="false">IF(C372="","",B372&amp;" | "&amp;C372&amp;" | "&amp;D372)</f>
        <v/>
      </c>
      <c r="S372" s="4" t="str">
        <f aca="false">IF(C372="","",R372&amp;"#"&amp;A372)</f>
        <v/>
      </c>
    </row>
    <row r="373" customFormat="false" ht="15" hidden="false" customHeight="false" outlineLevel="0" collapsed="false">
      <c r="A373" s="33"/>
      <c r="B373" s="34"/>
      <c r="C373" s="34"/>
      <c r="D373" s="34"/>
      <c r="E373" s="34"/>
      <c r="F373" s="34"/>
      <c r="G373" s="7"/>
      <c r="H373" s="35"/>
      <c r="I373" s="35"/>
      <c r="J373" s="7"/>
      <c r="K373" s="35"/>
      <c r="L373" s="7"/>
      <c r="M373" s="21" t="str">
        <f aca="false">IF(C373="","",IFERROR(I373/H373,0))</f>
        <v/>
      </c>
      <c r="N373" s="9" t="str">
        <f aca="false">IF(C373="","",IFERROR(J373/I373,0))</f>
        <v/>
      </c>
      <c r="O373" s="21" t="str">
        <f aca="false">IF(C373="","",IFERROR(J373/L373,0))</f>
        <v/>
      </c>
      <c r="P373" s="22" t="str">
        <f aca="false">IF(C373="","",IFERROR(L373/J373,0))</f>
        <v/>
      </c>
      <c r="Q373" s="34"/>
      <c r="R373" s="4" t="str">
        <f aca="false">IF(C373="","",B373&amp;" | "&amp;C373&amp;" | "&amp;D373)</f>
        <v/>
      </c>
      <c r="S373" s="4" t="str">
        <f aca="false">IF(C373="","",R373&amp;"#"&amp;A373)</f>
        <v/>
      </c>
    </row>
    <row r="374" customFormat="false" ht="15" hidden="false" customHeight="false" outlineLevel="0" collapsed="false">
      <c r="A374" s="33"/>
      <c r="B374" s="34"/>
      <c r="C374" s="34"/>
      <c r="D374" s="34"/>
      <c r="E374" s="34"/>
      <c r="F374" s="34"/>
      <c r="G374" s="7"/>
      <c r="H374" s="35"/>
      <c r="I374" s="35"/>
      <c r="J374" s="7"/>
      <c r="K374" s="35"/>
      <c r="L374" s="7"/>
      <c r="M374" s="21" t="str">
        <f aca="false">IF(C374="","",IFERROR(I374/H374,0))</f>
        <v/>
      </c>
      <c r="N374" s="9" t="str">
        <f aca="false">IF(C374="","",IFERROR(J374/I374,0))</f>
        <v/>
      </c>
      <c r="O374" s="21" t="str">
        <f aca="false">IF(C374="","",IFERROR(J374/L374,0))</f>
        <v/>
      </c>
      <c r="P374" s="22" t="str">
        <f aca="false">IF(C374="","",IFERROR(L374/J374,0))</f>
        <v/>
      </c>
      <c r="Q374" s="34"/>
      <c r="R374" s="4" t="str">
        <f aca="false">IF(C374="","",B374&amp;" | "&amp;C374&amp;" | "&amp;D374)</f>
        <v/>
      </c>
      <c r="S374" s="4" t="str">
        <f aca="false">IF(C374="","",R374&amp;"#"&amp;A374)</f>
        <v/>
      </c>
    </row>
    <row r="375" customFormat="false" ht="15" hidden="false" customHeight="false" outlineLevel="0" collapsed="false">
      <c r="A375" s="33"/>
      <c r="B375" s="34"/>
      <c r="C375" s="34"/>
      <c r="D375" s="34"/>
      <c r="E375" s="34"/>
      <c r="F375" s="34"/>
      <c r="G375" s="7"/>
      <c r="H375" s="35"/>
      <c r="I375" s="35"/>
      <c r="J375" s="7"/>
      <c r="K375" s="35"/>
      <c r="L375" s="7"/>
      <c r="M375" s="21" t="str">
        <f aca="false">IF(C375="","",IFERROR(I375/H375,0))</f>
        <v/>
      </c>
      <c r="N375" s="9" t="str">
        <f aca="false">IF(C375="","",IFERROR(J375/I375,0))</f>
        <v/>
      </c>
      <c r="O375" s="21" t="str">
        <f aca="false">IF(C375="","",IFERROR(J375/L375,0))</f>
        <v/>
      </c>
      <c r="P375" s="22" t="str">
        <f aca="false">IF(C375="","",IFERROR(L375/J375,0))</f>
        <v/>
      </c>
      <c r="Q375" s="34"/>
      <c r="R375" s="4" t="str">
        <f aca="false">IF(C375="","",B375&amp;" | "&amp;C375&amp;" | "&amp;D375)</f>
        <v/>
      </c>
      <c r="S375" s="4" t="str">
        <f aca="false">IF(C375="","",R375&amp;"#"&amp;A375)</f>
        <v/>
      </c>
    </row>
    <row r="376" customFormat="false" ht="15" hidden="false" customHeight="false" outlineLevel="0" collapsed="false">
      <c r="A376" s="33"/>
      <c r="B376" s="34"/>
      <c r="C376" s="34"/>
      <c r="D376" s="34"/>
      <c r="E376" s="34"/>
      <c r="F376" s="34"/>
      <c r="G376" s="7"/>
      <c r="H376" s="35"/>
      <c r="I376" s="35"/>
      <c r="J376" s="7"/>
      <c r="K376" s="35"/>
      <c r="L376" s="7"/>
      <c r="M376" s="21" t="str">
        <f aca="false">IF(C376="","",IFERROR(I376/H376,0))</f>
        <v/>
      </c>
      <c r="N376" s="9" t="str">
        <f aca="false">IF(C376="","",IFERROR(J376/I376,0))</f>
        <v/>
      </c>
      <c r="O376" s="21" t="str">
        <f aca="false">IF(C376="","",IFERROR(J376/L376,0))</f>
        <v/>
      </c>
      <c r="P376" s="22" t="str">
        <f aca="false">IF(C376="","",IFERROR(L376/J376,0))</f>
        <v/>
      </c>
      <c r="Q376" s="34"/>
      <c r="R376" s="4" t="str">
        <f aca="false">IF(C376="","",B376&amp;" | "&amp;C376&amp;" | "&amp;D376)</f>
        <v/>
      </c>
      <c r="S376" s="4" t="str">
        <f aca="false">IF(C376="","",R376&amp;"#"&amp;A376)</f>
        <v/>
      </c>
    </row>
    <row r="377" customFormat="false" ht="15" hidden="false" customHeight="false" outlineLevel="0" collapsed="false">
      <c r="A377" s="33"/>
      <c r="B377" s="34"/>
      <c r="C377" s="34"/>
      <c r="D377" s="34"/>
      <c r="E377" s="34"/>
      <c r="F377" s="34"/>
      <c r="G377" s="7"/>
      <c r="H377" s="35"/>
      <c r="I377" s="35"/>
      <c r="J377" s="7"/>
      <c r="K377" s="35"/>
      <c r="L377" s="7"/>
      <c r="M377" s="21" t="str">
        <f aca="false">IF(C377="","",IFERROR(I377/H377,0))</f>
        <v/>
      </c>
      <c r="N377" s="9" t="str">
        <f aca="false">IF(C377="","",IFERROR(J377/I377,0))</f>
        <v/>
      </c>
      <c r="O377" s="21" t="str">
        <f aca="false">IF(C377="","",IFERROR(J377/L377,0))</f>
        <v/>
      </c>
      <c r="P377" s="22" t="str">
        <f aca="false">IF(C377="","",IFERROR(L377/J377,0))</f>
        <v/>
      </c>
      <c r="Q377" s="34"/>
      <c r="R377" s="4" t="str">
        <f aca="false">IF(C377="","",B377&amp;" | "&amp;C377&amp;" | "&amp;D377)</f>
        <v/>
      </c>
      <c r="S377" s="4" t="str">
        <f aca="false">IF(C377="","",R377&amp;"#"&amp;A377)</f>
        <v/>
      </c>
    </row>
    <row r="378" customFormat="false" ht="15" hidden="false" customHeight="false" outlineLevel="0" collapsed="false">
      <c r="A378" s="33"/>
      <c r="B378" s="34"/>
      <c r="C378" s="34"/>
      <c r="D378" s="34"/>
      <c r="E378" s="34"/>
      <c r="F378" s="34"/>
      <c r="G378" s="7"/>
      <c r="H378" s="35"/>
      <c r="I378" s="35"/>
      <c r="J378" s="7"/>
      <c r="K378" s="35"/>
      <c r="L378" s="7"/>
      <c r="M378" s="21" t="str">
        <f aca="false">IF(C378="","",IFERROR(I378/H378,0))</f>
        <v/>
      </c>
      <c r="N378" s="9" t="str">
        <f aca="false">IF(C378="","",IFERROR(J378/I378,0))</f>
        <v/>
      </c>
      <c r="O378" s="21" t="str">
        <f aca="false">IF(C378="","",IFERROR(J378/L378,0))</f>
        <v/>
      </c>
      <c r="P378" s="22" t="str">
        <f aca="false">IF(C378="","",IFERROR(L378/J378,0))</f>
        <v/>
      </c>
      <c r="Q378" s="34"/>
      <c r="R378" s="4" t="str">
        <f aca="false">IF(C378="","",B378&amp;" | "&amp;C378&amp;" | "&amp;D378)</f>
        <v/>
      </c>
      <c r="S378" s="4" t="str">
        <f aca="false">IF(C378="","",R378&amp;"#"&amp;A378)</f>
        <v/>
      </c>
    </row>
    <row r="379" customFormat="false" ht="15" hidden="false" customHeight="false" outlineLevel="0" collapsed="false">
      <c r="A379" s="33"/>
      <c r="B379" s="34"/>
      <c r="C379" s="34"/>
      <c r="D379" s="34"/>
      <c r="E379" s="34"/>
      <c r="F379" s="34"/>
      <c r="G379" s="7"/>
      <c r="H379" s="35"/>
      <c r="I379" s="35"/>
      <c r="J379" s="7"/>
      <c r="K379" s="35"/>
      <c r="L379" s="7"/>
      <c r="M379" s="21" t="str">
        <f aca="false">IF(C379="","",IFERROR(I379/H379,0))</f>
        <v/>
      </c>
      <c r="N379" s="9" t="str">
        <f aca="false">IF(C379="","",IFERROR(J379/I379,0))</f>
        <v/>
      </c>
      <c r="O379" s="21" t="str">
        <f aca="false">IF(C379="","",IFERROR(J379/L379,0))</f>
        <v/>
      </c>
      <c r="P379" s="22" t="str">
        <f aca="false">IF(C379="","",IFERROR(L379/J379,0))</f>
        <v/>
      </c>
      <c r="Q379" s="34"/>
      <c r="R379" s="4" t="str">
        <f aca="false">IF(C379="","",B379&amp;" | "&amp;C379&amp;" | "&amp;D379)</f>
        <v/>
      </c>
      <c r="S379" s="4" t="str">
        <f aca="false">IF(C379="","",R379&amp;"#"&amp;A379)</f>
        <v/>
      </c>
    </row>
    <row r="380" customFormat="false" ht="15" hidden="false" customHeight="false" outlineLevel="0" collapsed="false">
      <c r="A380" s="33"/>
      <c r="B380" s="34"/>
      <c r="C380" s="34"/>
      <c r="D380" s="34"/>
      <c r="E380" s="34"/>
      <c r="F380" s="34"/>
      <c r="G380" s="7"/>
      <c r="H380" s="35"/>
      <c r="I380" s="35"/>
      <c r="J380" s="7"/>
      <c r="K380" s="35"/>
      <c r="L380" s="7"/>
      <c r="M380" s="21" t="str">
        <f aca="false">IF(C380="","",IFERROR(I380/H380,0))</f>
        <v/>
      </c>
      <c r="N380" s="9" t="str">
        <f aca="false">IF(C380="","",IFERROR(J380/I380,0))</f>
        <v/>
      </c>
      <c r="O380" s="21" t="str">
        <f aca="false">IF(C380="","",IFERROR(J380/L380,0))</f>
        <v/>
      </c>
      <c r="P380" s="22" t="str">
        <f aca="false">IF(C380="","",IFERROR(L380/J380,0))</f>
        <v/>
      </c>
      <c r="Q380" s="34"/>
      <c r="R380" s="4" t="str">
        <f aca="false">IF(C380="","",B380&amp;" | "&amp;C380&amp;" | "&amp;D380)</f>
        <v/>
      </c>
      <c r="S380" s="4" t="str">
        <f aca="false">IF(C380="","",R380&amp;"#"&amp;A380)</f>
        <v/>
      </c>
    </row>
    <row r="381" customFormat="false" ht="15" hidden="false" customHeight="false" outlineLevel="0" collapsed="false">
      <c r="A381" s="33"/>
      <c r="B381" s="34"/>
      <c r="C381" s="34"/>
      <c r="D381" s="34"/>
      <c r="E381" s="34"/>
      <c r="F381" s="34"/>
      <c r="G381" s="7"/>
      <c r="H381" s="35"/>
      <c r="I381" s="35"/>
      <c r="J381" s="7"/>
      <c r="K381" s="35"/>
      <c r="L381" s="7"/>
      <c r="M381" s="21" t="str">
        <f aca="false">IF(C381="","",IFERROR(I381/H381,0))</f>
        <v/>
      </c>
      <c r="N381" s="9" t="str">
        <f aca="false">IF(C381="","",IFERROR(J381/I381,0))</f>
        <v/>
      </c>
      <c r="O381" s="21" t="str">
        <f aca="false">IF(C381="","",IFERROR(J381/L381,0))</f>
        <v/>
      </c>
      <c r="P381" s="22" t="str">
        <f aca="false">IF(C381="","",IFERROR(L381/J381,0))</f>
        <v/>
      </c>
      <c r="Q381" s="34"/>
      <c r="R381" s="4" t="str">
        <f aca="false">IF(C381="","",B381&amp;" | "&amp;C381&amp;" | "&amp;D381)</f>
        <v/>
      </c>
      <c r="S381" s="4" t="str">
        <f aca="false">IF(C381="","",R381&amp;"#"&amp;A381)</f>
        <v/>
      </c>
    </row>
    <row r="382" customFormat="false" ht="15" hidden="false" customHeight="false" outlineLevel="0" collapsed="false">
      <c r="A382" s="33"/>
      <c r="B382" s="34"/>
      <c r="C382" s="34"/>
      <c r="D382" s="34"/>
      <c r="E382" s="34"/>
      <c r="F382" s="34"/>
      <c r="G382" s="7"/>
      <c r="H382" s="35"/>
      <c r="I382" s="35"/>
      <c r="J382" s="7"/>
      <c r="K382" s="35"/>
      <c r="L382" s="7"/>
      <c r="M382" s="21" t="str">
        <f aca="false">IF(C382="","",IFERROR(I382/H382,0))</f>
        <v/>
      </c>
      <c r="N382" s="9" t="str">
        <f aca="false">IF(C382="","",IFERROR(J382/I382,0))</f>
        <v/>
      </c>
      <c r="O382" s="21" t="str">
        <f aca="false">IF(C382="","",IFERROR(J382/L382,0))</f>
        <v/>
      </c>
      <c r="P382" s="22" t="str">
        <f aca="false">IF(C382="","",IFERROR(L382/J382,0))</f>
        <v/>
      </c>
      <c r="Q382" s="34"/>
      <c r="R382" s="4" t="str">
        <f aca="false">IF(C382="","",B382&amp;" | "&amp;C382&amp;" | "&amp;D382)</f>
        <v/>
      </c>
      <c r="S382" s="4" t="str">
        <f aca="false">IF(C382="","",R382&amp;"#"&amp;A382)</f>
        <v/>
      </c>
    </row>
    <row r="383" customFormat="false" ht="15" hidden="false" customHeight="false" outlineLevel="0" collapsed="false">
      <c r="A383" s="33"/>
      <c r="B383" s="34"/>
      <c r="C383" s="34"/>
      <c r="D383" s="34"/>
      <c r="E383" s="34"/>
      <c r="F383" s="34"/>
      <c r="G383" s="7"/>
      <c r="H383" s="35"/>
      <c r="I383" s="35"/>
      <c r="J383" s="7"/>
      <c r="K383" s="35"/>
      <c r="L383" s="7"/>
      <c r="M383" s="21" t="str">
        <f aca="false">IF(C383="","",IFERROR(I383/H383,0))</f>
        <v/>
      </c>
      <c r="N383" s="9" t="str">
        <f aca="false">IF(C383="","",IFERROR(J383/I383,0))</f>
        <v/>
      </c>
      <c r="O383" s="21" t="str">
        <f aca="false">IF(C383="","",IFERROR(J383/L383,0))</f>
        <v/>
      </c>
      <c r="P383" s="22" t="str">
        <f aca="false">IF(C383="","",IFERROR(L383/J383,0))</f>
        <v/>
      </c>
      <c r="Q383" s="34"/>
      <c r="R383" s="4" t="str">
        <f aca="false">IF(C383="","",B383&amp;" | "&amp;C383&amp;" | "&amp;D383)</f>
        <v/>
      </c>
      <c r="S383" s="4" t="str">
        <f aca="false">IF(C383="","",R383&amp;"#"&amp;A383)</f>
        <v/>
      </c>
    </row>
    <row r="384" customFormat="false" ht="15" hidden="false" customHeight="false" outlineLevel="0" collapsed="false">
      <c r="A384" s="33"/>
      <c r="B384" s="34"/>
      <c r="C384" s="34"/>
      <c r="D384" s="34"/>
      <c r="E384" s="34"/>
      <c r="F384" s="34"/>
      <c r="G384" s="7"/>
      <c r="H384" s="35"/>
      <c r="I384" s="35"/>
      <c r="J384" s="7"/>
      <c r="K384" s="35"/>
      <c r="L384" s="7"/>
      <c r="M384" s="21" t="str">
        <f aca="false">IF(C384="","",IFERROR(I384/H384,0))</f>
        <v/>
      </c>
      <c r="N384" s="9" t="str">
        <f aca="false">IF(C384="","",IFERROR(J384/I384,0))</f>
        <v/>
      </c>
      <c r="O384" s="21" t="str">
        <f aca="false">IF(C384="","",IFERROR(J384/L384,0))</f>
        <v/>
      </c>
      <c r="P384" s="22" t="str">
        <f aca="false">IF(C384="","",IFERROR(L384/J384,0))</f>
        <v/>
      </c>
      <c r="Q384" s="34"/>
      <c r="R384" s="4" t="str">
        <f aca="false">IF(C384="","",B384&amp;" | "&amp;C384&amp;" | "&amp;D384)</f>
        <v/>
      </c>
      <c r="S384" s="4" t="str">
        <f aca="false">IF(C384="","",R384&amp;"#"&amp;A384)</f>
        <v/>
      </c>
    </row>
    <row r="385" customFormat="false" ht="15" hidden="false" customHeight="false" outlineLevel="0" collapsed="false">
      <c r="A385" s="33"/>
      <c r="B385" s="34"/>
      <c r="C385" s="34"/>
      <c r="D385" s="34"/>
      <c r="E385" s="34"/>
      <c r="F385" s="34"/>
      <c r="G385" s="7"/>
      <c r="H385" s="35"/>
      <c r="I385" s="35"/>
      <c r="J385" s="7"/>
      <c r="K385" s="35"/>
      <c r="L385" s="7"/>
      <c r="M385" s="21" t="str">
        <f aca="false">IF(C385="","",IFERROR(I385/H385,0))</f>
        <v/>
      </c>
      <c r="N385" s="9" t="str">
        <f aca="false">IF(C385="","",IFERROR(J385/I385,0))</f>
        <v/>
      </c>
      <c r="O385" s="21" t="str">
        <f aca="false">IF(C385="","",IFERROR(J385/L385,0))</f>
        <v/>
      </c>
      <c r="P385" s="22" t="str">
        <f aca="false">IF(C385="","",IFERROR(L385/J385,0))</f>
        <v/>
      </c>
      <c r="Q385" s="34"/>
      <c r="R385" s="4" t="str">
        <f aca="false">IF(C385="","",B385&amp;" | "&amp;C385&amp;" | "&amp;D385)</f>
        <v/>
      </c>
      <c r="S385" s="4" t="str">
        <f aca="false">IF(C385="","",R385&amp;"#"&amp;A385)</f>
        <v/>
      </c>
    </row>
    <row r="386" customFormat="false" ht="15" hidden="false" customHeight="false" outlineLevel="0" collapsed="false">
      <c r="A386" s="33"/>
      <c r="B386" s="34"/>
      <c r="C386" s="34"/>
      <c r="D386" s="34"/>
      <c r="E386" s="34"/>
      <c r="F386" s="34"/>
      <c r="G386" s="7"/>
      <c r="H386" s="35"/>
      <c r="I386" s="35"/>
      <c r="J386" s="7"/>
      <c r="K386" s="35"/>
      <c r="L386" s="7"/>
      <c r="M386" s="21" t="str">
        <f aca="false">IF(C386="","",IFERROR(I386/H386,0))</f>
        <v/>
      </c>
      <c r="N386" s="9" t="str">
        <f aca="false">IF(C386="","",IFERROR(J386/I386,0))</f>
        <v/>
      </c>
      <c r="O386" s="21" t="str">
        <f aca="false">IF(C386="","",IFERROR(J386/L386,0))</f>
        <v/>
      </c>
      <c r="P386" s="22" t="str">
        <f aca="false">IF(C386="","",IFERROR(L386/J386,0))</f>
        <v/>
      </c>
      <c r="Q386" s="34"/>
      <c r="R386" s="4" t="str">
        <f aca="false">IF(C386="","",B386&amp;" | "&amp;C386&amp;" | "&amp;D386)</f>
        <v/>
      </c>
      <c r="S386" s="4" t="str">
        <f aca="false">IF(C386="","",R386&amp;"#"&amp;A386)</f>
        <v/>
      </c>
    </row>
    <row r="387" customFormat="false" ht="15" hidden="false" customHeight="false" outlineLevel="0" collapsed="false">
      <c r="A387" s="33"/>
      <c r="B387" s="34"/>
      <c r="C387" s="34"/>
      <c r="D387" s="34"/>
      <c r="E387" s="34"/>
      <c r="F387" s="34"/>
      <c r="G387" s="7"/>
      <c r="H387" s="35"/>
      <c r="I387" s="35"/>
      <c r="J387" s="7"/>
      <c r="K387" s="35"/>
      <c r="L387" s="7"/>
      <c r="M387" s="21" t="str">
        <f aca="false">IF(C387="","",IFERROR(I387/H387,0))</f>
        <v/>
      </c>
      <c r="N387" s="9" t="str">
        <f aca="false">IF(C387="","",IFERROR(J387/I387,0))</f>
        <v/>
      </c>
      <c r="O387" s="21" t="str">
        <f aca="false">IF(C387="","",IFERROR(J387/L387,0))</f>
        <v/>
      </c>
      <c r="P387" s="22" t="str">
        <f aca="false">IF(C387="","",IFERROR(L387/J387,0))</f>
        <v/>
      </c>
      <c r="Q387" s="34"/>
      <c r="R387" s="4" t="str">
        <f aca="false">IF(C387="","",B387&amp;" | "&amp;C387&amp;" | "&amp;D387)</f>
        <v/>
      </c>
      <c r="S387" s="4" t="str">
        <f aca="false">IF(C387="","",R387&amp;"#"&amp;A387)</f>
        <v/>
      </c>
    </row>
    <row r="388" customFormat="false" ht="15" hidden="false" customHeight="false" outlineLevel="0" collapsed="false">
      <c r="A388" s="33"/>
      <c r="B388" s="34"/>
      <c r="C388" s="34"/>
      <c r="D388" s="34"/>
      <c r="E388" s="34"/>
      <c r="F388" s="34"/>
      <c r="G388" s="7"/>
      <c r="H388" s="35"/>
      <c r="I388" s="35"/>
      <c r="J388" s="7"/>
      <c r="K388" s="35"/>
      <c r="L388" s="7"/>
      <c r="M388" s="21" t="str">
        <f aca="false">IF(C388="","",IFERROR(I388/H388,0))</f>
        <v/>
      </c>
      <c r="N388" s="9" t="str">
        <f aca="false">IF(C388="","",IFERROR(J388/I388,0))</f>
        <v/>
      </c>
      <c r="O388" s="21" t="str">
        <f aca="false">IF(C388="","",IFERROR(J388/L388,0))</f>
        <v/>
      </c>
      <c r="P388" s="22" t="str">
        <f aca="false">IF(C388="","",IFERROR(L388/J388,0))</f>
        <v/>
      </c>
      <c r="Q388" s="34"/>
      <c r="R388" s="4" t="str">
        <f aca="false">IF(C388="","",B388&amp;" | "&amp;C388&amp;" | "&amp;D388)</f>
        <v/>
      </c>
      <c r="S388" s="4" t="str">
        <f aca="false">IF(C388="","",R388&amp;"#"&amp;A388)</f>
        <v/>
      </c>
    </row>
    <row r="389" customFormat="false" ht="15" hidden="false" customHeight="false" outlineLevel="0" collapsed="false">
      <c r="A389" s="33"/>
      <c r="B389" s="34"/>
      <c r="C389" s="34"/>
      <c r="D389" s="34"/>
      <c r="E389" s="34"/>
      <c r="F389" s="34"/>
      <c r="G389" s="7"/>
      <c r="H389" s="35"/>
      <c r="I389" s="35"/>
      <c r="J389" s="7"/>
      <c r="K389" s="35"/>
      <c r="L389" s="7"/>
      <c r="M389" s="21" t="str">
        <f aca="false">IF(C389="","",IFERROR(I389/H389,0))</f>
        <v/>
      </c>
      <c r="N389" s="9" t="str">
        <f aca="false">IF(C389="","",IFERROR(J389/I389,0))</f>
        <v/>
      </c>
      <c r="O389" s="21" t="str">
        <f aca="false">IF(C389="","",IFERROR(J389/L389,0))</f>
        <v/>
      </c>
      <c r="P389" s="22" t="str">
        <f aca="false">IF(C389="","",IFERROR(L389/J389,0))</f>
        <v/>
      </c>
      <c r="Q389" s="34"/>
      <c r="R389" s="4" t="str">
        <f aca="false">IF(C389="","",B389&amp;" | "&amp;C389&amp;" | "&amp;D389)</f>
        <v/>
      </c>
      <c r="S389" s="4" t="str">
        <f aca="false">IF(C389="","",R389&amp;"#"&amp;A389)</f>
        <v/>
      </c>
    </row>
    <row r="390" customFormat="false" ht="15" hidden="false" customHeight="false" outlineLevel="0" collapsed="false">
      <c r="A390" s="33"/>
      <c r="B390" s="34"/>
      <c r="C390" s="34"/>
      <c r="D390" s="34"/>
      <c r="E390" s="34"/>
      <c r="F390" s="34"/>
      <c r="G390" s="7"/>
      <c r="H390" s="35"/>
      <c r="I390" s="35"/>
      <c r="J390" s="7"/>
      <c r="K390" s="35"/>
      <c r="L390" s="7"/>
      <c r="M390" s="21" t="str">
        <f aca="false">IF(C390="","",IFERROR(I390/H390,0))</f>
        <v/>
      </c>
      <c r="N390" s="9" t="str">
        <f aca="false">IF(C390="","",IFERROR(J390/I390,0))</f>
        <v/>
      </c>
      <c r="O390" s="21" t="str">
        <f aca="false">IF(C390="","",IFERROR(J390/L390,0))</f>
        <v/>
      </c>
      <c r="P390" s="22" t="str">
        <f aca="false">IF(C390="","",IFERROR(L390/J390,0))</f>
        <v/>
      </c>
      <c r="Q390" s="34"/>
      <c r="R390" s="4" t="str">
        <f aca="false">IF(C390="","",B390&amp;" | "&amp;C390&amp;" | "&amp;D390)</f>
        <v/>
      </c>
      <c r="S390" s="4" t="str">
        <f aca="false">IF(C390="","",R390&amp;"#"&amp;A390)</f>
        <v/>
      </c>
    </row>
    <row r="391" customFormat="false" ht="15" hidden="false" customHeight="false" outlineLevel="0" collapsed="false">
      <c r="A391" s="33"/>
      <c r="B391" s="34"/>
      <c r="C391" s="34"/>
      <c r="D391" s="34"/>
      <c r="E391" s="34"/>
      <c r="F391" s="34"/>
      <c r="G391" s="7"/>
      <c r="H391" s="35"/>
      <c r="I391" s="35"/>
      <c r="J391" s="7"/>
      <c r="K391" s="35"/>
      <c r="L391" s="7"/>
      <c r="M391" s="21" t="str">
        <f aca="false">IF(C391="","",IFERROR(I391/H391,0))</f>
        <v/>
      </c>
      <c r="N391" s="9" t="str">
        <f aca="false">IF(C391="","",IFERROR(J391/I391,0))</f>
        <v/>
      </c>
      <c r="O391" s="21" t="str">
        <f aca="false">IF(C391="","",IFERROR(J391/L391,0))</f>
        <v/>
      </c>
      <c r="P391" s="22" t="str">
        <f aca="false">IF(C391="","",IFERROR(L391/J391,0))</f>
        <v/>
      </c>
      <c r="Q391" s="34"/>
      <c r="R391" s="4" t="str">
        <f aca="false">IF(C391="","",B391&amp;" | "&amp;C391&amp;" | "&amp;D391)</f>
        <v/>
      </c>
      <c r="S391" s="4" t="str">
        <f aca="false">IF(C391="","",R391&amp;"#"&amp;A391)</f>
        <v/>
      </c>
    </row>
    <row r="392" customFormat="false" ht="15" hidden="false" customHeight="false" outlineLevel="0" collapsed="false">
      <c r="A392" s="33"/>
      <c r="B392" s="34"/>
      <c r="C392" s="34"/>
      <c r="D392" s="34"/>
      <c r="E392" s="34"/>
      <c r="F392" s="34"/>
      <c r="G392" s="7"/>
      <c r="H392" s="35"/>
      <c r="I392" s="35"/>
      <c r="J392" s="7"/>
      <c r="K392" s="35"/>
      <c r="L392" s="7"/>
      <c r="M392" s="21" t="str">
        <f aca="false">IF(C392="","",IFERROR(I392/H392,0))</f>
        <v/>
      </c>
      <c r="N392" s="9" t="str">
        <f aca="false">IF(C392="","",IFERROR(J392/I392,0))</f>
        <v/>
      </c>
      <c r="O392" s="21" t="str">
        <f aca="false">IF(C392="","",IFERROR(J392/L392,0))</f>
        <v/>
      </c>
      <c r="P392" s="22" t="str">
        <f aca="false">IF(C392="","",IFERROR(L392/J392,0))</f>
        <v/>
      </c>
      <c r="Q392" s="34"/>
      <c r="R392" s="4" t="str">
        <f aca="false">IF(C392="","",B392&amp;" | "&amp;C392&amp;" | "&amp;D392)</f>
        <v/>
      </c>
      <c r="S392" s="4" t="str">
        <f aca="false">IF(C392="","",R392&amp;"#"&amp;A392)</f>
        <v/>
      </c>
    </row>
    <row r="393" customFormat="false" ht="15" hidden="false" customHeight="false" outlineLevel="0" collapsed="false">
      <c r="A393" s="33"/>
      <c r="B393" s="34"/>
      <c r="C393" s="34"/>
      <c r="D393" s="34"/>
      <c r="E393" s="34"/>
      <c r="F393" s="34"/>
      <c r="G393" s="7"/>
      <c r="H393" s="35"/>
      <c r="I393" s="35"/>
      <c r="J393" s="7"/>
      <c r="K393" s="35"/>
      <c r="L393" s="7"/>
      <c r="M393" s="21" t="str">
        <f aca="false">IF(C393="","",IFERROR(I393/H393,0))</f>
        <v/>
      </c>
      <c r="N393" s="9" t="str">
        <f aca="false">IF(C393="","",IFERROR(J393/I393,0))</f>
        <v/>
      </c>
      <c r="O393" s="21" t="str">
        <f aca="false">IF(C393="","",IFERROR(J393/L393,0))</f>
        <v/>
      </c>
      <c r="P393" s="22" t="str">
        <f aca="false">IF(C393="","",IFERROR(L393/J393,0))</f>
        <v/>
      </c>
      <c r="Q393" s="34"/>
      <c r="R393" s="4" t="str">
        <f aca="false">IF(C393="","",B393&amp;" | "&amp;C393&amp;" | "&amp;D393)</f>
        <v/>
      </c>
      <c r="S393" s="4" t="str">
        <f aca="false">IF(C393="","",R393&amp;"#"&amp;A393)</f>
        <v/>
      </c>
    </row>
    <row r="394" customFormat="false" ht="15" hidden="false" customHeight="false" outlineLevel="0" collapsed="false">
      <c r="A394" s="33"/>
      <c r="B394" s="34"/>
      <c r="C394" s="34"/>
      <c r="D394" s="34"/>
      <c r="E394" s="34"/>
      <c r="F394" s="34"/>
      <c r="G394" s="7"/>
      <c r="H394" s="35"/>
      <c r="I394" s="35"/>
      <c r="J394" s="7"/>
      <c r="K394" s="35"/>
      <c r="L394" s="7"/>
      <c r="M394" s="21" t="str">
        <f aca="false">IF(C394="","",IFERROR(I394/H394,0))</f>
        <v/>
      </c>
      <c r="N394" s="9" t="str">
        <f aca="false">IF(C394="","",IFERROR(J394/I394,0))</f>
        <v/>
      </c>
      <c r="O394" s="21" t="str">
        <f aca="false">IF(C394="","",IFERROR(J394/L394,0))</f>
        <v/>
      </c>
      <c r="P394" s="22" t="str">
        <f aca="false">IF(C394="","",IFERROR(L394/J394,0))</f>
        <v/>
      </c>
      <c r="Q394" s="34"/>
      <c r="R394" s="4" t="str">
        <f aca="false">IF(C394="","",B394&amp;" | "&amp;C394&amp;" | "&amp;D394)</f>
        <v/>
      </c>
      <c r="S394" s="4" t="str">
        <f aca="false">IF(C394="","",R394&amp;"#"&amp;A394)</f>
        <v/>
      </c>
    </row>
    <row r="395" customFormat="false" ht="15" hidden="false" customHeight="false" outlineLevel="0" collapsed="false">
      <c r="A395" s="33"/>
      <c r="B395" s="34"/>
      <c r="C395" s="34"/>
      <c r="D395" s="34"/>
      <c r="E395" s="34"/>
      <c r="F395" s="34"/>
      <c r="G395" s="7"/>
      <c r="H395" s="35"/>
      <c r="I395" s="35"/>
      <c r="J395" s="7"/>
      <c r="K395" s="35"/>
      <c r="L395" s="7"/>
      <c r="M395" s="21" t="str">
        <f aca="false">IF(C395="","",IFERROR(I395/H395,0))</f>
        <v/>
      </c>
      <c r="N395" s="9" t="str">
        <f aca="false">IF(C395="","",IFERROR(J395/I395,0))</f>
        <v/>
      </c>
      <c r="O395" s="21" t="str">
        <f aca="false">IF(C395="","",IFERROR(J395/L395,0))</f>
        <v/>
      </c>
      <c r="P395" s="22" t="str">
        <f aca="false">IF(C395="","",IFERROR(L395/J395,0))</f>
        <v/>
      </c>
      <c r="Q395" s="34"/>
      <c r="R395" s="4" t="str">
        <f aca="false">IF(C395="","",B395&amp;" | "&amp;C395&amp;" | "&amp;D395)</f>
        <v/>
      </c>
      <c r="S395" s="4" t="str">
        <f aca="false">IF(C395="","",R395&amp;"#"&amp;A395)</f>
        <v/>
      </c>
    </row>
    <row r="396" customFormat="false" ht="15" hidden="false" customHeight="false" outlineLevel="0" collapsed="false">
      <c r="A396" s="33"/>
      <c r="B396" s="34"/>
      <c r="C396" s="34"/>
      <c r="D396" s="34"/>
      <c r="E396" s="34"/>
      <c r="F396" s="34"/>
      <c r="G396" s="7"/>
      <c r="H396" s="35"/>
      <c r="I396" s="35"/>
      <c r="J396" s="7"/>
      <c r="K396" s="35"/>
      <c r="L396" s="7"/>
      <c r="M396" s="21" t="str">
        <f aca="false">IF(C396="","",IFERROR(I396/H396,0))</f>
        <v/>
      </c>
      <c r="N396" s="9" t="str">
        <f aca="false">IF(C396="","",IFERROR(J396/I396,0))</f>
        <v/>
      </c>
      <c r="O396" s="21" t="str">
        <f aca="false">IF(C396="","",IFERROR(J396/L396,0))</f>
        <v/>
      </c>
      <c r="P396" s="22" t="str">
        <f aca="false">IF(C396="","",IFERROR(L396/J396,0))</f>
        <v/>
      </c>
      <c r="Q396" s="34"/>
      <c r="R396" s="4" t="str">
        <f aca="false">IF(C396="","",B396&amp;" | "&amp;C396&amp;" | "&amp;D396)</f>
        <v/>
      </c>
      <c r="S396" s="4" t="str">
        <f aca="false">IF(C396="","",R396&amp;"#"&amp;A396)</f>
        <v/>
      </c>
    </row>
    <row r="397" customFormat="false" ht="15" hidden="false" customHeight="false" outlineLevel="0" collapsed="false">
      <c r="A397" s="33"/>
      <c r="B397" s="34"/>
      <c r="C397" s="34"/>
      <c r="D397" s="34"/>
      <c r="E397" s="34"/>
      <c r="F397" s="34"/>
      <c r="G397" s="7"/>
      <c r="H397" s="35"/>
      <c r="I397" s="35"/>
      <c r="J397" s="7"/>
      <c r="K397" s="35"/>
      <c r="L397" s="7"/>
      <c r="M397" s="21" t="str">
        <f aca="false">IF(C397="","",IFERROR(I397/H397,0))</f>
        <v/>
      </c>
      <c r="N397" s="9" t="str">
        <f aca="false">IF(C397="","",IFERROR(J397/I397,0))</f>
        <v/>
      </c>
      <c r="O397" s="21" t="str">
        <f aca="false">IF(C397="","",IFERROR(J397/L397,0))</f>
        <v/>
      </c>
      <c r="P397" s="22" t="str">
        <f aca="false">IF(C397="","",IFERROR(L397/J397,0))</f>
        <v/>
      </c>
      <c r="Q397" s="34"/>
      <c r="R397" s="4" t="str">
        <f aca="false">IF(C397="","",B397&amp;" | "&amp;C397&amp;" | "&amp;D397)</f>
        <v/>
      </c>
      <c r="S397" s="4" t="str">
        <f aca="false">IF(C397="","",R397&amp;"#"&amp;A397)</f>
        <v/>
      </c>
    </row>
    <row r="398" customFormat="false" ht="15" hidden="false" customHeight="false" outlineLevel="0" collapsed="false">
      <c r="A398" s="33"/>
      <c r="B398" s="34"/>
      <c r="C398" s="34"/>
      <c r="D398" s="34"/>
      <c r="E398" s="34"/>
      <c r="F398" s="34"/>
      <c r="G398" s="7"/>
      <c r="H398" s="35"/>
      <c r="I398" s="35"/>
      <c r="J398" s="7"/>
      <c r="K398" s="35"/>
      <c r="L398" s="7"/>
      <c r="M398" s="21" t="str">
        <f aca="false">IF(C398="","",IFERROR(I398/H398,0))</f>
        <v/>
      </c>
      <c r="N398" s="9" t="str">
        <f aca="false">IF(C398="","",IFERROR(J398/I398,0))</f>
        <v/>
      </c>
      <c r="O398" s="21" t="str">
        <f aca="false">IF(C398="","",IFERROR(J398/L398,0))</f>
        <v/>
      </c>
      <c r="P398" s="22" t="str">
        <f aca="false">IF(C398="","",IFERROR(L398/J398,0))</f>
        <v/>
      </c>
      <c r="Q398" s="34"/>
      <c r="R398" s="4" t="str">
        <f aca="false">IF(C398="","",B398&amp;" | "&amp;C398&amp;" | "&amp;D398)</f>
        <v/>
      </c>
      <c r="S398" s="4" t="str">
        <f aca="false">IF(C398="","",R398&amp;"#"&amp;A398)</f>
        <v/>
      </c>
    </row>
    <row r="399" customFormat="false" ht="15" hidden="false" customHeight="false" outlineLevel="0" collapsed="false">
      <c r="A399" s="33"/>
      <c r="B399" s="34"/>
      <c r="C399" s="34"/>
      <c r="D399" s="34"/>
      <c r="E399" s="34"/>
      <c r="F399" s="34"/>
      <c r="G399" s="7"/>
      <c r="H399" s="35"/>
      <c r="I399" s="35"/>
      <c r="J399" s="7"/>
      <c r="K399" s="35"/>
      <c r="L399" s="7"/>
      <c r="M399" s="21" t="str">
        <f aca="false">IF(C399="","",IFERROR(I399/H399,0))</f>
        <v/>
      </c>
      <c r="N399" s="9" t="str">
        <f aca="false">IF(C399="","",IFERROR(J399/I399,0))</f>
        <v/>
      </c>
      <c r="O399" s="21" t="str">
        <f aca="false">IF(C399="","",IFERROR(J399/L399,0))</f>
        <v/>
      </c>
      <c r="P399" s="22" t="str">
        <f aca="false">IF(C399="","",IFERROR(L399/J399,0))</f>
        <v/>
      </c>
      <c r="Q399" s="34"/>
      <c r="R399" s="4" t="str">
        <f aca="false">IF(C399="","",B399&amp;" | "&amp;C399&amp;" | "&amp;D399)</f>
        <v/>
      </c>
      <c r="S399" s="4" t="str">
        <f aca="false">IF(C399="","",R399&amp;"#"&amp;A399)</f>
        <v/>
      </c>
    </row>
    <row r="400" customFormat="false" ht="15" hidden="false" customHeight="false" outlineLevel="0" collapsed="false">
      <c r="A400" s="33"/>
      <c r="B400" s="34"/>
      <c r="C400" s="34"/>
      <c r="D400" s="34"/>
      <c r="E400" s="34"/>
      <c r="F400" s="34"/>
      <c r="G400" s="7"/>
      <c r="H400" s="35"/>
      <c r="I400" s="35"/>
      <c r="J400" s="7"/>
      <c r="K400" s="35"/>
      <c r="L400" s="7"/>
      <c r="M400" s="21" t="str">
        <f aca="false">IF(C400="","",IFERROR(I400/H400,0))</f>
        <v/>
      </c>
      <c r="N400" s="9" t="str">
        <f aca="false">IF(C400="","",IFERROR(J400/I400,0))</f>
        <v/>
      </c>
      <c r="O400" s="21" t="str">
        <f aca="false">IF(C400="","",IFERROR(J400/L400,0))</f>
        <v/>
      </c>
      <c r="P400" s="22" t="str">
        <f aca="false">IF(C400="","",IFERROR(L400/J400,0))</f>
        <v/>
      </c>
      <c r="Q400" s="34"/>
      <c r="R400" s="4" t="str">
        <f aca="false">IF(C400="","",B400&amp;" | "&amp;C400&amp;" | "&amp;D400)</f>
        <v/>
      </c>
      <c r="S400" s="4" t="str">
        <f aca="false">IF(C400="","",R400&amp;"#"&amp;A400)</f>
        <v/>
      </c>
    </row>
    <row r="401" customFormat="false" ht="15" hidden="false" customHeight="false" outlineLevel="0" collapsed="false">
      <c r="A401" s="33"/>
      <c r="B401" s="34"/>
      <c r="C401" s="34"/>
      <c r="D401" s="34"/>
      <c r="E401" s="34"/>
      <c r="F401" s="34"/>
      <c r="G401" s="7"/>
      <c r="H401" s="35"/>
      <c r="I401" s="35"/>
      <c r="J401" s="7"/>
      <c r="K401" s="35"/>
      <c r="L401" s="7"/>
      <c r="M401" s="21" t="str">
        <f aca="false">IF(C401="","",IFERROR(I401/H401,0))</f>
        <v/>
      </c>
      <c r="N401" s="9" t="str">
        <f aca="false">IF(C401="","",IFERROR(J401/I401,0))</f>
        <v/>
      </c>
      <c r="O401" s="21" t="str">
        <f aca="false">IF(C401="","",IFERROR(J401/L401,0))</f>
        <v/>
      </c>
      <c r="P401" s="22" t="str">
        <f aca="false">IF(C401="","",IFERROR(L401/J401,0))</f>
        <v/>
      </c>
      <c r="Q401" s="34"/>
      <c r="R401" s="4" t="str">
        <f aca="false">IF(C401="","",B401&amp;" | "&amp;C401&amp;" | "&amp;D401)</f>
        <v/>
      </c>
      <c r="S401" s="4" t="str">
        <f aca="false">IF(C401="","",R401&amp;"#"&amp;A401)</f>
        <v/>
      </c>
    </row>
    <row r="402" customFormat="false" ht="15" hidden="false" customHeight="false" outlineLevel="0" collapsed="false">
      <c r="A402" s="33"/>
      <c r="B402" s="34"/>
      <c r="C402" s="34"/>
      <c r="D402" s="34"/>
      <c r="E402" s="34"/>
      <c r="F402" s="34"/>
      <c r="G402" s="7"/>
      <c r="H402" s="35"/>
      <c r="I402" s="35"/>
      <c r="J402" s="7"/>
      <c r="K402" s="35"/>
      <c r="L402" s="7"/>
      <c r="M402" s="21" t="str">
        <f aca="false">IF(C402="","",IFERROR(I402/H402,0))</f>
        <v/>
      </c>
      <c r="N402" s="9" t="str">
        <f aca="false">IF(C402="","",IFERROR(J402/I402,0))</f>
        <v/>
      </c>
      <c r="O402" s="21" t="str">
        <f aca="false">IF(C402="","",IFERROR(J402/L402,0))</f>
        <v/>
      </c>
      <c r="P402" s="22" t="str">
        <f aca="false">IF(C402="","",IFERROR(L402/J402,0))</f>
        <v/>
      </c>
      <c r="Q402" s="34"/>
      <c r="R402" s="4" t="str">
        <f aca="false">IF(C402="","",B402&amp;" | "&amp;C402&amp;" | "&amp;D402)</f>
        <v/>
      </c>
      <c r="S402" s="4" t="str">
        <f aca="false">IF(C402="","",R402&amp;"#"&amp;A402)</f>
        <v/>
      </c>
    </row>
    <row r="403" customFormat="false" ht="15" hidden="false" customHeight="false" outlineLevel="0" collapsed="false">
      <c r="A403" s="33"/>
      <c r="B403" s="34"/>
      <c r="C403" s="34"/>
      <c r="D403" s="34"/>
      <c r="E403" s="34"/>
      <c r="F403" s="34"/>
      <c r="G403" s="7"/>
      <c r="H403" s="35"/>
      <c r="I403" s="35"/>
      <c r="J403" s="7"/>
      <c r="K403" s="35"/>
      <c r="L403" s="7"/>
      <c r="M403" s="21" t="str">
        <f aca="false">IF(C403="","",IFERROR(I403/H403,0))</f>
        <v/>
      </c>
      <c r="N403" s="9" t="str">
        <f aca="false">IF(C403="","",IFERROR(J403/I403,0))</f>
        <v/>
      </c>
      <c r="O403" s="21" t="str">
        <f aca="false">IF(C403="","",IFERROR(J403/L403,0))</f>
        <v/>
      </c>
      <c r="P403" s="22" t="str">
        <f aca="false">IF(C403="","",IFERROR(L403/J403,0))</f>
        <v/>
      </c>
      <c r="Q403" s="34"/>
      <c r="R403" s="4" t="str">
        <f aca="false">IF(C403="","",B403&amp;" | "&amp;C403&amp;" | "&amp;D403)</f>
        <v/>
      </c>
      <c r="S403" s="4" t="str">
        <f aca="false">IF(C403="","",R403&amp;"#"&amp;A403)</f>
        <v/>
      </c>
    </row>
    <row r="404" customFormat="false" ht="15" hidden="false" customHeight="false" outlineLevel="0" collapsed="false">
      <c r="A404" s="33"/>
      <c r="B404" s="34"/>
      <c r="C404" s="34"/>
      <c r="D404" s="34"/>
      <c r="E404" s="34"/>
      <c r="F404" s="34"/>
      <c r="G404" s="7"/>
      <c r="H404" s="35"/>
      <c r="I404" s="35"/>
      <c r="J404" s="7"/>
      <c r="K404" s="35"/>
      <c r="L404" s="7"/>
      <c r="M404" s="21" t="str">
        <f aca="false">IF(C404="","",IFERROR(I404/H404,0))</f>
        <v/>
      </c>
      <c r="N404" s="9" t="str">
        <f aca="false">IF(C404="","",IFERROR(J404/I404,0))</f>
        <v/>
      </c>
      <c r="O404" s="21" t="str">
        <f aca="false">IF(C404="","",IFERROR(J404/L404,0))</f>
        <v/>
      </c>
      <c r="P404" s="22" t="str">
        <f aca="false">IF(C404="","",IFERROR(L404/J404,0))</f>
        <v/>
      </c>
      <c r="Q404" s="34"/>
      <c r="R404" s="4" t="str">
        <f aca="false">IF(C404="","",B404&amp;" | "&amp;C404&amp;" | "&amp;D404)</f>
        <v/>
      </c>
      <c r="S404" s="4" t="str">
        <f aca="false">IF(C404="","",R404&amp;"#"&amp;A404)</f>
        <v/>
      </c>
    </row>
    <row r="405" customFormat="false" ht="15" hidden="false" customHeight="false" outlineLevel="0" collapsed="false">
      <c r="A405" s="33"/>
      <c r="B405" s="34"/>
      <c r="C405" s="34"/>
      <c r="D405" s="34"/>
      <c r="E405" s="34"/>
      <c r="F405" s="34"/>
      <c r="G405" s="7"/>
      <c r="H405" s="35"/>
      <c r="I405" s="35"/>
      <c r="J405" s="7"/>
      <c r="K405" s="35"/>
      <c r="L405" s="7"/>
      <c r="M405" s="21" t="str">
        <f aca="false">IF(C405="","",IFERROR(I405/H405,0))</f>
        <v/>
      </c>
      <c r="N405" s="9" t="str">
        <f aca="false">IF(C405="","",IFERROR(J405/I405,0))</f>
        <v/>
      </c>
      <c r="O405" s="21" t="str">
        <f aca="false">IF(C405="","",IFERROR(J405/L405,0))</f>
        <v/>
      </c>
      <c r="P405" s="22" t="str">
        <f aca="false">IF(C405="","",IFERROR(L405/J405,0))</f>
        <v/>
      </c>
      <c r="Q405" s="34"/>
      <c r="R405" s="4" t="str">
        <f aca="false">IF(C405="","",B405&amp;" | "&amp;C405&amp;" | "&amp;D405)</f>
        <v/>
      </c>
      <c r="S405" s="4" t="str">
        <f aca="false">IF(C405="","",R405&amp;"#"&amp;A405)</f>
        <v/>
      </c>
    </row>
    <row r="406" customFormat="false" ht="15" hidden="false" customHeight="false" outlineLevel="0" collapsed="false">
      <c r="A406" s="33"/>
      <c r="B406" s="34"/>
      <c r="C406" s="34"/>
      <c r="D406" s="34"/>
      <c r="E406" s="34"/>
      <c r="F406" s="34"/>
      <c r="G406" s="7"/>
      <c r="H406" s="35"/>
      <c r="I406" s="35"/>
      <c r="J406" s="7"/>
      <c r="K406" s="35"/>
      <c r="L406" s="7"/>
      <c r="M406" s="21" t="str">
        <f aca="false">IF(C406="","",IFERROR(I406/H406,0))</f>
        <v/>
      </c>
      <c r="N406" s="9" t="str">
        <f aca="false">IF(C406="","",IFERROR(J406/I406,0))</f>
        <v/>
      </c>
      <c r="O406" s="21" t="str">
        <f aca="false">IF(C406="","",IFERROR(J406/L406,0))</f>
        <v/>
      </c>
      <c r="P406" s="22" t="str">
        <f aca="false">IF(C406="","",IFERROR(L406/J406,0))</f>
        <v/>
      </c>
      <c r="Q406" s="34"/>
      <c r="R406" s="4" t="str">
        <f aca="false">IF(C406="","",B406&amp;" | "&amp;C406&amp;" | "&amp;D406)</f>
        <v/>
      </c>
      <c r="S406" s="4" t="str">
        <f aca="false">IF(C406="","",R406&amp;"#"&amp;A406)</f>
        <v/>
      </c>
    </row>
    <row r="407" customFormat="false" ht="15" hidden="false" customHeight="false" outlineLevel="0" collapsed="false">
      <c r="A407" s="33"/>
      <c r="B407" s="34"/>
      <c r="C407" s="34"/>
      <c r="D407" s="34"/>
      <c r="E407" s="34"/>
      <c r="F407" s="34"/>
      <c r="G407" s="7"/>
      <c r="H407" s="35"/>
      <c r="I407" s="35"/>
      <c r="J407" s="7"/>
      <c r="K407" s="35"/>
      <c r="L407" s="7"/>
      <c r="M407" s="21" t="str">
        <f aca="false">IF(C407="","",IFERROR(I407/H407,0))</f>
        <v/>
      </c>
      <c r="N407" s="9" t="str">
        <f aca="false">IF(C407="","",IFERROR(J407/I407,0))</f>
        <v/>
      </c>
      <c r="O407" s="21" t="str">
        <f aca="false">IF(C407="","",IFERROR(J407/L407,0))</f>
        <v/>
      </c>
      <c r="P407" s="22" t="str">
        <f aca="false">IF(C407="","",IFERROR(L407/J407,0))</f>
        <v/>
      </c>
      <c r="Q407" s="34"/>
      <c r="R407" s="4" t="str">
        <f aca="false">IF(C407="","",B407&amp;" | "&amp;C407&amp;" | "&amp;D407)</f>
        <v/>
      </c>
      <c r="S407" s="4" t="str">
        <f aca="false">IF(C407="","",R407&amp;"#"&amp;A407)</f>
        <v/>
      </c>
    </row>
    <row r="408" customFormat="false" ht="15" hidden="false" customHeight="false" outlineLevel="0" collapsed="false">
      <c r="A408" s="33"/>
      <c r="B408" s="34"/>
      <c r="C408" s="34"/>
      <c r="D408" s="34"/>
      <c r="E408" s="34"/>
      <c r="F408" s="34"/>
      <c r="G408" s="7"/>
      <c r="H408" s="35"/>
      <c r="I408" s="35"/>
      <c r="J408" s="7"/>
      <c r="K408" s="35"/>
      <c r="L408" s="7"/>
      <c r="M408" s="21" t="str">
        <f aca="false">IF(C408="","",IFERROR(I408/H408,0))</f>
        <v/>
      </c>
      <c r="N408" s="9" t="str">
        <f aca="false">IF(C408="","",IFERROR(J408/I408,0))</f>
        <v/>
      </c>
      <c r="O408" s="21" t="str">
        <f aca="false">IF(C408="","",IFERROR(J408/L408,0))</f>
        <v/>
      </c>
      <c r="P408" s="22" t="str">
        <f aca="false">IF(C408="","",IFERROR(L408/J408,0))</f>
        <v/>
      </c>
      <c r="Q408" s="34"/>
      <c r="R408" s="4" t="str">
        <f aca="false">IF(C408="","",B408&amp;" | "&amp;C408&amp;" | "&amp;D408)</f>
        <v/>
      </c>
      <c r="S408" s="4" t="str">
        <f aca="false">IF(C408="","",R408&amp;"#"&amp;A408)</f>
        <v/>
      </c>
    </row>
    <row r="409" customFormat="false" ht="15" hidden="false" customHeight="false" outlineLevel="0" collapsed="false">
      <c r="A409" s="33"/>
      <c r="B409" s="34"/>
      <c r="C409" s="34"/>
      <c r="D409" s="34"/>
      <c r="E409" s="34"/>
      <c r="F409" s="34"/>
      <c r="G409" s="7"/>
      <c r="H409" s="35"/>
      <c r="I409" s="35"/>
      <c r="J409" s="7"/>
      <c r="K409" s="35"/>
      <c r="L409" s="7"/>
      <c r="M409" s="21" t="str">
        <f aca="false">IF(C409="","",IFERROR(I409/H409,0))</f>
        <v/>
      </c>
      <c r="N409" s="9" t="str">
        <f aca="false">IF(C409="","",IFERROR(J409/I409,0))</f>
        <v/>
      </c>
      <c r="O409" s="21" t="str">
        <f aca="false">IF(C409="","",IFERROR(J409/L409,0))</f>
        <v/>
      </c>
      <c r="P409" s="22" t="str">
        <f aca="false">IF(C409="","",IFERROR(L409/J409,0))</f>
        <v/>
      </c>
      <c r="Q409" s="34"/>
      <c r="R409" s="4" t="str">
        <f aca="false">IF(C409="","",B409&amp;" | "&amp;C409&amp;" | "&amp;D409)</f>
        <v/>
      </c>
      <c r="S409" s="4" t="str">
        <f aca="false">IF(C409="","",R409&amp;"#"&amp;A409)</f>
        <v/>
      </c>
    </row>
    <row r="410" customFormat="false" ht="15" hidden="false" customHeight="false" outlineLevel="0" collapsed="false">
      <c r="A410" s="33"/>
      <c r="B410" s="34"/>
      <c r="C410" s="34"/>
      <c r="D410" s="34"/>
      <c r="E410" s="34"/>
      <c r="F410" s="34"/>
      <c r="G410" s="7"/>
      <c r="H410" s="35"/>
      <c r="I410" s="35"/>
      <c r="J410" s="7"/>
      <c r="K410" s="35"/>
      <c r="L410" s="7"/>
      <c r="M410" s="21" t="str">
        <f aca="false">IF(C410="","",IFERROR(I410/H410,0))</f>
        <v/>
      </c>
      <c r="N410" s="9" t="str">
        <f aca="false">IF(C410="","",IFERROR(J410/I410,0))</f>
        <v/>
      </c>
      <c r="O410" s="21" t="str">
        <f aca="false">IF(C410="","",IFERROR(J410/L410,0))</f>
        <v/>
      </c>
      <c r="P410" s="22" t="str">
        <f aca="false">IF(C410="","",IFERROR(L410/J410,0))</f>
        <v/>
      </c>
      <c r="Q410" s="34"/>
      <c r="R410" s="4" t="str">
        <f aca="false">IF(C410="","",B410&amp;" | "&amp;C410&amp;" | "&amp;D410)</f>
        <v/>
      </c>
      <c r="S410" s="4" t="str">
        <f aca="false">IF(C410="","",R410&amp;"#"&amp;A410)</f>
        <v/>
      </c>
    </row>
    <row r="411" customFormat="false" ht="15" hidden="false" customHeight="false" outlineLevel="0" collapsed="false">
      <c r="A411" s="33"/>
      <c r="B411" s="34"/>
      <c r="C411" s="34"/>
      <c r="D411" s="34"/>
      <c r="E411" s="34"/>
      <c r="F411" s="34"/>
      <c r="G411" s="7"/>
      <c r="H411" s="35"/>
      <c r="I411" s="35"/>
      <c r="J411" s="7"/>
      <c r="K411" s="35"/>
      <c r="L411" s="7"/>
      <c r="M411" s="21" t="str">
        <f aca="false">IF(C411="","",IFERROR(I411/H411,0))</f>
        <v/>
      </c>
      <c r="N411" s="9" t="str">
        <f aca="false">IF(C411="","",IFERROR(J411/I411,0))</f>
        <v/>
      </c>
      <c r="O411" s="21" t="str">
        <f aca="false">IF(C411="","",IFERROR(J411/L411,0))</f>
        <v/>
      </c>
      <c r="P411" s="22" t="str">
        <f aca="false">IF(C411="","",IFERROR(L411/J411,0))</f>
        <v/>
      </c>
      <c r="Q411" s="34"/>
      <c r="R411" s="4" t="str">
        <f aca="false">IF(C411="","",B411&amp;" | "&amp;C411&amp;" | "&amp;D411)</f>
        <v/>
      </c>
      <c r="S411" s="4" t="str">
        <f aca="false">IF(C411="","",R411&amp;"#"&amp;A411)</f>
        <v/>
      </c>
    </row>
    <row r="412" customFormat="false" ht="15" hidden="false" customHeight="false" outlineLevel="0" collapsed="false">
      <c r="A412" s="33"/>
      <c r="B412" s="34"/>
      <c r="C412" s="34"/>
      <c r="D412" s="34"/>
      <c r="E412" s="34"/>
      <c r="F412" s="34"/>
      <c r="G412" s="7"/>
      <c r="H412" s="35"/>
      <c r="I412" s="35"/>
      <c r="J412" s="7"/>
      <c r="K412" s="35"/>
      <c r="L412" s="7"/>
      <c r="M412" s="21" t="str">
        <f aca="false">IF(C412="","",IFERROR(I412/H412,0))</f>
        <v/>
      </c>
      <c r="N412" s="9" t="str">
        <f aca="false">IF(C412="","",IFERROR(J412/I412,0))</f>
        <v/>
      </c>
      <c r="O412" s="21" t="str">
        <f aca="false">IF(C412="","",IFERROR(J412/L412,0))</f>
        <v/>
      </c>
      <c r="P412" s="22" t="str">
        <f aca="false">IF(C412="","",IFERROR(L412/J412,0))</f>
        <v/>
      </c>
      <c r="Q412" s="34"/>
      <c r="R412" s="4" t="str">
        <f aca="false">IF(C412="","",B412&amp;" | "&amp;C412&amp;" | "&amp;D412)</f>
        <v/>
      </c>
      <c r="S412" s="4" t="str">
        <f aca="false">IF(C412="","",R412&amp;"#"&amp;A412)</f>
        <v/>
      </c>
    </row>
    <row r="413" customFormat="false" ht="15" hidden="false" customHeight="false" outlineLevel="0" collapsed="false">
      <c r="A413" s="33"/>
      <c r="B413" s="34"/>
      <c r="C413" s="34"/>
      <c r="D413" s="34"/>
      <c r="E413" s="34"/>
      <c r="F413" s="34"/>
      <c r="G413" s="7"/>
      <c r="H413" s="35"/>
      <c r="I413" s="35"/>
      <c r="J413" s="7"/>
      <c r="K413" s="35"/>
      <c r="L413" s="7"/>
      <c r="M413" s="21" t="str">
        <f aca="false">IF(C413="","",IFERROR(I413/H413,0))</f>
        <v/>
      </c>
      <c r="N413" s="9" t="str">
        <f aca="false">IF(C413="","",IFERROR(J413/I413,0))</f>
        <v/>
      </c>
      <c r="O413" s="21" t="str">
        <f aca="false">IF(C413="","",IFERROR(J413/L413,0))</f>
        <v/>
      </c>
      <c r="P413" s="22" t="str">
        <f aca="false">IF(C413="","",IFERROR(L413/J413,0))</f>
        <v/>
      </c>
      <c r="Q413" s="34"/>
      <c r="R413" s="4" t="str">
        <f aca="false">IF(C413="","",B413&amp;" | "&amp;C413&amp;" | "&amp;D413)</f>
        <v/>
      </c>
      <c r="S413" s="4" t="str">
        <f aca="false">IF(C413="","",R413&amp;"#"&amp;A413)</f>
        <v/>
      </c>
    </row>
    <row r="414" customFormat="false" ht="15" hidden="false" customHeight="false" outlineLevel="0" collapsed="false">
      <c r="A414" s="33"/>
      <c r="B414" s="34"/>
      <c r="C414" s="34"/>
      <c r="D414" s="34"/>
      <c r="E414" s="34"/>
      <c r="F414" s="34"/>
      <c r="G414" s="7"/>
      <c r="H414" s="35"/>
      <c r="I414" s="35"/>
      <c r="J414" s="7"/>
      <c r="K414" s="35"/>
      <c r="L414" s="7"/>
      <c r="M414" s="21" t="str">
        <f aca="false">IF(C414="","",IFERROR(I414/H414,0))</f>
        <v/>
      </c>
      <c r="N414" s="9" t="str">
        <f aca="false">IF(C414="","",IFERROR(J414/I414,0))</f>
        <v/>
      </c>
      <c r="O414" s="21" t="str">
        <f aca="false">IF(C414="","",IFERROR(J414/L414,0))</f>
        <v/>
      </c>
      <c r="P414" s="22" t="str">
        <f aca="false">IF(C414="","",IFERROR(L414/J414,0))</f>
        <v/>
      </c>
      <c r="Q414" s="34"/>
      <c r="R414" s="4" t="str">
        <f aca="false">IF(C414="","",B414&amp;" | "&amp;C414&amp;" | "&amp;D414)</f>
        <v/>
      </c>
      <c r="S414" s="4" t="str">
        <f aca="false">IF(C414="","",R414&amp;"#"&amp;A414)</f>
        <v/>
      </c>
    </row>
    <row r="415" customFormat="false" ht="15" hidden="false" customHeight="false" outlineLevel="0" collapsed="false">
      <c r="A415" s="33"/>
      <c r="B415" s="34"/>
      <c r="C415" s="34"/>
      <c r="D415" s="34"/>
      <c r="E415" s="34"/>
      <c r="F415" s="34"/>
      <c r="G415" s="7"/>
      <c r="H415" s="35"/>
      <c r="I415" s="35"/>
      <c r="J415" s="7"/>
      <c r="K415" s="35"/>
      <c r="L415" s="7"/>
      <c r="M415" s="21" t="str">
        <f aca="false">IF(C415="","",IFERROR(I415/H415,0))</f>
        <v/>
      </c>
      <c r="N415" s="9" t="str">
        <f aca="false">IF(C415="","",IFERROR(J415/I415,0))</f>
        <v/>
      </c>
      <c r="O415" s="21" t="str">
        <f aca="false">IF(C415="","",IFERROR(J415/L415,0))</f>
        <v/>
      </c>
      <c r="P415" s="22" t="str">
        <f aca="false">IF(C415="","",IFERROR(L415/J415,0))</f>
        <v/>
      </c>
      <c r="Q415" s="34"/>
      <c r="R415" s="4" t="str">
        <f aca="false">IF(C415="","",B415&amp;" | "&amp;C415&amp;" | "&amp;D415)</f>
        <v/>
      </c>
      <c r="S415" s="4" t="str">
        <f aca="false">IF(C415="","",R415&amp;"#"&amp;A415)</f>
        <v/>
      </c>
    </row>
    <row r="416" customFormat="false" ht="15" hidden="false" customHeight="false" outlineLevel="0" collapsed="false">
      <c r="A416" s="33"/>
      <c r="B416" s="34"/>
      <c r="C416" s="34"/>
      <c r="D416" s="34"/>
      <c r="E416" s="34"/>
      <c r="F416" s="34"/>
      <c r="G416" s="7"/>
      <c r="H416" s="35"/>
      <c r="I416" s="35"/>
      <c r="J416" s="7"/>
      <c r="K416" s="35"/>
      <c r="L416" s="7"/>
      <c r="M416" s="21" t="str">
        <f aca="false">IF(C416="","",IFERROR(I416/H416,0))</f>
        <v/>
      </c>
      <c r="N416" s="9" t="str">
        <f aca="false">IF(C416="","",IFERROR(J416/I416,0))</f>
        <v/>
      </c>
      <c r="O416" s="21" t="str">
        <f aca="false">IF(C416="","",IFERROR(J416/L416,0))</f>
        <v/>
      </c>
      <c r="P416" s="22" t="str">
        <f aca="false">IF(C416="","",IFERROR(L416/J416,0))</f>
        <v/>
      </c>
      <c r="Q416" s="34"/>
      <c r="R416" s="4" t="str">
        <f aca="false">IF(C416="","",B416&amp;" | "&amp;C416&amp;" | "&amp;D416)</f>
        <v/>
      </c>
      <c r="S416" s="4" t="str">
        <f aca="false">IF(C416="","",R416&amp;"#"&amp;A416)</f>
        <v/>
      </c>
    </row>
    <row r="417" customFormat="false" ht="15" hidden="false" customHeight="false" outlineLevel="0" collapsed="false">
      <c r="A417" s="33"/>
      <c r="B417" s="34"/>
      <c r="C417" s="34"/>
      <c r="D417" s="34"/>
      <c r="E417" s="34"/>
      <c r="F417" s="34"/>
      <c r="G417" s="7"/>
      <c r="H417" s="35"/>
      <c r="I417" s="35"/>
      <c r="J417" s="7"/>
      <c r="K417" s="35"/>
      <c r="L417" s="7"/>
      <c r="M417" s="21" t="str">
        <f aca="false">IF(C417="","",IFERROR(I417/H417,0))</f>
        <v/>
      </c>
      <c r="N417" s="9" t="str">
        <f aca="false">IF(C417="","",IFERROR(J417/I417,0))</f>
        <v/>
      </c>
      <c r="O417" s="21" t="str">
        <f aca="false">IF(C417="","",IFERROR(J417/L417,0))</f>
        <v/>
      </c>
      <c r="P417" s="22" t="str">
        <f aca="false">IF(C417="","",IFERROR(L417/J417,0))</f>
        <v/>
      </c>
      <c r="Q417" s="34"/>
      <c r="R417" s="4" t="str">
        <f aca="false">IF(C417="","",B417&amp;" | "&amp;C417&amp;" | "&amp;D417)</f>
        <v/>
      </c>
      <c r="S417" s="4" t="str">
        <f aca="false">IF(C417="","",R417&amp;"#"&amp;A417)</f>
        <v/>
      </c>
    </row>
    <row r="418" customFormat="false" ht="15" hidden="false" customHeight="false" outlineLevel="0" collapsed="false">
      <c r="A418" s="33"/>
      <c r="B418" s="34"/>
      <c r="C418" s="34"/>
      <c r="D418" s="34"/>
      <c r="E418" s="34"/>
      <c r="F418" s="34"/>
      <c r="G418" s="7"/>
      <c r="H418" s="35"/>
      <c r="I418" s="35"/>
      <c r="J418" s="7"/>
      <c r="K418" s="35"/>
      <c r="L418" s="7"/>
      <c r="M418" s="21" t="str">
        <f aca="false">IF(C418="","",IFERROR(I418/H418,0))</f>
        <v/>
      </c>
      <c r="N418" s="9" t="str">
        <f aca="false">IF(C418="","",IFERROR(J418/I418,0))</f>
        <v/>
      </c>
      <c r="O418" s="21" t="str">
        <f aca="false">IF(C418="","",IFERROR(J418/L418,0))</f>
        <v/>
      </c>
      <c r="P418" s="22" t="str">
        <f aca="false">IF(C418="","",IFERROR(L418/J418,0))</f>
        <v/>
      </c>
      <c r="Q418" s="34"/>
      <c r="R418" s="4" t="str">
        <f aca="false">IF(C418="","",B418&amp;" | "&amp;C418&amp;" | "&amp;D418)</f>
        <v/>
      </c>
      <c r="S418" s="4" t="str">
        <f aca="false">IF(C418="","",R418&amp;"#"&amp;A418)</f>
        <v/>
      </c>
    </row>
    <row r="419" customFormat="false" ht="15" hidden="false" customHeight="false" outlineLevel="0" collapsed="false">
      <c r="A419" s="33"/>
      <c r="B419" s="34"/>
      <c r="C419" s="34"/>
      <c r="D419" s="34"/>
      <c r="E419" s="34"/>
      <c r="F419" s="34"/>
      <c r="G419" s="7"/>
      <c r="H419" s="35"/>
      <c r="I419" s="35"/>
      <c r="J419" s="7"/>
      <c r="K419" s="35"/>
      <c r="L419" s="7"/>
      <c r="M419" s="21" t="str">
        <f aca="false">IF(C419="","",IFERROR(I419/H419,0))</f>
        <v/>
      </c>
      <c r="N419" s="9" t="str">
        <f aca="false">IF(C419="","",IFERROR(J419/I419,0))</f>
        <v/>
      </c>
      <c r="O419" s="21" t="str">
        <f aca="false">IF(C419="","",IFERROR(J419/L419,0))</f>
        <v/>
      </c>
      <c r="P419" s="22" t="str">
        <f aca="false">IF(C419="","",IFERROR(L419/J419,0))</f>
        <v/>
      </c>
      <c r="Q419" s="34"/>
      <c r="R419" s="4" t="str">
        <f aca="false">IF(C419="","",B419&amp;" | "&amp;C419&amp;" | "&amp;D419)</f>
        <v/>
      </c>
      <c r="S419" s="4" t="str">
        <f aca="false">IF(C419="","",R419&amp;"#"&amp;A419)</f>
        <v/>
      </c>
    </row>
    <row r="420" customFormat="false" ht="15" hidden="false" customHeight="false" outlineLevel="0" collapsed="false">
      <c r="A420" s="33"/>
      <c r="B420" s="34"/>
      <c r="C420" s="34"/>
      <c r="D420" s="34"/>
      <c r="E420" s="34"/>
      <c r="F420" s="34"/>
      <c r="G420" s="7"/>
      <c r="H420" s="35"/>
      <c r="I420" s="35"/>
      <c r="J420" s="7"/>
      <c r="K420" s="35"/>
      <c r="L420" s="7"/>
      <c r="M420" s="21" t="str">
        <f aca="false">IF(C420="","",IFERROR(I420/H420,0))</f>
        <v/>
      </c>
      <c r="N420" s="9" t="str">
        <f aca="false">IF(C420="","",IFERROR(J420/I420,0))</f>
        <v/>
      </c>
      <c r="O420" s="21" t="str">
        <f aca="false">IF(C420="","",IFERROR(J420/L420,0))</f>
        <v/>
      </c>
      <c r="P420" s="22" t="str">
        <f aca="false">IF(C420="","",IFERROR(L420/J420,0))</f>
        <v/>
      </c>
      <c r="Q420" s="34"/>
      <c r="R420" s="4" t="str">
        <f aca="false">IF(C420="","",B420&amp;" | "&amp;C420&amp;" | "&amp;D420)</f>
        <v/>
      </c>
      <c r="S420" s="4" t="str">
        <f aca="false">IF(C420="","",R420&amp;"#"&amp;A420)</f>
        <v/>
      </c>
    </row>
    <row r="421" customFormat="false" ht="15" hidden="false" customHeight="false" outlineLevel="0" collapsed="false">
      <c r="A421" s="33"/>
      <c r="B421" s="34"/>
      <c r="C421" s="34"/>
      <c r="D421" s="34"/>
      <c r="E421" s="34"/>
      <c r="F421" s="34"/>
      <c r="G421" s="7"/>
      <c r="H421" s="35"/>
      <c r="I421" s="35"/>
      <c r="J421" s="7"/>
      <c r="K421" s="35"/>
      <c r="L421" s="7"/>
      <c r="M421" s="21" t="str">
        <f aca="false">IF(C421="","",IFERROR(I421/H421,0))</f>
        <v/>
      </c>
      <c r="N421" s="9" t="str">
        <f aca="false">IF(C421="","",IFERROR(J421/I421,0))</f>
        <v/>
      </c>
      <c r="O421" s="21" t="str">
        <f aca="false">IF(C421="","",IFERROR(J421/L421,0))</f>
        <v/>
      </c>
      <c r="P421" s="22" t="str">
        <f aca="false">IF(C421="","",IFERROR(L421/J421,0))</f>
        <v/>
      </c>
      <c r="Q421" s="34"/>
      <c r="R421" s="4" t="str">
        <f aca="false">IF(C421="","",B421&amp;" | "&amp;C421&amp;" | "&amp;D421)</f>
        <v/>
      </c>
      <c r="S421" s="4" t="str">
        <f aca="false">IF(C421="","",R421&amp;"#"&amp;A421)</f>
        <v/>
      </c>
    </row>
    <row r="422" customFormat="false" ht="15" hidden="false" customHeight="false" outlineLevel="0" collapsed="false">
      <c r="A422" s="33"/>
      <c r="B422" s="34"/>
      <c r="C422" s="34"/>
      <c r="D422" s="34"/>
      <c r="E422" s="34"/>
      <c r="F422" s="34"/>
      <c r="G422" s="7"/>
      <c r="H422" s="35"/>
      <c r="I422" s="35"/>
      <c r="J422" s="7"/>
      <c r="K422" s="35"/>
      <c r="L422" s="7"/>
      <c r="M422" s="21" t="str">
        <f aca="false">IF(C422="","",IFERROR(I422/H422,0))</f>
        <v/>
      </c>
      <c r="N422" s="9" t="str">
        <f aca="false">IF(C422="","",IFERROR(J422/I422,0))</f>
        <v/>
      </c>
      <c r="O422" s="21" t="str">
        <f aca="false">IF(C422="","",IFERROR(J422/L422,0))</f>
        <v/>
      </c>
      <c r="P422" s="22" t="str">
        <f aca="false">IF(C422="","",IFERROR(L422/J422,0))</f>
        <v/>
      </c>
      <c r="Q422" s="34"/>
      <c r="R422" s="4" t="str">
        <f aca="false">IF(C422="","",B422&amp;" | "&amp;C422&amp;" | "&amp;D422)</f>
        <v/>
      </c>
      <c r="S422" s="4" t="str">
        <f aca="false">IF(C422="","",R422&amp;"#"&amp;A422)</f>
        <v/>
      </c>
    </row>
    <row r="423" customFormat="false" ht="15" hidden="false" customHeight="false" outlineLevel="0" collapsed="false">
      <c r="A423" s="33"/>
      <c r="B423" s="34"/>
      <c r="C423" s="34"/>
      <c r="D423" s="34"/>
      <c r="E423" s="34"/>
      <c r="F423" s="34"/>
      <c r="G423" s="7"/>
      <c r="H423" s="35"/>
      <c r="I423" s="35"/>
      <c r="J423" s="7"/>
      <c r="K423" s="35"/>
      <c r="L423" s="7"/>
      <c r="M423" s="21" t="str">
        <f aca="false">IF(C423="","",IFERROR(I423/H423,0))</f>
        <v/>
      </c>
      <c r="N423" s="9" t="str">
        <f aca="false">IF(C423="","",IFERROR(J423/I423,0))</f>
        <v/>
      </c>
      <c r="O423" s="21" t="str">
        <f aca="false">IF(C423="","",IFERROR(J423/L423,0))</f>
        <v/>
      </c>
      <c r="P423" s="22" t="str">
        <f aca="false">IF(C423="","",IFERROR(L423/J423,0))</f>
        <v/>
      </c>
      <c r="Q423" s="34"/>
      <c r="R423" s="4" t="str">
        <f aca="false">IF(C423="","",B423&amp;" | "&amp;C423&amp;" | "&amp;D423)</f>
        <v/>
      </c>
      <c r="S423" s="4" t="str">
        <f aca="false">IF(C423="","",R423&amp;"#"&amp;A423)</f>
        <v/>
      </c>
    </row>
    <row r="424" customFormat="false" ht="15" hidden="false" customHeight="false" outlineLevel="0" collapsed="false">
      <c r="A424" s="33"/>
      <c r="B424" s="34"/>
      <c r="C424" s="34"/>
      <c r="D424" s="34"/>
      <c r="E424" s="34"/>
      <c r="F424" s="34"/>
      <c r="G424" s="7"/>
      <c r="H424" s="35"/>
      <c r="I424" s="35"/>
      <c r="J424" s="7"/>
      <c r="K424" s="35"/>
      <c r="L424" s="7"/>
      <c r="M424" s="21" t="str">
        <f aca="false">IF(C424="","",IFERROR(I424/H424,0))</f>
        <v/>
      </c>
      <c r="N424" s="9" t="str">
        <f aca="false">IF(C424="","",IFERROR(J424/I424,0))</f>
        <v/>
      </c>
      <c r="O424" s="21" t="str">
        <f aca="false">IF(C424="","",IFERROR(J424/L424,0))</f>
        <v/>
      </c>
      <c r="P424" s="22" t="str">
        <f aca="false">IF(C424="","",IFERROR(L424/J424,0))</f>
        <v/>
      </c>
      <c r="Q424" s="34"/>
      <c r="R424" s="4" t="str">
        <f aca="false">IF(C424="","",B424&amp;" | "&amp;C424&amp;" | "&amp;D424)</f>
        <v/>
      </c>
      <c r="S424" s="4" t="str">
        <f aca="false">IF(C424="","",R424&amp;"#"&amp;A424)</f>
        <v/>
      </c>
    </row>
    <row r="425" customFormat="false" ht="15" hidden="false" customHeight="false" outlineLevel="0" collapsed="false">
      <c r="A425" s="33"/>
      <c r="B425" s="34"/>
      <c r="C425" s="34"/>
      <c r="D425" s="34"/>
      <c r="E425" s="34"/>
      <c r="F425" s="34"/>
      <c r="G425" s="7"/>
      <c r="H425" s="35"/>
      <c r="I425" s="35"/>
      <c r="J425" s="7"/>
      <c r="K425" s="35"/>
      <c r="L425" s="7"/>
      <c r="M425" s="21" t="str">
        <f aca="false">IF(C425="","",IFERROR(I425/H425,0))</f>
        <v/>
      </c>
      <c r="N425" s="9" t="str">
        <f aca="false">IF(C425="","",IFERROR(J425/I425,0))</f>
        <v/>
      </c>
      <c r="O425" s="21" t="str">
        <f aca="false">IF(C425="","",IFERROR(J425/L425,0))</f>
        <v/>
      </c>
      <c r="P425" s="22" t="str">
        <f aca="false">IF(C425="","",IFERROR(L425/J425,0))</f>
        <v/>
      </c>
      <c r="Q425" s="34"/>
      <c r="R425" s="4" t="str">
        <f aca="false">IF(C425="","",B425&amp;" | "&amp;C425&amp;" | "&amp;D425)</f>
        <v/>
      </c>
      <c r="S425" s="4" t="str">
        <f aca="false">IF(C425="","",R425&amp;"#"&amp;A425)</f>
        <v/>
      </c>
    </row>
    <row r="426" customFormat="false" ht="15" hidden="false" customHeight="false" outlineLevel="0" collapsed="false">
      <c r="A426" s="33"/>
      <c r="B426" s="34"/>
      <c r="C426" s="34"/>
      <c r="D426" s="34"/>
      <c r="E426" s="34"/>
      <c r="F426" s="34"/>
      <c r="G426" s="7"/>
      <c r="H426" s="35"/>
      <c r="I426" s="35"/>
      <c r="J426" s="7"/>
      <c r="K426" s="35"/>
      <c r="L426" s="7"/>
      <c r="M426" s="21" t="str">
        <f aca="false">IF(C426="","",IFERROR(I426/H426,0))</f>
        <v/>
      </c>
      <c r="N426" s="9" t="str">
        <f aca="false">IF(C426="","",IFERROR(J426/I426,0))</f>
        <v/>
      </c>
      <c r="O426" s="21" t="str">
        <f aca="false">IF(C426="","",IFERROR(J426/L426,0))</f>
        <v/>
      </c>
      <c r="P426" s="22" t="str">
        <f aca="false">IF(C426="","",IFERROR(L426/J426,0))</f>
        <v/>
      </c>
      <c r="Q426" s="34"/>
      <c r="R426" s="4" t="str">
        <f aca="false">IF(C426="","",B426&amp;" | "&amp;C426&amp;" | "&amp;D426)</f>
        <v/>
      </c>
      <c r="S426" s="4" t="str">
        <f aca="false">IF(C426="","",R426&amp;"#"&amp;A426)</f>
        <v/>
      </c>
    </row>
    <row r="427" customFormat="false" ht="15" hidden="false" customHeight="false" outlineLevel="0" collapsed="false">
      <c r="A427" s="33"/>
      <c r="B427" s="34"/>
      <c r="C427" s="34"/>
      <c r="D427" s="34"/>
      <c r="E427" s="34"/>
      <c r="F427" s="34"/>
      <c r="G427" s="7"/>
      <c r="H427" s="35"/>
      <c r="I427" s="35"/>
      <c r="J427" s="7"/>
      <c r="K427" s="35"/>
      <c r="L427" s="7"/>
      <c r="M427" s="21" t="str">
        <f aca="false">IF(C427="","",IFERROR(I427/H427,0))</f>
        <v/>
      </c>
      <c r="N427" s="9" t="str">
        <f aca="false">IF(C427="","",IFERROR(J427/I427,0))</f>
        <v/>
      </c>
      <c r="O427" s="21" t="str">
        <f aca="false">IF(C427="","",IFERROR(J427/L427,0))</f>
        <v/>
      </c>
      <c r="P427" s="22" t="str">
        <f aca="false">IF(C427="","",IFERROR(L427/J427,0))</f>
        <v/>
      </c>
      <c r="Q427" s="34"/>
      <c r="R427" s="4" t="str">
        <f aca="false">IF(C427="","",B427&amp;" | "&amp;C427&amp;" | "&amp;D427)</f>
        <v/>
      </c>
      <c r="S427" s="4" t="str">
        <f aca="false">IF(C427="","",R427&amp;"#"&amp;A427)</f>
        <v/>
      </c>
    </row>
    <row r="428" customFormat="false" ht="15" hidden="false" customHeight="false" outlineLevel="0" collapsed="false">
      <c r="A428" s="33"/>
      <c r="B428" s="34"/>
      <c r="C428" s="34"/>
      <c r="D428" s="34"/>
      <c r="E428" s="34"/>
      <c r="F428" s="34"/>
      <c r="G428" s="7"/>
      <c r="H428" s="35"/>
      <c r="I428" s="35"/>
      <c r="J428" s="7"/>
      <c r="K428" s="35"/>
      <c r="L428" s="7"/>
      <c r="M428" s="21" t="str">
        <f aca="false">IF(C428="","",IFERROR(I428/H428,0))</f>
        <v/>
      </c>
      <c r="N428" s="9" t="str">
        <f aca="false">IF(C428="","",IFERROR(J428/I428,0))</f>
        <v/>
      </c>
      <c r="O428" s="21" t="str">
        <f aca="false">IF(C428="","",IFERROR(J428/L428,0))</f>
        <v/>
      </c>
      <c r="P428" s="22" t="str">
        <f aca="false">IF(C428="","",IFERROR(L428/J428,0))</f>
        <v/>
      </c>
      <c r="Q428" s="34"/>
      <c r="R428" s="4" t="str">
        <f aca="false">IF(C428="","",B428&amp;" | "&amp;C428&amp;" | "&amp;D428)</f>
        <v/>
      </c>
      <c r="S428" s="4" t="str">
        <f aca="false">IF(C428="","",R428&amp;"#"&amp;A428)</f>
        <v/>
      </c>
    </row>
    <row r="429" customFormat="false" ht="15" hidden="false" customHeight="false" outlineLevel="0" collapsed="false">
      <c r="A429" s="33"/>
      <c r="B429" s="34"/>
      <c r="C429" s="34"/>
      <c r="D429" s="34"/>
      <c r="E429" s="34"/>
      <c r="F429" s="34"/>
      <c r="G429" s="7"/>
      <c r="H429" s="35"/>
      <c r="I429" s="35"/>
      <c r="J429" s="7"/>
      <c r="K429" s="35"/>
      <c r="L429" s="7"/>
      <c r="M429" s="21" t="str">
        <f aca="false">IF(C429="","",IFERROR(I429/H429,0))</f>
        <v/>
      </c>
      <c r="N429" s="9" t="str">
        <f aca="false">IF(C429="","",IFERROR(J429/I429,0))</f>
        <v/>
      </c>
      <c r="O429" s="21" t="str">
        <f aca="false">IF(C429="","",IFERROR(J429/L429,0))</f>
        <v/>
      </c>
      <c r="P429" s="22" t="str">
        <f aca="false">IF(C429="","",IFERROR(L429/J429,0))</f>
        <v/>
      </c>
      <c r="Q429" s="34"/>
      <c r="R429" s="4" t="str">
        <f aca="false">IF(C429="","",B429&amp;" | "&amp;C429&amp;" | "&amp;D429)</f>
        <v/>
      </c>
      <c r="S429" s="4" t="str">
        <f aca="false">IF(C429="","",R429&amp;"#"&amp;A429)</f>
        <v/>
      </c>
    </row>
    <row r="430" customFormat="false" ht="15" hidden="false" customHeight="false" outlineLevel="0" collapsed="false">
      <c r="A430" s="33"/>
      <c r="B430" s="34"/>
      <c r="C430" s="34"/>
      <c r="D430" s="34"/>
      <c r="E430" s="34"/>
      <c r="F430" s="34"/>
      <c r="G430" s="7"/>
      <c r="H430" s="35"/>
      <c r="I430" s="35"/>
      <c r="J430" s="7"/>
      <c r="K430" s="35"/>
      <c r="L430" s="7"/>
      <c r="M430" s="21" t="str">
        <f aca="false">IF(C430="","",IFERROR(I430/H430,0))</f>
        <v/>
      </c>
      <c r="N430" s="9" t="str">
        <f aca="false">IF(C430="","",IFERROR(J430/I430,0))</f>
        <v/>
      </c>
      <c r="O430" s="21" t="str">
        <f aca="false">IF(C430="","",IFERROR(J430/L430,0))</f>
        <v/>
      </c>
      <c r="P430" s="22" t="str">
        <f aca="false">IF(C430="","",IFERROR(L430/J430,0))</f>
        <v/>
      </c>
      <c r="Q430" s="34"/>
      <c r="R430" s="4" t="str">
        <f aca="false">IF(C430="","",B430&amp;" | "&amp;C430&amp;" | "&amp;D430)</f>
        <v/>
      </c>
      <c r="S430" s="4" t="str">
        <f aca="false">IF(C430="","",R430&amp;"#"&amp;A430)</f>
        <v/>
      </c>
    </row>
    <row r="431" customFormat="false" ht="15" hidden="false" customHeight="false" outlineLevel="0" collapsed="false">
      <c r="A431" s="33"/>
      <c r="B431" s="34"/>
      <c r="C431" s="34"/>
      <c r="D431" s="34"/>
      <c r="E431" s="34"/>
      <c r="F431" s="34"/>
      <c r="G431" s="7"/>
      <c r="H431" s="35"/>
      <c r="I431" s="35"/>
      <c r="J431" s="7"/>
      <c r="K431" s="35"/>
      <c r="L431" s="7"/>
      <c r="M431" s="21" t="str">
        <f aca="false">IF(C431="","",IFERROR(I431/H431,0))</f>
        <v/>
      </c>
      <c r="N431" s="9" t="str">
        <f aca="false">IF(C431="","",IFERROR(J431/I431,0))</f>
        <v/>
      </c>
      <c r="O431" s="21" t="str">
        <f aca="false">IF(C431="","",IFERROR(J431/L431,0))</f>
        <v/>
      </c>
      <c r="P431" s="22" t="str">
        <f aca="false">IF(C431="","",IFERROR(L431/J431,0))</f>
        <v/>
      </c>
      <c r="Q431" s="34"/>
      <c r="R431" s="4" t="str">
        <f aca="false">IF(C431="","",B431&amp;" | "&amp;C431&amp;" | "&amp;D431)</f>
        <v/>
      </c>
      <c r="S431" s="4" t="str">
        <f aca="false">IF(C431="","",R431&amp;"#"&amp;A431)</f>
        <v/>
      </c>
    </row>
    <row r="432" customFormat="false" ht="15" hidden="false" customHeight="false" outlineLevel="0" collapsed="false">
      <c r="A432" s="33"/>
      <c r="B432" s="34"/>
      <c r="C432" s="34"/>
      <c r="D432" s="34"/>
      <c r="E432" s="34"/>
      <c r="F432" s="34"/>
      <c r="G432" s="7"/>
      <c r="H432" s="35"/>
      <c r="I432" s="35"/>
      <c r="J432" s="7"/>
      <c r="K432" s="35"/>
      <c r="L432" s="7"/>
      <c r="M432" s="21" t="str">
        <f aca="false">IF(C432="","",IFERROR(I432/H432,0))</f>
        <v/>
      </c>
      <c r="N432" s="9" t="str">
        <f aca="false">IF(C432="","",IFERROR(J432/I432,0))</f>
        <v/>
      </c>
      <c r="O432" s="21" t="str">
        <f aca="false">IF(C432="","",IFERROR(J432/L432,0))</f>
        <v/>
      </c>
      <c r="P432" s="22" t="str">
        <f aca="false">IF(C432="","",IFERROR(L432/J432,0))</f>
        <v/>
      </c>
      <c r="Q432" s="34"/>
      <c r="R432" s="4" t="str">
        <f aca="false">IF(C432="","",B432&amp;" | "&amp;C432&amp;" | "&amp;D432)</f>
        <v/>
      </c>
      <c r="S432" s="4" t="str">
        <f aca="false">IF(C432="","",R432&amp;"#"&amp;A432)</f>
        <v/>
      </c>
    </row>
    <row r="433" customFormat="false" ht="15" hidden="false" customHeight="false" outlineLevel="0" collapsed="false">
      <c r="A433" s="33"/>
      <c r="B433" s="34"/>
      <c r="C433" s="34"/>
      <c r="D433" s="34"/>
      <c r="E433" s="34"/>
      <c r="F433" s="34"/>
      <c r="G433" s="7"/>
      <c r="H433" s="35"/>
      <c r="I433" s="35"/>
      <c r="J433" s="7"/>
      <c r="K433" s="35"/>
      <c r="L433" s="7"/>
      <c r="M433" s="21" t="str">
        <f aca="false">IF(C433="","",IFERROR(I433/H433,0))</f>
        <v/>
      </c>
      <c r="N433" s="9" t="str">
        <f aca="false">IF(C433="","",IFERROR(J433/I433,0))</f>
        <v/>
      </c>
      <c r="O433" s="21" t="str">
        <f aca="false">IF(C433="","",IFERROR(J433/L433,0))</f>
        <v/>
      </c>
      <c r="P433" s="22" t="str">
        <f aca="false">IF(C433="","",IFERROR(L433/J433,0))</f>
        <v/>
      </c>
      <c r="Q433" s="34"/>
      <c r="R433" s="4" t="str">
        <f aca="false">IF(C433="","",B433&amp;" | "&amp;C433&amp;" | "&amp;D433)</f>
        <v/>
      </c>
      <c r="S433" s="4" t="str">
        <f aca="false">IF(C433="","",R433&amp;"#"&amp;A433)</f>
        <v/>
      </c>
    </row>
    <row r="434" customFormat="false" ht="15" hidden="false" customHeight="false" outlineLevel="0" collapsed="false">
      <c r="A434" s="33"/>
      <c r="B434" s="34"/>
      <c r="C434" s="34"/>
      <c r="D434" s="34"/>
      <c r="E434" s="34"/>
      <c r="F434" s="34"/>
      <c r="G434" s="7"/>
      <c r="H434" s="35"/>
      <c r="I434" s="35"/>
      <c r="J434" s="7"/>
      <c r="K434" s="35"/>
      <c r="L434" s="7"/>
      <c r="M434" s="21" t="str">
        <f aca="false">IF(C434="","",IFERROR(I434/H434,0))</f>
        <v/>
      </c>
      <c r="N434" s="9" t="str">
        <f aca="false">IF(C434="","",IFERROR(J434/I434,0))</f>
        <v/>
      </c>
      <c r="O434" s="21" t="str">
        <f aca="false">IF(C434="","",IFERROR(J434/L434,0))</f>
        <v/>
      </c>
      <c r="P434" s="22" t="str">
        <f aca="false">IF(C434="","",IFERROR(L434/J434,0))</f>
        <v/>
      </c>
      <c r="Q434" s="34"/>
      <c r="R434" s="4" t="str">
        <f aca="false">IF(C434="","",B434&amp;" | "&amp;C434&amp;" | "&amp;D434)</f>
        <v/>
      </c>
      <c r="S434" s="4" t="str">
        <f aca="false">IF(C434="","",R434&amp;"#"&amp;A434)</f>
        <v/>
      </c>
    </row>
    <row r="435" customFormat="false" ht="15" hidden="false" customHeight="false" outlineLevel="0" collapsed="false">
      <c r="A435" s="33"/>
      <c r="B435" s="34"/>
      <c r="C435" s="34"/>
      <c r="D435" s="34"/>
      <c r="E435" s="34"/>
      <c r="F435" s="34"/>
      <c r="G435" s="7"/>
      <c r="H435" s="35"/>
      <c r="I435" s="35"/>
      <c r="J435" s="7"/>
      <c r="K435" s="35"/>
      <c r="L435" s="7"/>
      <c r="M435" s="21" t="str">
        <f aca="false">IF(C435="","",IFERROR(I435/H435,0))</f>
        <v/>
      </c>
      <c r="N435" s="9" t="str">
        <f aca="false">IF(C435="","",IFERROR(J435/I435,0))</f>
        <v/>
      </c>
      <c r="O435" s="21" t="str">
        <f aca="false">IF(C435="","",IFERROR(J435/L435,0))</f>
        <v/>
      </c>
      <c r="P435" s="22" t="str">
        <f aca="false">IF(C435="","",IFERROR(L435/J435,0))</f>
        <v/>
      </c>
      <c r="Q435" s="34"/>
      <c r="R435" s="4" t="str">
        <f aca="false">IF(C435="","",B435&amp;" | "&amp;C435&amp;" | "&amp;D435)</f>
        <v/>
      </c>
      <c r="S435" s="4" t="str">
        <f aca="false">IF(C435="","",R435&amp;"#"&amp;A435)</f>
        <v/>
      </c>
    </row>
    <row r="436" customFormat="false" ht="15" hidden="false" customHeight="false" outlineLevel="0" collapsed="false">
      <c r="A436" s="33"/>
      <c r="B436" s="34"/>
      <c r="C436" s="34"/>
      <c r="D436" s="34"/>
      <c r="E436" s="34"/>
      <c r="F436" s="34"/>
      <c r="G436" s="7"/>
      <c r="H436" s="35"/>
      <c r="I436" s="35"/>
      <c r="J436" s="7"/>
      <c r="K436" s="35"/>
      <c r="L436" s="7"/>
      <c r="M436" s="21" t="str">
        <f aca="false">IF(C436="","",IFERROR(I436/H436,0))</f>
        <v/>
      </c>
      <c r="N436" s="9" t="str">
        <f aca="false">IF(C436="","",IFERROR(J436/I436,0))</f>
        <v/>
      </c>
      <c r="O436" s="21" t="str">
        <f aca="false">IF(C436="","",IFERROR(J436/L436,0))</f>
        <v/>
      </c>
      <c r="P436" s="22" t="str">
        <f aca="false">IF(C436="","",IFERROR(L436/J436,0))</f>
        <v/>
      </c>
      <c r="Q436" s="34"/>
      <c r="R436" s="4" t="str">
        <f aca="false">IF(C436="","",B436&amp;" | "&amp;C436&amp;" | "&amp;D436)</f>
        <v/>
      </c>
      <c r="S436" s="4" t="str">
        <f aca="false">IF(C436="","",R436&amp;"#"&amp;A436)</f>
        <v/>
      </c>
    </row>
    <row r="437" customFormat="false" ht="15" hidden="false" customHeight="false" outlineLevel="0" collapsed="false">
      <c r="A437" s="33"/>
      <c r="B437" s="34"/>
      <c r="C437" s="34"/>
      <c r="D437" s="34"/>
      <c r="E437" s="34"/>
      <c r="F437" s="34"/>
      <c r="G437" s="7"/>
      <c r="H437" s="35"/>
      <c r="I437" s="35"/>
      <c r="J437" s="7"/>
      <c r="K437" s="35"/>
      <c r="L437" s="7"/>
      <c r="M437" s="21" t="str">
        <f aca="false">IF(C437="","",IFERROR(I437/H437,0))</f>
        <v/>
      </c>
      <c r="N437" s="9" t="str">
        <f aca="false">IF(C437="","",IFERROR(J437/I437,0))</f>
        <v/>
      </c>
      <c r="O437" s="21" t="str">
        <f aca="false">IF(C437="","",IFERROR(J437/L437,0))</f>
        <v/>
      </c>
      <c r="P437" s="22" t="str">
        <f aca="false">IF(C437="","",IFERROR(L437/J437,0))</f>
        <v/>
      </c>
      <c r="Q437" s="34"/>
      <c r="R437" s="4" t="str">
        <f aca="false">IF(C437="","",B437&amp;" | "&amp;C437&amp;" | "&amp;D437)</f>
        <v/>
      </c>
      <c r="S437" s="4" t="str">
        <f aca="false">IF(C437="","",R437&amp;"#"&amp;A437)</f>
        <v/>
      </c>
    </row>
    <row r="438" customFormat="false" ht="15" hidden="false" customHeight="false" outlineLevel="0" collapsed="false">
      <c r="A438" s="33"/>
      <c r="B438" s="34"/>
      <c r="C438" s="34"/>
      <c r="D438" s="34"/>
      <c r="E438" s="34"/>
      <c r="F438" s="34"/>
      <c r="G438" s="7"/>
      <c r="H438" s="35"/>
      <c r="I438" s="35"/>
      <c r="J438" s="7"/>
      <c r="K438" s="35"/>
      <c r="L438" s="7"/>
      <c r="M438" s="21" t="str">
        <f aca="false">IF(C438="","",IFERROR(I438/H438,0))</f>
        <v/>
      </c>
      <c r="N438" s="9" t="str">
        <f aca="false">IF(C438="","",IFERROR(J438/I438,0))</f>
        <v/>
      </c>
      <c r="O438" s="21" t="str">
        <f aca="false">IF(C438="","",IFERROR(J438/L438,0))</f>
        <v/>
      </c>
      <c r="P438" s="22" t="str">
        <f aca="false">IF(C438="","",IFERROR(L438/J438,0))</f>
        <v/>
      </c>
      <c r="Q438" s="34"/>
      <c r="R438" s="4" t="str">
        <f aca="false">IF(C438="","",B438&amp;" | "&amp;C438&amp;" | "&amp;D438)</f>
        <v/>
      </c>
      <c r="S438" s="4" t="str">
        <f aca="false">IF(C438="","",R438&amp;"#"&amp;A438)</f>
        <v/>
      </c>
    </row>
    <row r="439" customFormat="false" ht="15" hidden="false" customHeight="false" outlineLevel="0" collapsed="false">
      <c r="A439" s="33"/>
      <c r="B439" s="34"/>
      <c r="C439" s="34"/>
      <c r="D439" s="34"/>
      <c r="E439" s="34"/>
      <c r="F439" s="34"/>
      <c r="G439" s="7"/>
      <c r="H439" s="35"/>
      <c r="I439" s="35"/>
      <c r="J439" s="7"/>
      <c r="K439" s="35"/>
      <c r="L439" s="7"/>
      <c r="M439" s="21" t="str">
        <f aca="false">IF(C439="","",IFERROR(I439/H439,0))</f>
        <v/>
      </c>
      <c r="N439" s="9" t="str">
        <f aca="false">IF(C439="","",IFERROR(J439/I439,0))</f>
        <v/>
      </c>
      <c r="O439" s="21" t="str">
        <f aca="false">IF(C439="","",IFERROR(J439/L439,0))</f>
        <v/>
      </c>
      <c r="P439" s="22" t="str">
        <f aca="false">IF(C439="","",IFERROR(L439/J439,0))</f>
        <v/>
      </c>
      <c r="Q439" s="34"/>
      <c r="R439" s="4" t="str">
        <f aca="false">IF(C439="","",B439&amp;" | "&amp;C439&amp;" | "&amp;D439)</f>
        <v/>
      </c>
      <c r="S439" s="4" t="str">
        <f aca="false">IF(C439="","",R439&amp;"#"&amp;A439)</f>
        <v/>
      </c>
    </row>
    <row r="440" customFormat="false" ht="15" hidden="false" customHeight="false" outlineLevel="0" collapsed="false">
      <c r="A440" s="33"/>
      <c r="B440" s="34"/>
      <c r="C440" s="34"/>
      <c r="D440" s="34"/>
      <c r="E440" s="34"/>
      <c r="F440" s="34"/>
      <c r="G440" s="7"/>
      <c r="H440" s="35"/>
      <c r="I440" s="35"/>
      <c r="J440" s="7"/>
      <c r="K440" s="35"/>
      <c r="L440" s="7"/>
      <c r="M440" s="21" t="str">
        <f aca="false">IF(C440="","",IFERROR(I440/H440,0))</f>
        <v/>
      </c>
      <c r="N440" s="9" t="str">
        <f aca="false">IF(C440="","",IFERROR(J440/I440,0))</f>
        <v/>
      </c>
      <c r="O440" s="21" t="str">
        <f aca="false">IF(C440="","",IFERROR(J440/L440,0))</f>
        <v/>
      </c>
      <c r="P440" s="22" t="str">
        <f aca="false">IF(C440="","",IFERROR(L440/J440,0))</f>
        <v/>
      </c>
      <c r="Q440" s="34"/>
      <c r="R440" s="4" t="str">
        <f aca="false">IF(C440="","",B440&amp;" | "&amp;C440&amp;" | "&amp;D440)</f>
        <v/>
      </c>
      <c r="S440" s="4" t="str">
        <f aca="false">IF(C440="","",R440&amp;"#"&amp;A440)</f>
        <v/>
      </c>
    </row>
    <row r="441" customFormat="false" ht="15" hidden="false" customHeight="false" outlineLevel="0" collapsed="false">
      <c r="A441" s="33"/>
      <c r="B441" s="34"/>
      <c r="C441" s="34"/>
      <c r="D441" s="34"/>
      <c r="E441" s="34"/>
      <c r="F441" s="34"/>
      <c r="G441" s="7"/>
      <c r="H441" s="35"/>
      <c r="I441" s="35"/>
      <c r="J441" s="7"/>
      <c r="K441" s="35"/>
      <c r="L441" s="7"/>
      <c r="M441" s="21" t="str">
        <f aca="false">IF(C441="","",IFERROR(I441/H441,0))</f>
        <v/>
      </c>
      <c r="N441" s="9" t="str">
        <f aca="false">IF(C441="","",IFERROR(J441/I441,0))</f>
        <v/>
      </c>
      <c r="O441" s="21" t="str">
        <f aca="false">IF(C441="","",IFERROR(J441/L441,0))</f>
        <v/>
      </c>
      <c r="P441" s="22" t="str">
        <f aca="false">IF(C441="","",IFERROR(L441/J441,0))</f>
        <v/>
      </c>
      <c r="Q441" s="34"/>
      <c r="R441" s="4" t="str">
        <f aca="false">IF(C441="","",B441&amp;" | "&amp;C441&amp;" | "&amp;D441)</f>
        <v/>
      </c>
      <c r="S441" s="4" t="str">
        <f aca="false">IF(C441="","",R441&amp;"#"&amp;A441)</f>
        <v/>
      </c>
    </row>
    <row r="442" customFormat="false" ht="15" hidden="false" customHeight="false" outlineLevel="0" collapsed="false">
      <c r="A442" s="33"/>
      <c r="B442" s="34"/>
      <c r="C442" s="34"/>
      <c r="D442" s="34"/>
      <c r="E442" s="34"/>
      <c r="F442" s="34"/>
      <c r="G442" s="7"/>
      <c r="H442" s="35"/>
      <c r="I442" s="35"/>
      <c r="J442" s="7"/>
      <c r="K442" s="35"/>
      <c r="L442" s="7"/>
      <c r="M442" s="21" t="str">
        <f aca="false">IF(C442="","",IFERROR(I442/H442,0))</f>
        <v/>
      </c>
      <c r="N442" s="9" t="str">
        <f aca="false">IF(C442="","",IFERROR(J442/I442,0))</f>
        <v/>
      </c>
      <c r="O442" s="21" t="str">
        <f aca="false">IF(C442="","",IFERROR(J442/L442,0))</f>
        <v/>
      </c>
      <c r="P442" s="22" t="str">
        <f aca="false">IF(C442="","",IFERROR(L442/J442,0))</f>
        <v/>
      </c>
      <c r="Q442" s="34"/>
      <c r="R442" s="4" t="str">
        <f aca="false">IF(C442="","",B442&amp;" | "&amp;C442&amp;" | "&amp;D442)</f>
        <v/>
      </c>
      <c r="S442" s="4" t="str">
        <f aca="false">IF(C442="","",R442&amp;"#"&amp;A442)</f>
        <v/>
      </c>
    </row>
    <row r="443" customFormat="false" ht="15" hidden="false" customHeight="false" outlineLevel="0" collapsed="false">
      <c r="A443" s="33"/>
      <c r="B443" s="34"/>
      <c r="C443" s="34"/>
      <c r="D443" s="34"/>
      <c r="E443" s="34"/>
      <c r="F443" s="34"/>
      <c r="G443" s="7"/>
      <c r="H443" s="35"/>
      <c r="I443" s="35"/>
      <c r="J443" s="7"/>
      <c r="K443" s="35"/>
      <c r="L443" s="7"/>
      <c r="M443" s="21" t="str">
        <f aca="false">IF(C443="","",IFERROR(I443/H443,0))</f>
        <v/>
      </c>
      <c r="N443" s="9" t="str">
        <f aca="false">IF(C443="","",IFERROR(J443/I443,0))</f>
        <v/>
      </c>
      <c r="O443" s="21" t="str">
        <f aca="false">IF(C443="","",IFERROR(J443/L443,0))</f>
        <v/>
      </c>
      <c r="P443" s="22" t="str">
        <f aca="false">IF(C443="","",IFERROR(L443/J443,0))</f>
        <v/>
      </c>
      <c r="Q443" s="34"/>
      <c r="R443" s="4" t="str">
        <f aca="false">IF(C443="","",B443&amp;" | "&amp;C443&amp;" | "&amp;D443)</f>
        <v/>
      </c>
      <c r="S443" s="4" t="str">
        <f aca="false">IF(C443="","",R443&amp;"#"&amp;A443)</f>
        <v/>
      </c>
    </row>
    <row r="444" customFormat="false" ht="15" hidden="false" customHeight="false" outlineLevel="0" collapsed="false">
      <c r="A444" s="33"/>
      <c r="B444" s="34"/>
      <c r="C444" s="34"/>
      <c r="D444" s="34"/>
      <c r="E444" s="34"/>
      <c r="F444" s="34"/>
      <c r="G444" s="7"/>
      <c r="H444" s="35"/>
      <c r="I444" s="35"/>
      <c r="J444" s="7"/>
      <c r="K444" s="35"/>
      <c r="L444" s="7"/>
      <c r="M444" s="21" t="str">
        <f aca="false">IF(C444="","",IFERROR(I444/H444,0))</f>
        <v/>
      </c>
      <c r="N444" s="9" t="str">
        <f aca="false">IF(C444="","",IFERROR(J444/I444,0))</f>
        <v/>
      </c>
      <c r="O444" s="21" t="str">
        <f aca="false">IF(C444="","",IFERROR(J444/L444,0))</f>
        <v/>
      </c>
      <c r="P444" s="22" t="str">
        <f aca="false">IF(C444="","",IFERROR(L444/J444,0))</f>
        <v/>
      </c>
      <c r="Q444" s="34"/>
      <c r="R444" s="4" t="str">
        <f aca="false">IF(C444="","",B444&amp;" | "&amp;C444&amp;" | "&amp;D444)</f>
        <v/>
      </c>
      <c r="S444" s="4" t="str">
        <f aca="false">IF(C444="","",R444&amp;"#"&amp;A444)</f>
        <v/>
      </c>
    </row>
    <row r="445" customFormat="false" ht="15" hidden="false" customHeight="false" outlineLevel="0" collapsed="false">
      <c r="A445" s="33"/>
      <c r="B445" s="34"/>
      <c r="C445" s="34"/>
      <c r="D445" s="34"/>
      <c r="E445" s="34"/>
      <c r="F445" s="34"/>
      <c r="G445" s="7"/>
      <c r="H445" s="35"/>
      <c r="I445" s="35"/>
      <c r="J445" s="7"/>
      <c r="K445" s="35"/>
      <c r="L445" s="7"/>
      <c r="M445" s="21" t="str">
        <f aca="false">IF(C445="","",IFERROR(I445/H445,0))</f>
        <v/>
      </c>
      <c r="N445" s="9" t="str">
        <f aca="false">IF(C445="","",IFERROR(J445/I445,0))</f>
        <v/>
      </c>
      <c r="O445" s="21" t="str">
        <f aca="false">IF(C445="","",IFERROR(J445/L445,0))</f>
        <v/>
      </c>
      <c r="P445" s="22" t="str">
        <f aca="false">IF(C445="","",IFERROR(L445/J445,0))</f>
        <v/>
      </c>
      <c r="Q445" s="34"/>
      <c r="R445" s="4" t="str">
        <f aca="false">IF(C445="","",B445&amp;" | "&amp;C445&amp;" | "&amp;D445)</f>
        <v/>
      </c>
      <c r="S445" s="4" t="str">
        <f aca="false">IF(C445="","",R445&amp;"#"&amp;A445)</f>
        <v/>
      </c>
    </row>
    <row r="446" customFormat="false" ht="15" hidden="false" customHeight="false" outlineLevel="0" collapsed="false">
      <c r="A446" s="33"/>
      <c r="B446" s="34"/>
      <c r="C446" s="34"/>
      <c r="D446" s="34"/>
      <c r="E446" s="34"/>
      <c r="F446" s="34"/>
      <c r="G446" s="7"/>
      <c r="H446" s="35"/>
      <c r="I446" s="35"/>
      <c r="J446" s="7"/>
      <c r="K446" s="35"/>
      <c r="L446" s="7"/>
      <c r="M446" s="21" t="str">
        <f aca="false">IF(C446="","",IFERROR(I446/H446,0))</f>
        <v/>
      </c>
      <c r="N446" s="9" t="str">
        <f aca="false">IF(C446="","",IFERROR(J446/I446,0))</f>
        <v/>
      </c>
      <c r="O446" s="21" t="str">
        <f aca="false">IF(C446="","",IFERROR(J446/L446,0))</f>
        <v/>
      </c>
      <c r="P446" s="22" t="str">
        <f aca="false">IF(C446="","",IFERROR(L446/J446,0))</f>
        <v/>
      </c>
      <c r="Q446" s="34"/>
      <c r="R446" s="4" t="str">
        <f aca="false">IF(C446="","",B446&amp;" | "&amp;C446&amp;" | "&amp;D446)</f>
        <v/>
      </c>
      <c r="S446" s="4" t="str">
        <f aca="false">IF(C446="","",R446&amp;"#"&amp;A446)</f>
        <v/>
      </c>
    </row>
    <row r="447" customFormat="false" ht="15" hidden="false" customHeight="false" outlineLevel="0" collapsed="false">
      <c r="A447" s="33"/>
      <c r="B447" s="34"/>
      <c r="C447" s="34"/>
      <c r="D447" s="34"/>
      <c r="E447" s="34"/>
      <c r="F447" s="34"/>
      <c r="G447" s="7"/>
      <c r="H447" s="35"/>
      <c r="I447" s="35"/>
      <c r="J447" s="7"/>
      <c r="K447" s="35"/>
      <c r="L447" s="7"/>
      <c r="M447" s="21" t="str">
        <f aca="false">IF(C447="","",IFERROR(I447/H447,0))</f>
        <v/>
      </c>
      <c r="N447" s="9" t="str">
        <f aca="false">IF(C447="","",IFERROR(J447/I447,0))</f>
        <v/>
      </c>
      <c r="O447" s="21" t="str">
        <f aca="false">IF(C447="","",IFERROR(J447/L447,0))</f>
        <v/>
      </c>
      <c r="P447" s="22" t="str">
        <f aca="false">IF(C447="","",IFERROR(L447/J447,0))</f>
        <v/>
      </c>
      <c r="Q447" s="34"/>
      <c r="R447" s="4" t="str">
        <f aca="false">IF(C447="","",B447&amp;" | "&amp;C447&amp;" | "&amp;D447)</f>
        <v/>
      </c>
      <c r="S447" s="4" t="str">
        <f aca="false">IF(C447="","",R447&amp;"#"&amp;A447)</f>
        <v/>
      </c>
    </row>
    <row r="448" customFormat="false" ht="15" hidden="false" customHeight="false" outlineLevel="0" collapsed="false">
      <c r="A448" s="33"/>
      <c r="B448" s="34"/>
      <c r="C448" s="34"/>
      <c r="D448" s="34"/>
      <c r="E448" s="34"/>
      <c r="F448" s="34"/>
      <c r="G448" s="7"/>
      <c r="H448" s="35"/>
      <c r="I448" s="35"/>
      <c r="J448" s="7"/>
      <c r="K448" s="35"/>
      <c r="L448" s="7"/>
      <c r="M448" s="21" t="str">
        <f aca="false">IF(C448="","",IFERROR(I448/H448,0))</f>
        <v/>
      </c>
      <c r="N448" s="9" t="str">
        <f aca="false">IF(C448="","",IFERROR(J448/I448,0))</f>
        <v/>
      </c>
      <c r="O448" s="21" t="str">
        <f aca="false">IF(C448="","",IFERROR(J448/L448,0))</f>
        <v/>
      </c>
      <c r="P448" s="22" t="str">
        <f aca="false">IF(C448="","",IFERROR(L448/J448,0))</f>
        <v/>
      </c>
      <c r="Q448" s="34"/>
      <c r="R448" s="4" t="str">
        <f aca="false">IF(C448="","",B448&amp;" | "&amp;C448&amp;" | "&amp;D448)</f>
        <v/>
      </c>
      <c r="S448" s="4" t="str">
        <f aca="false">IF(C448="","",R448&amp;"#"&amp;A448)</f>
        <v/>
      </c>
    </row>
    <row r="449" customFormat="false" ht="15" hidden="false" customHeight="false" outlineLevel="0" collapsed="false">
      <c r="A449" s="33"/>
      <c r="B449" s="34"/>
      <c r="C449" s="34"/>
      <c r="D449" s="34"/>
      <c r="E449" s="34"/>
      <c r="F449" s="34"/>
      <c r="G449" s="7"/>
      <c r="H449" s="35"/>
      <c r="I449" s="35"/>
      <c r="J449" s="7"/>
      <c r="K449" s="35"/>
      <c r="L449" s="7"/>
      <c r="M449" s="21" t="str">
        <f aca="false">IF(C449="","",IFERROR(I449/H449,0))</f>
        <v/>
      </c>
      <c r="N449" s="9" t="str">
        <f aca="false">IF(C449="","",IFERROR(J449/I449,0))</f>
        <v/>
      </c>
      <c r="O449" s="21" t="str">
        <f aca="false">IF(C449="","",IFERROR(J449/L449,0))</f>
        <v/>
      </c>
      <c r="P449" s="22" t="str">
        <f aca="false">IF(C449="","",IFERROR(L449/J449,0))</f>
        <v/>
      </c>
      <c r="Q449" s="34"/>
      <c r="R449" s="4" t="str">
        <f aca="false">IF(C449="","",B449&amp;" | "&amp;C449&amp;" | "&amp;D449)</f>
        <v/>
      </c>
      <c r="S449" s="4" t="str">
        <f aca="false">IF(C449="","",R449&amp;"#"&amp;A449)</f>
        <v/>
      </c>
    </row>
    <row r="450" customFormat="false" ht="15" hidden="false" customHeight="false" outlineLevel="0" collapsed="false">
      <c r="A450" s="33"/>
      <c r="B450" s="34"/>
      <c r="C450" s="34"/>
      <c r="D450" s="34"/>
      <c r="E450" s="34"/>
      <c r="F450" s="34"/>
      <c r="G450" s="7"/>
      <c r="H450" s="35"/>
      <c r="I450" s="35"/>
      <c r="J450" s="7"/>
      <c r="K450" s="35"/>
      <c r="L450" s="7"/>
      <c r="M450" s="21" t="str">
        <f aca="false">IF(C450="","",IFERROR(I450/H450,0))</f>
        <v/>
      </c>
      <c r="N450" s="9" t="str">
        <f aca="false">IF(C450="","",IFERROR(J450/I450,0))</f>
        <v/>
      </c>
      <c r="O450" s="21" t="str">
        <f aca="false">IF(C450="","",IFERROR(J450/L450,0))</f>
        <v/>
      </c>
      <c r="P450" s="22" t="str">
        <f aca="false">IF(C450="","",IFERROR(L450/J450,0))</f>
        <v/>
      </c>
      <c r="Q450" s="34"/>
      <c r="R450" s="4" t="str">
        <f aca="false">IF(C450="","",B450&amp;" | "&amp;C450&amp;" | "&amp;D450)</f>
        <v/>
      </c>
      <c r="S450" s="4" t="str">
        <f aca="false">IF(C450="","",R450&amp;"#"&amp;A450)</f>
        <v/>
      </c>
    </row>
    <row r="451" customFormat="false" ht="15" hidden="false" customHeight="false" outlineLevel="0" collapsed="false">
      <c r="A451" s="33"/>
      <c r="B451" s="34"/>
      <c r="C451" s="34"/>
      <c r="D451" s="34"/>
      <c r="E451" s="34"/>
      <c r="F451" s="34"/>
      <c r="G451" s="7"/>
      <c r="H451" s="35"/>
      <c r="I451" s="35"/>
      <c r="J451" s="7"/>
      <c r="K451" s="35"/>
      <c r="L451" s="7"/>
      <c r="M451" s="21" t="str">
        <f aca="false">IF(C451="","",IFERROR(I451/H451,0))</f>
        <v/>
      </c>
      <c r="N451" s="9" t="str">
        <f aca="false">IF(C451="","",IFERROR(J451/I451,0))</f>
        <v/>
      </c>
      <c r="O451" s="21" t="str">
        <f aca="false">IF(C451="","",IFERROR(J451/L451,0))</f>
        <v/>
      </c>
      <c r="P451" s="22" t="str">
        <f aca="false">IF(C451="","",IFERROR(L451/J451,0))</f>
        <v/>
      </c>
      <c r="Q451" s="34"/>
      <c r="R451" s="4" t="str">
        <f aca="false">IF(C451="","",B451&amp;" | "&amp;C451&amp;" | "&amp;D451)</f>
        <v/>
      </c>
      <c r="S451" s="4" t="str">
        <f aca="false">IF(C451="","",R451&amp;"#"&amp;A451)</f>
        <v/>
      </c>
    </row>
    <row r="452" customFormat="false" ht="15" hidden="false" customHeight="false" outlineLevel="0" collapsed="false">
      <c r="A452" s="33"/>
      <c r="B452" s="34"/>
      <c r="C452" s="34"/>
      <c r="D452" s="34"/>
      <c r="E452" s="34"/>
      <c r="F452" s="34"/>
      <c r="G452" s="7"/>
      <c r="H452" s="35"/>
      <c r="I452" s="35"/>
      <c r="J452" s="7"/>
      <c r="K452" s="35"/>
      <c r="L452" s="7"/>
      <c r="M452" s="21" t="str">
        <f aca="false">IF(C452="","",IFERROR(I452/H452,0))</f>
        <v/>
      </c>
      <c r="N452" s="9" t="str">
        <f aca="false">IF(C452="","",IFERROR(J452/I452,0))</f>
        <v/>
      </c>
      <c r="O452" s="21" t="str">
        <f aca="false">IF(C452="","",IFERROR(J452/L452,0))</f>
        <v/>
      </c>
      <c r="P452" s="22" t="str">
        <f aca="false">IF(C452="","",IFERROR(L452/J452,0))</f>
        <v/>
      </c>
      <c r="Q452" s="34"/>
      <c r="R452" s="4" t="str">
        <f aca="false">IF(C452="","",B452&amp;" | "&amp;C452&amp;" | "&amp;D452)</f>
        <v/>
      </c>
      <c r="S452" s="4" t="str">
        <f aca="false">IF(C452="","",R452&amp;"#"&amp;A452)</f>
        <v/>
      </c>
    </row>
    <row r="453" customFormat="false" ht="15" hidden="false" customHeight="false" outlineLevel="0" collapsed="false">
      <c r="A453" s="33"/>
      <c r="B453" s="34"/>
      <c r="C453" s="34"/>
      <c r="D453" s="34"/>
      <c r="E453" s="34"/>
      <c r="F453" s="34"/>
      <c r="G453" s="7"/>
      <c r="H453" s="35"/>
      <c r="I453" s="35"/>
      <c r="J453" s="7"/>
      <c r="K453" s="35"/>
      <c r="L453" s="7"/>
      <c r="M453" s="21" t="str">
        <f aca="false">IF(C453="","",IFERROR(I453/H453,0))</f>
        <v/>
      </c>
      <c r="N453" s="9" t="str">
        <f aca="false">IF(C453="","",IFERROR(J453/I453,0))</f>
        <v/>
      </c>
      <c r="O453" s="21" t="str">
        <f aca="false">IF(C453="","",IFERROR(J453/L453,0))</f>
        <v/>
      </c>
      <c r="P453" s="22" t="str">
        <f aca="false">IF(C453="","",IFERROR(L453/J453,0))</f>
        <v/>
      </c>
      <c r="Q453" s="34"/>
      <c r="R453" s="4" t="str">
        <f aca="false">IF(C453="","",B453&amp;" | "&amp;C453&amp;" | "&amp;D453)</f>
        <v/>
      </c>
      <c r="S453" s="4" t="str">
        <f aca="false">IF(C453="","",R453&amp;"#"&amp;A453)</f>
        <v/>
      </c>
    </row>
    <row r="454" customFormat="false" ht="15" hidden="false" customHeight="false" outlineLevel="0" collapsed="false">
      <c r="A454" s="33"/>
      <c r="B454" s="34"/>
      <c r="C454" s="34"/>
      <c r="D454" s="34"/>
      <c r="E454" s="34"/>
      <c r="F454" s="34"/>
      <c r="G454" s="7"/>
      <c r="H454" s="35"/>
      <c r="I454" s="35"/>
      <c r="J454" s="7"/>
      <c r="K454" s="35"/>
      <c r="L454" s="7"/>
      <c r="M454" s="21" t="str">
        <f aca="false">IF(C454="","",IFERROR(I454/H454,0))</f>
        <v/>
      </c>
      <c r="N454" s="9" t="str">
        <f aca="false">IF(C454="","",IFERROR(J454/I454,0))</f>
        <v/>
      </c>
      <c r="O454" s="21" t="str">
        <f aca="false">IF(C454="","",IFERROR(J454/L454,0))</f>
        <v/>
      </c>
      <c r="P454" s="22" t="str">
        <f aca="false">IF(C454="","",IFERROR(L454/J454,0))</f>
        <v/>
      </c>
      <c r="Q454" s="34"/>
      <c r="R454" s="4" t="str">
        <f aca="false">IF(C454="","",B454&amp;" | "&amp;C454&amp;" | "&amp;D454)</f>
        <v/>
      </c>
      <c r="S454" s="4" t="str">
        <f aca="false">IF(C454="","",R454&amp;"#"&amp;A454)</f>
        <v/>
      </c>
    </row>
    <row r="455" customFormat="false" ht="15" hidden="false" customHeight="false" outlineLevel="0" collapsed="false">
      <c r="A455" s="33"/>
      <c r="B455" s="34"/>
      <c r="C455" s="34"/>
      <c r="D455" s="34"/>
      <c r="E455" s="34"/>
      <c r="F455" s="34"/>
      <c r="G455" s="7"/>
      <c r="H455" s="35"/>
      <c r="I455" s="35"/>
      <c r="J455" s="7"/>
      <c r="K455" s="35"/>
      <c r="L455" s="7"/>
      <c r="M455" s="21" t="str">
        <f aca="false">IF(C455="","",IFERROR(I455/H455,0))</f>
        <v/>
      </c>
      <c r="N455" s="9" t="str">
        <f aca="false">IF(C455="","",IFERROR(J455/I455,0))</f>
        <v/>
      </c>
      <c r="O455" s="21" t="str">
        <f aca="false">IF(C455="","",IFERROR(J455/L455,0))</f>
        <v/>
      </c>
      <c r="P455" s="22" t="str">
        <f aca="false">IF(C455="","",IFERROR(L455/J455,0))</f>
        <v/>
      </c>
      <c r="Q455" s="34"/>
      <c r="R455" s="4" t="str">
        <f aca="false">IF(C455="","",B455&amp;" | "&amp;C455&amp;" | "&amp;D455)</f>
        <v/>
      </c>
      <c r="S455" s="4" t="str">
        <f aca="false">IF(C455="","",R455&amp;"#"&amp;A455)</f>
        <v/>
      </c>
    </row>
    <row r="456" customFormat="false" ht="15" hidden="false" customHeight="false" outlineLevel="0" collapsed="false">
      <c r="A456" s="33"/>
      <c r="B456" s="34"/>
      <c r="C456" s="34"/>
      <c r="D456" s="34"/>
      <c r="E456" s="34"/>
      <c r="F456" s="34"/>
      <c r="G456" s="7"/>
      <c r="H456" s="35"/>
      <c r="I456" s="35"/>
      <c r="J456" s="7"/>
      <c r="K456" s="35"/>
      <c r="L456" s="7"/>
      <c r="M456" s="21" t="str">
        <f aca="false">IF(C456="","",IFERROR(I456/H456,0))</f>
        <v/>
      </c>
      <c r="N456" s="9" t="str">
        <f aca="false">IF(C456="","",IFERROR(J456/I456,0))</f>
        <v/>
      </c>
      <c r="O456" s="21" t="str">
        <f aca="false">IF(C456="","",IFERROR(J456/L456,0))</f>
        <v/>
      </c>
      <c r="P456" s="22" t="str">
        <f aca="false">IF(C456="","",IFERROR(L456/J456,0))</f>
        <v/>
      </c>
      <c r="Q456" s="34"/>
      <c r="R456" s="4" t="str">
        <f aca="false">IF(C456="","",B456&amp;" | "&amp;C456&amp;" | "&amp;D456)</f>
        <v/>
      </c>
      <c r="S456" s="4" t="str">
        <f aca="false">IF(C456="","",R456&amp;"#"&amp;A456)</f>
        <v/>
      </c>
    </row>
    <row r="457" customFormat="false" ht="15" hidden="false" customHeight="false" outlineLevel="0" collapsed="false">
      <c r="A457" s="33"/>
      <c r="B457" s="34"/>
      <c r="C457" s="34"/>
      <c r="D457" s="34"/>
      <c r="E457" s="34"/>
      <c r="F457" s="34"/>
      <c r="G457" s="7"/>
      <c r="H457" s="35"/>
      <c r="I457" s="35"/>
      <c r="J457" s="7"/>
      <c r="K457" s="35"/>
      <c r="L457" s="7"/>
      <c r="M457" s="21" t="str">
        <f aca="false">IF(C457="","",IFERROR(I457/H457,0))</f>
        <v/>
      </c>
      <c r="N457" s="9" t="str">
        <f aca="false">IF(C457="","",IFERROR(J457/I457,0))</f>
        <v/>
      </c>
      <c r="O457" s="21" t="str">
        <f aca="false">IF(C457="","",IFERROR(J457/L457,0))</f>
        <v/>
      </c>
      <c r="P457" s="22" t="str">
        <f aca="false">IF(C457="","",IFERROR(L457/J457,0))</f>
        <v/>
      </c>
      <c r="Q457" s="34"/>
      <c r="R457" s="4" t="str">
        <f aca="false">IF(C457="","",B457&amp;" | "&amp;C457&amp;" | "&amp;D457)</f>
        <v/>
      </c>
      <c r="S457" s="4" t="str">
        <f aca="false">IF(C457="","",R457&amp;"#"&amp;A457)</f>
        <v/>
      </c>
    </row>
    <row r="458" customFormat="false" ht="15" hidden="false" customHeight="false" outlineLevel="0" collapsed="false">
      <c r="A458" s="33"/>
      <c r="B458" s="34"/>
      <c r="C458" s="34"/>
      <c r="D458" s="34"/>
      <c r="E458" s="34"/>
      <c r="F458" s="34"/>
      <c r="G458" s="7"/>
      <c r="H458" s="35"/>
      <c r="I458" s="35"/>
      <c r="J458" s="7"/>
      <c r="K458" s="35"/>
      <c r="L458" s="7"/>
      <c r="M458" s="21" t="str">
        <f aca="false">IF(C458="","",IFERROR(I458/H458,0))</f>
        <v/>
      </c>
      <c r="N458" s="9" t="str">
        <f aca="false">IF(C458="","",IFERROR(J458/I458,0))</f>
        <v/>
      </c>
      <c r="O458" s="21" t="str">
        <f aca="false">IF(C458="","",IFERROR(J458/L458,0))</f>
        <v/>
      </c>
      <c r="P458" s="22" t="str">
        <f aca="false">IF(C458="","",IFERROR(L458/J458,0))</f>
        <v/>
      </c>
      <c r="Q458" s="34"/>
      <c r="R458" s="4" t="str">
        <f aca="false">IF(C458="","",B458&amp;" | "&amp;C458&amp;" | "&amp;D458)</f>
        <v/>
      </c>
      <c r="S458" s="4" t="str">
        <f aca="false">IF(C458="","",R458&amp;"#"&amp;A458)</f>
        <v/>
      </c>
    </row>
    <row r="459" customFormat="false" ht="15" hidden="false" customHeight="false" outlineLevel="0" collapsed="false">
      <c r="A459" s="33"/>
      <c r="B459" s="34"/>
      <c r="C459" s="34"/>
      <c r="D459" s="34"/>
      <c r="E459" s="34"/>
      <c r="F459" s="34"/>
      <c r="G459" s="7"/>
      <c r="H459" s="35"/>
      <c r="I459" s="35"/>
      <c r="J459" s="7"/>
      <c r="K459" s="35"/>
      <c r="L459" s="7"/>
      <c r="M459" s="21" t="str">
        <f aca="false">IF(C459="","",IFERROR(I459/H459,0))</f>
        <v/>
      </c>
      <c r="N459" s="9" t="str">
        <f aca="false">IF(C459="","",IFERROR(J459/I459,0))</f>
        <v/>
      </c>
      <c r="O459" s="21" t="str">
        <f aca="false">IF(C459="","",IFERROR(J459/L459,0))</f>
        <v/>
      </c>
      <c r="P459" s="22" t="str">
        <f aca="false">IF(C459="","",IFERROR(L459/J459,0))</f>
        <v/>
      </c>
      <c r="Q459" s="34"/>
      <c r="R459" s="4" t="str">
        <f aca="false">IF(C459="","",B459&amp;" | "&amp;C459&amp;" | "&amp;D459)</f>
        <v/>
      </c>
      <c r="S459" s="4" t="str">
        <f aca="false">IF(C459="","",R459&amp;"#"&amp;A459)</f>
        <v/>
      </c>
    </row>
    <row r="460" customFormat="false" ht="15" hidden="false" customHeight="false" outlineLevel="0" collapsed="false">
      <c r="A460" s="33"/>
      <c r="B460" s="34"/>
      <c r="C460" s="34"/>
      <c r="D460" s="34"/>
      <c r="E460" s="34"/>
      <c r="F460" s="34"/>
      <c r="G460" s="7"/>
      <c r="H460" s="35"/>
      <c r="I460" s="35"/>
      <c r="J460" s="7"/>
      <c r="K460" s="35"/>
      <c r="L460" s="7"/>
      <c r="M460" s="21" t="str">
        <f aca="false">IF(C460="","",IFERROR(I460/H460,0))</f>
        <v/>
      </c>
      <c r="N460" s="9" t="str">
        <f aca="false">IF(C460="","",IFERROR(J460/I460,0))</f>
        <v/>
      </c>
      <c r="O460" s="21" t="str">
        <f aca="false">IF(C460="","",IFERROR(J460/L460,0))</f>
        <v/>
      </c>
      <c r="P460" s="22" t="str">
        <f aca="false">IF(C460="","",IFERROR(L460/J460,0))</f>
        <v/>
      </c>
      <c r="Q460" s="34"/>
      <c r="R460" s="4" t="str">
        <f aca="false">IF(C460="","",B460&amp;" | "&amp;C460&amp;" | "&amp;D460)</f>
        <v/>
      </c>
      <c r="S460" s="4" t="str">
        <f aca="false">IF(C460="","",R460&amp;"#"&amp;A460)</f>
        <v/>
      </c>
    </row>
    <row r="461" customFormat="false" ht="15" hidden="false" customHeight="false" outlineLevel="0" collapsed="false">
      <c r="A461" s="33"/>
      <c r="B461" s="34"/>
      <c r="C461" s="34"/>
      <c r="D461" s="34"/>
      <c r="E461" s="34"/>
      <c r="F461" s="34"/>
      <c r="G461" s="7"/>
      <c r="H461" s="35"/>
      <c r="I461" s="35"/>
      <c r="J461" s="7"/>
      <c r="K461" s="35"/>
      <c r="L461" s="7"/>
      <c r="M461" s="21" t="str">
        <f aca="false">IF(C461="","",IFERROR(I461/H461,0))</f>
        <v/>
      </c>
      <c r="N461" s="9" t="str">
        <f aca="false">IF(C461="","",IFERROR(J461/I461,0))</f>
        <v/>
      </c>
      <c r="O461" s="21" t="str">
        <f aca="false">IF(C461="","",IFERROR(J461/L461,0))</f>
        <v/>
      </c>
      <c r="P461" s="22" t="str">
        <f aca="false">IF(C461="","",IFERROR(L461/J461,0))</f>
        <v/>
      </c>
      <c r="Q461" s="34"/>
      <c r="R461" s="4" t="str">
        <f aca="false">IF(C461="","",B461&amp;" | "&amp;C461&amp;" | "&amp;D461)</f>
        <v/>
      </c>
      <c r="S461" s="4" t="str">
        <f aca="false">IF(C461="","",R461&amp;"#"&amp;A461)</f>
        <v/>
      </c>
    </row>
    <row r="462" customFormat="false" ht="15" hidden="false" customHeight="false" outlineLevel="0" collapsed="false">
      <c r="A462" s="33"/>
      <c r="B462" s="34"/>
      <c r="C462" s="34"/>
      <c r="D462" s="34"/>
      <c r="E462" s="34"/>
      <c r="F462" s="34"/>
      <c r="G462" s="7"/>
      <c r="H462" s="35"/>
      <c r="I462" s="35"/>
      <c r="J462" s="7"/>
      <c r="K462" s="35"/>
      <c r="L462" s="7"/>
      <c r="M462" s="21" t="str">
        <f aca="false">IF(C462="","",IFERROR(I462/H462,0))</f>
        <v/>
      </c>
      <c r="N462" s="9" t="str">
        <f aca="false">IF(C462="","",IFERROR(J462/I462,0))</f>
        <v/>
      </c>
      <c r="O462" s="21" t="str">
        <f aca="false">IF(C462="","",IFERROR(J462/L462,0))</f>
        <v/>
      </c>
      <c r="P462" s="22" t="str">
        <f aca="false">IF(C462="","",IFERROR(L462/J462,0))</f>
        <v/>
      </c>
      <c r="Q462" s="34"/>
      <c r="R462" s="4" t="str">
        <f aca="false">IF(C462="","",B462&amp;" | "&amp;C462&amp;" | "&amp;D462)</f>
        <v/>
      </c>
      <c r="S462" s="4" t="str">
        <f aca="false">IF(C462="","",R462&amp;"#"&amp;A462)</f>
        <v/>
      </c>
    </row>
    <row r="463" customFormat="false" ht="15" hidden="false" customHeight="false" outlineLevel="0" collapsed="false">
      <c r="A463" s="33"/>
      <c r="B463" s="34"/>
      <c r="C463" s="34"/>
      <c r="D463" s="34"/>
      <c r="E463" s="34"/>
      <c r="F463" s="34"/>
      <c r="G463" s="7"/>
      <c r="H463" s="35"/>
      <c r="I463" s="35"/>
      <c r="J463" s="7"/>
      <c r="K463" s="35"/>
      <c r="L463" s="7"/>
      <c r="M463" s="21" t="str">
        <f aca="false">IF(C463="","",IFERROR(I463/H463,0))</f>
        <v/>
      </c>
      <c r="N463" s="9" t="str">
        <f aca="false">IF(C463="","",IFERROR(J463/I463,0))</f>
        <v/>
      </c>
      <c r="O463" s="21" t="str">
        <f aca="false">IF(C463="","",IFERROR(J463/L463,0))</f>
        <v/>
      </c>
      <c r="P463" s="22" t="str">
        <f aca="false">IF(C463="","",IFERROR(L463/J463,0))</f>
        <v/>
      </c>
      <c r="Q463" s="34"/>
      <c r="R463" s="4" t="str">
        <f aca="false">IF(C463="","",B463&amp;" | "&amp;C463&amp;" | "&amp;D463)</f>
        <v/>
      </c>
      <c r="S463" s="4" t="str">
        <f aca="false">IF(C463="","",R463&amp;"#"&amp;A463)</f>
        <v/>
      </c>
    </row>
    <row r="464" customFormat="false" ht="15" hidden="false" customHeight="false" outlineLevel="0" collapsed="false">
      <c r="A464" s="33"/>
      <c r="B464" s="34"/>
      <c r="C464" s="34"/>
      <c r="D464" s="34"/>
      <c r="E464" s="34"/>
      <c r="F464" s="34"/>
      <c r="G464" s="7"/>
      <c r="H464" s="35"/>
      <c r="I464" s="35"/>
      <c r="J464" s="7"/>
      <c r="K464" s="35"/>
      <c r="L464" s="7"/>
      <c r="M464" s="21" t="str">
        <f aca="false">IF(C464="","",IFERROR(I464/H464,0))</f>
        <v/>
      </c>
      <c r="N464" s="9" t="str">
        <f aca="false">IF(C464="","",IFERROR(J464/I464,0))</f>
        <v/>
      </c>
      <c r="O464" s="21" t="str">
        <f aca="false">IF(C464="","",IFERROR(J464/L464,0))</f>
        <v/>
      </c>
      <c r="P464" s="22" t="str">
        <f aca="false">IF(C464="","",IFERROR(L464/J464,0))</f>
        <v/>
      </c>
      <c r="Q464" s="34"/>
      <c r="R464" s="4" t="str">
        <f aca="false">IF(C464="","",B464&amp;" | "&amp;C464&amp;" | "&amp;D464)</f>
        <v/>
      </c>
      <c r="S464" s="4" t="str">
        <f aca="false">IF(C464="","",R464&amp;"#"&amp;A464)</f>
        <v/>
      </c>
    </row>
    <row r="465" customFormat="false" ht="15" hidden="false" customHeight="false" outlineLevel="0" collapsed="false">
      <c r="A465" s="33"/>
      <c r="B465" s="34"/>
      <c r="C465" s="34"/>
      <c r="D465" s="34"/>
      <c r="E465" s="34"/>
      <c r="F465" s="34"/>
      <c r="G465" s="7"/>
      <c r="H465" s="35"/>
      <c r="I465" s="35"/>
      <c r="J465" s="7"/>
      <c r="K465" s="35"/>
      <c r="L465" s="7"/>
      <c r="M465" s="21" t="str">
        <f aca="false">IF(C465="","",IFERROR(I465/H465,0))</f>
        <v/>
      </c>
      <c r="N465" s="9" t="str">
        <f aca="false">IF(C465="","",IFERROR(J465/I465,0))</f>
        <v/>
      </c>
      <c r="O465" s="21" t="str">
        <f aca="false">IF(C465="","",IFERROR(J465/L465,0))</f>
        <v/>
      </c>
      <c r="P465" s="22" t="str">
        <f aca="false">IF(C465="","",IFERROR(L465/J465,0))</f>
        <v/>
      </c>
      <c r="Q465" s="34"/>
      <c r="R465" s="4" t="str">
        <f aca="false">IF(C465="","",B465&amp;" | "&amp;C465&amp;" | "&amp;D465)</f>
        <v/>
      </c>
      <c r="S465" s="4" t="str">
        <f aca="false">IF(C465="","",R465&amp;"#"&amp;A465)</f>
        <v/>
      </c>
    </row>
    <row r="466" customFormat="false" ht="15" hidden="false" customHeight="false" outlineLevel="0" collapsed="false">
      <c r="A466" s="33"/>
      <c r="B466" s="34"/>
      <c r="C466" s="34"/>
      <c r="D466" s="34"/>
      <c r="E466" s="34"/>
      <c r="F466" s="34"/>
      <c r="G466" s="7"/>
      <c r="H466" s="35"/>
      <c r="I466" s="35"/>
      <c r="J466" s="7"/>
      <c r="K466" s="35"/>
      <c r="L466" s="7"/>
      <c r="M466" s="21" t="str">
        <f aca="false">IF(C466="","",IFERROR(I466/H466,0))</f>
        <v/>
      </c>
      <c r="N466" s="9" t="str">
        <f aca="false">IF(C466="","",IFERROR(J466/I466,0))</f>
        <v/>
      </c>
      <c r="O466" s="21" t="str">
        <f aca="false">IF(C466="","",IFERROR(J466/L466,0))</f>
        <v/>
      </c>
      <c r="P466" s="22" t="str">
        <f aca="false">IF(C466="","",IFERROR(L466/J466,0))</f>
        <v/>
      </c>
      <c r="Q466" s="34"/>
      <c r="R466" s="4" t="str">
        <f aca="false">IF(C466="","",B466&amp;" | "&amp;C466&amp;" | "&amp;D466)</f>
        <v/>
      </c>
      <c r="S466" s="4" t="str">
        <f aca="false">IF(C466="","",R466&amp;"#"&amp;A466)</f>
        <v/>
      </c>
    </row>
    <row r="467" customFormat="false" ht="15" hidden="false" customHeight="false" outlineLevel="0" collapsed="false">
      <c r="A467" s="33"/>
      <c r="B467" s="34"/>
      <c r="C467" s="34"/>
      <c r="D467" s="34"/>
      <c r="E467" s="34"/>
      <c r="F467" s="34"/>
      <c r="G467" s="7"/>
      <c r="H467" s="35"/>
      <c r="I467" s="35"/>
      <c r="J467" s="7"/>
      <c r="K467" s="35"/>
      <c r="L467" s="7"/>
      <c r="M467" s="21" t="str">
        <f aca="false">IF(C467="","",IFERROR(I467/H467,0))</f>
        <v/>
      </c>
      <c r="N467" s="9" t="str">
        <f aca="false">IF(C467="","",IFERROR(J467/I467,0))</f>
        <v/>
      </c>
      <c r="O467" s="21" t="str">
        <f aca="false">IF(C467="","",IFERROR(J467/L467,0))</f>
        <v/>
      </c>
      <c r="P467" s="22" t="str">
        <f aca="false">IF(C467="","",IFERROR(L467/J467,0))</f>
        <v/>
      </c>
      <c r="Q467" s="34"/>
      <c r="R467" s="4" t="str">
        <f aca="false">IF(C467="","",B467&amp;" | "&amp;C467&amp;" | "&amp;D467)</f>
        <v/>
      </c>
      <c r="S467" s="4" t="str">
        <f aca="false">IF(C467="","",R467&amp;"#"&amp;A467)</f>
        <v/>
      </c>
    </row>
    <row r="468" customFormat="false" ht="15" hidden="false" customHeight="false" outlineLevel="0" collapsed="false">
      <c r="A468" s="33"/>
      <c r="B468" s="34"/>
      <c r="C468" s="34"/>
      <c r="D468" s="34"/>
      <c r="E468" s="34"/>
      <c r="F468" s="34"/>
      <c r="G468" s="7"/>
      <c r="H468" s="35"/>
      <c r="I468" s="35"/>
      <c r="J468" s="7"/>
      <c r="K468" s="35"/>
      <c r="L468" s="7"/>
      <c r="M468" s="21" t="str">
        <f aca="false">IF(C468="","",IFERROR(I468/H468,0))</f>
        <v/>
      </c>
      <c r="N468" s="9" t="str">
        <f aca="false">IF(C468="","",IFERROR(J468/I468,0))</f>
        <v/>
      </c>
      <c r="O468" s="21" t="str">
        <f aca="false">IF(C468="","",IFERROR(J468/L468,0))</f>
        <v/>
      </c>
      <c r="P468" s="22" t="str">
        <f aca="false">IF(C468="","",IFERROR(L468/J468,0))</f>
        <v/>
      </c>
      <c r="Q468" s="34"/>
      <c r="R468" s="4" t="str">
        <f aca="false">IF(C468="","",B468&amp;" | "&amp;C468&amp;" | "&amp;D468)</f>
        <v/>
      </c>
      <c r="S468" s="4" t="str">
        <f aca="false">IF(C468="","",R468&amp;"#"&amp;A468)</f>
        <v/>
      </c>
    </row>
    <row r="469" customFormat="false" ht="15" hidden="false" customHeight="false" outlineLevel="0" collapsed="false">
      <c r="A469" s="33"/>
      <c r="B469" s="34"/>
      <c r="C469" s="34"/>
      <c r="D469" s="34"/>
      <c r="E469" s="34"/>
      <c r="F469" s="34"/>
      <c r="G469" s="7"/>
      <c r="H469" s="35"/>
      <c r="I469" s="35"/>
      <c r="J469" s="7"/>
      <c r="K469" s="35"/>
      <c r="L469" s="7"/>
      <c r="M469" s="21" t="str">
        <f aca="false">IF(C469="","",IFERROR(I469/H469,0))</f>
        <v/>
      </c>
      <c r="N469" s="9" t="str">
        <f aca="false">IF(C469="","",IFERROR(J469/I469,0))</f>
        <v/>
      </c>
      <c r="O469" s="21" t="str">
        <f aca="false">IF(C469="","",IFERROR(J469/L469,0))</f>
        <v/>
      </c>
      <c r="P469" s="22" t="str">
        <f aca="false">IF(C469="","",IFERROR(L469/J469,0))</f>
        <v/>
      </c>
      <c r="Q469" s="34"/>
      <c r="R469" s="4" t="str">
        <f aca="false">IF(C469="","",B469&amp;" | "&amp;C469&amp;" | "&amp;D469)</f>
        <v/>
      </c>
      <c r="S469" s="4" t="str">
        <f aca="false">IF(C469="","",R469&amp;"#"&amp;A469)</f>
        <v/>
      </c>
    </row>
    <row r="470" customFormat="false" ht="15" hidden="false" customHeight="false" outlineLevel="0" collapsed="false">
      <c r="A470" s="33"/>
      <c r="B470" s="34"/>
      <c r="C470" s="34"/>
      <c r="D470" s="34"/>
      <c r="E470" s="34"/>
      <c r="F470" s="34"/>
      <c r="G470" s="7"/>
      <c r="H470" s="35"/>
      <c r="I470" s="35"/>
      <c r="J470" s="7"/>
      <c r="K470" s="35"/>
      <c r="L470" s="7"/>
      <c r="M470" s="21" t="str">
        <f aca="false">IF(C470="","",IFERROR(I470/H470,0))</f>
        <v/>
      </c>
      <c r="N470" s="9" t="str">
        <f aca="false">IF(C470="","",IFERROR(J470/I470,0))</f>
        <v/>
      </c>
      <c r="O470" s="21" t="str">
        <f aca="false">IF(C470="","",IFERROR(J470/L470,0))</f>
        <v/>
      </c>
      <c r="P470" s="22" t="str">
        <f aca="false">IF(C470="","",IFERROR(L470/J470,0))</f>
        <v/>
      </c>
      <c r="Q470" s="34"/>
      <c r="R470" s="4" t="str">
        <f aca="false">IF(C470="","",B470&amp;" | "&amp;C470&amp;" | "&amp;D470)</f>
        <v/>
      </c>
      <c r="S470" s="4" t="str">
        <f aca="false">IF(C470="","",R470&amp;"#"&amp;A470)</f>
        <v/>
      </c>
    </row>
    <row r="471" customFormat="false" ht="15" hidden="false" customHeight="false" outlineLevel="0" collapsed="false">
      <c r="A471" s="33"/>
      <c r="B471" s="34"/>
      <c r="C471" s="34"/>
      <c r="D471" s="34"/>
      <c r="E471" s="34"/>
      <c r="F471" s="34"/>
      <c r="G471" s="7"/>
      <c r="H471" s="35"/>
      <c r="I471" s="35"/>
      <c r="J471" s="7"/>
      <c r="K471" s="35"/>
      <c r="L471" s="7"/>
      <c r="M471" s="21" t="str">
        <f aca="false">IF(C471="","",IFERROR(I471/H471,0))</f>
        <v/>
      </c>
      <c r="N471" s="9" t="str">
        <f aca="false">IF(C471="","",IFERROR(J471/I471,0))</f>
        <v/>
      </c>
      <c r="O471" s="21" t="str">
        <f aca="false">IF(C471="","",IFERROR(J471/L471,0))</f>
        <v/>
      </c>
      <c r="P471" s="22" t="str">
        <f aca="false">IF(C471="","",IFERROR(L471/J471,0))</f>
        <v/>
      </c>
      <c r="Q471" s="34"/>
      <c r="R471" s="4" t="str">
        <f aca="false">IF(C471="","",B471&amp;" | "&amp;C471&amp;" | "&amp;D471)</f>
        <v/>
      </c>
      <c r="S471" s="4" t="str">
        <f aca="false">IF(C471="","",R471&amp;"#"&amp;A471)</f>
        <v/>
      </c>
    </row>
    <row r="472" customFormat="false" ht="15" hidden="false" customHeight="false" outlineLevel="0" collapsed="false">
      <c r="A472" s="33"/>
      <c r="B472" s="34"/>
      <c r="C472" s="34"/>
      <c r="D472" s="34"/>
      <c r="E472" s="34"/>
      <c r="F472" s="34"/>
      <c r="G472" s="7"/>
      <c r="H472" s="35"/>
      <c r="I472" s="35"/>
      <c r="J472" s="7"/>
      <c r="K472" s="35"/>
      <c r="L472" s="7"/>
      <c r="M472" s="21" t="str">
        <f aca="false">IF(C472="","",IFERROR(I472/H472,0))</f>
        <v/>
      </c>
      <c r="N472" s="9" t="str">
        <f aca="false">IF(C472="","",IFERROR(J472/I472,0))</f>
        <v/>
      </c>
      <c r="O472" s="21" t="str">
        <f aca="false">IF(C472="","",IFERROR(J472/L472,0))</f>
        <v/>
      </c>
      <c r="P472" s="22" t="str">
        <f aca="false">IF(C472="","",IFERROR(L472/J472,0))</f>
        <v/>
      </c>
      <c r="Q472" s="34"/>
      <c r="R472" s="4" t="str">
        <f aca="false">IF(C472="","",B472&amp;" | "&amp;C472&amp;" | "&amp;D472)</f>
        <v/>
      </c>
      <c r="S472" s="4" t="str">
        <f aca="false">IF(C472="","",R472&amp;"#"&amp;A472)</f>
        <v/>
      </c>
    </row>
    <row r="473" customFormat="false" ht="15" hidden="false" customHeight="false" outlineLevel="0" collapsed="false">
      <c r="A473" s="33"/>
      <c r="B473" s="34"/>
      <c r="C473" s="34"/>
      <c r="D473" s="34"/>
      <c r="E473" s="34"/>
      <c r="F473" s="34"/>
      <c r="G473" s="7"/>
      <c r="H473" s="35"/>
      <c r="I473" s="35"/>
      <c r="J473" s="7"/>
      <c r="K473" s="35"/>
      <c r="L473" s="7"/>
      <c r="M473" s="21" t="str">
        <f aca="false">IF(C473="","",IFERROR(I473/H473,0))</f>
        <v/>
      </c>
      <c r="N473" s="9" t="str">
        <f aca="false">IF(C473="","",IFERROR(J473/I473,0))</f>
        <v/>
      </c>
      <c r="O473" s="21" t="str">
        <f aca="false">IF(C473="","",IFERROR(J473/L473,0))</f>
        <v/>
      </c>
      <c r="P473" s="22" t="str">
        <f aca="false">IF(C473="","",IFERROR(L473/J473,0))</f>
        <v/>
      </c>
      <c r="Q473" s="34"/>
      <c r="R473" s="4" t="str">
        <f aca="false">IF(C473="","",B473&amp;" | "&amp;C473&amp;" | "&amp;D473)</f>
        <v/>
      </c>
      <c r="S473" s="4" t="str">
        <f aca="false">IF(C473="","",R473&amp;"#"&amp;A473)</f>
        <v/>
      </c>
    </row>
    <row r="474" customFormat="false" ht="15" hidden="false" customHeight="false" outlineLevel="0" collapsed="false">
      <c r="A474" s="33"/>
      <c r="B474" s="34"/>
      <c r="C474" s="34"/>
      <c r="D474" s="34"/>
      <c r="E474" s="34"/>
      <c r="F474" s="34"/>
      <c r="G474" s="7"/>
      <c r="H474" s="35"/>
      <c r="I474" s="35"/>
      <c r="J474" s="7"/>
      <c r="K474" s="35"/>
      <c r="L474" s="7"/>
      <c r="M474" s="21" t="str">
        <f aca="false">IF(C474="","",IFERROR(I474/H474,0))</f>
        <v/>
      </c>
      <c r="N474" s="9" t="str">
        <f aca="false">IF(C474="","",IFERROR(J474/I474,0))</f>
        <v/>
      </c>
      <c r="O474" s="21" t="str">
        <f aca="false">IF(C474="","",IFERROR(J474/L474,0))</f>
        <v/>
      </c>
      <c r="P474" s="22" t="str">
        <f aca="false">IF(C474="","",IFERROR(L474/J474,0))</f>
        <v/>
      </c>
      <c r="Q474" s="34"/>
      <c r="R474" s="4" t="str">
        <f aca="false">IF(C474="","",B474&amp;" | "&amp;C474&amp;" | "&amp;D474)</f>
        <v/>
      </c>
      <c r="S474" s="4" t="str">
        <f aca="false">IF(C474="","",R474&amp;"#"&amp;A474)</f>
        <v/>
      </c>
    </row>
    <row r="475" customFormat="false" ht="15" hidden="false" customHeight="false" outlineLevel="0" collapsed="false">
      <c r="A475" s="33"/>
      <c r="B475" s="34"/>
      <c r="C475" s="34"/>
      <c r="D475" s="34"/>
      <c r="E475" s="34"/>
      <c r="F475" s="34"/>
      <c r="G475" s="7"/>
      <c r="H475" s="35"/>
      <c r="I475" s="35"/>
      <c r="J475" s="7"/>
      <c r="K475" s="35"/>
      <c r="L475" s="7"/>
      <c r="M475" s="21" t="str">
        <f aca="false">IF(C475="","",IFERROR(I475/H475,0))</f>
        <v/>
      </c>
      <c r="N475" s="9" t="str">
        <f aca="false">IF(C475="","",IFERROR(J475/I475,0))</f>
        <v/>
      </c>
      <c r="O475" s="21" t="str">
        <f aca="false">IF(C475="","",IFERROR(J475/L475,0))</f>
        <v/>
      </c>
      <c r="P475" s="22" t="str">
        <f aca="false">IF(C475="","",IFERROR(L475/J475,0))</f>
        <v/>
      </c>
      <c r="Q475" s="34"/>
      <c r="R475" s="4" t="str">
        <f aca="false">IF(C475="","",B475&amp;" | "&amp;C475&amp;" | "&amp;D475)</f>
        <v/>
      </c>
      <c r="S475" s="4" t="str">
        <f aca="false">IF(C475="","",R475&amp;"#"&amp;A475)</f>
        <v/>
      </c>
    </row>
    <row r="476" customFormat="false" ht="15" hidden="false" customHeight="false" outlineLevel="0" collapsed="false">
      <c r="A476" s="33"/>
      <c r="B476" s="34"/>
      <c r="C476" s="34"/>
      <c r="D476" s="34"/>
      <c r="E476" s="34"/>
      <c r="F476" s="34"/>
      <c r="G476" s="7"/>
      <c r="H476" s="35"/>
      <c r="I476" s="35"/>
      <c r="J476" s="7"/>
      <c r="K476" s="35"/>
      <c r="L476" s="7"/>
      <c r="M476" s="21" t="str">
        <f aca="false">IF(C476="","",IFERROR(I476/H476,0))</f>
        <v/>
      </c>
      <c r="N476" s="9" t="str">
        <f aca="false">IF(C476="","",IFERROR(J476/I476,0))</f>
        <v/>
      </c>
      <c r="O476" s="21" t="str">
        <f aca="false">IF(C476="","",IFERROR(J476/L476,0))</f>
        <v/>
      </c>
      <c r="P476" s="22" t="str">
        <f aca="false">IF(C476="","",IFERROR(L476/J476,0))</f>
        <v/>
      </c>
      <c r="Q476" s="34"/>
      <c r="R476" s="4" t="str">
        <f aca="false">IF(C476="","",B476&amp;" | "&amp;C476&amp;" | "&amp;D476)</f>
        <v/>
      </c>
      <c r="S476" s="4" t="str">
        <f aca="false">IF(C476="","",R476&amp;"#"&amp;A476)</f>
        <v/>
      </c>
    </row>
    <row r="477" customFormat="false" ht="15" hidden="false" customHeight="false" outlineLevel="0" collapsed="false">
      <c r="A477" s="33"/>
      <c r="B477" s="34"/>
      <c r="C477" s="34"/>
      <c r="D477" s="34"/>
      <c r="E477" s="34"/>
      <c r="F477" s="34"/>
      <c r="G477" s="7"/>
      <c r="H477" s="35"/>
      <c r="I477" s="35"/>
      <c r="J477" s="7"/>
      <c r="K477" s="35"/>
      <c r="L477" s="7"/>
      <c r="M477" s="21" t="str">
        <f aca="false">IF(C477="","",IFERROR(I477/H477,0))</f>
        <v/>
      </c>
      <c r="N477" s="9" t="str">
        <f aca="false">IF(C477="","",IFERROR(J477/I477,0))</f>
        <v/>
      </c>
      <c r="O477" s="21" t="str">
        <f aca="false">IF(C477="","",IFERROR(J477/L477,0))</f>
        <v/>
      </c>
      <c r="P477" s="22" t="str">
        <f aca="false">IF(C477="","",IFERROR(L477/J477,0))</f>
        <v/>
      </c>
      <c r="Q477" s="34"/>
      <c r="R477" s="4" t="str">
        <f aca="false">IF(C477="","",B477&amp;" | "&amp;C477&amp;" | "&amp;D477)</f>
        <v/>
      </c>
      <c r="S477" s="4" t="str">
        <f aca="false">IF(C477="","",R477&amp;"#"&amp;A477)</f>
        <v/>
      </c>
    </row>
    <row r="478" customFormat="false" ht="15" hidden="false" customHeight="false" outlineLevel="0" collapsed="false">
      <c r="A478" s="33"/>
      <c r="B478" s="34"/>
      <c r="C478" s="34"/>
      <c r="D478" s="34"/>
      <c r="E478" s="34"/>
      <c r="F478" s="34"/>
      <c r="G478" s="7"/>
      <c r="H478" s="35"/>
      <c r="I478" s="35"/>
      <c r="J478" s="7"/>
      <c r="K478" s="35"/>
      <c r="L478" s="7"/>
      <c r="M478" s="21" t="str">
        <f aca="false">IF(C478="","",IFERROR(I478/H478,0))</f>
        <v/>
      </c>
      <c r="N478" s="9" t="str">
        <f aca="false">IF(C478="","",IFERROR(J478/I478,0))</f>
        <v/>
      </c>
      <c r="O478" s="21" t="str">
        <f aca="false">IF(C478="","",IFERROR(J478/L478,0))</f>
        <v/>
      </c>
      <c r="P478" s="22" t="str">
        <f aca="false">IF(C478="","",IFERROR(L478/J478,0))</f>
        <v/>
      </c>
      <c r="Q478" s="34"/>
      <c r="R478" s="4" t="str">
        <f aca="false">IF(C478="","",B478&amp;" | "&amp;C478&amp;" | "&amp;D478)</f>
        <v/>
      </c>
      <c r="S478" s="4" t="str">
        <f aca="false">IF(C478="","",R478&amp;"#"&amp;A478)</f>
        <v/>
      </c>
    </row>
    <row r="479" customFormat="false" ht="15" hidden="false" customHeight="false" outlineLevel="0" collapsed="false">
      <c r="A479" s="33"/>
      <c r="B479" s="34"/>
      <c r="C479" s="34"/>
      <c r="D479" s="34"/>
      <c r="E479" s="34"/>
      <c r="F479" s="34"/>
      <c r="G479" s="7"/>
      <c r="H479" s="35"/>
      <c r="I479" s="35"/>
      <c r="J479" s="7"/>
      <c r="K479" s="35"/>
      <c r="L479" s="7"/>
      <c r="M479" s="21" t="str">
        <f aca="false">IF(C479="","",IFERROR(I479/H479,0))</f>
        <v/>
      </c>
      <c r="N479" s="9" t="str">
        <f aca="false">IF(C479="","",IFERROR(J479/I479,0))</f>
        <v/>
      </c>
      <c r="O479" s="21" t="str">
        <f aca="false">IF(C479="","",IFERROR(J479/L479,0))</f>
        <v/>
      </c>
      <c r="P479" s="22" t="str">
        <f aca="false">IF(C479="","",IFERROR(L479/J479,0))</f>
        <v/>
      </c>
      <c r="Q479" s="34"/>
      <c r="R479" s="4" t="str">
        <f aca="false">IF(C479="","",B479&amp;" | "&amp;C479&amp;" | "&amp;D479)</f>
        <v/>
      </c>
      <c r="S479" s="4" t="str">
        <f aca="false">IF(C479="","",R479&amp;"#"&amp;A479)</f>
        <v/>
      </c>
    </row>
    <row r="480" customFormat="false" ht="15" hidden="false" customHeight="false" outlineLevel="0" collapsed="false">
      <c r="A480" s="33"/>
      <c r="B480" s="34"/>
      <c r="C480" s="34"/>
      <c r="D480" s="34"/>
      <c r="E480" s="34"/>
      <c r="F480" s="34"/>
      <c r="G480" s="7"/>
      <c r="H480" s="35"/>
      <c r="I480" s="35"/>
      <c r="J480" s="7"/>
      <c r="K480" s="35"/>
      <c r="L480" s="7"/>
      <c r="M480" s="21" t="str">
        <f aca="false">IF(C480="","",IFERROR(I480/H480,0))</f>
        <v/>
      </c>
      <c r="N480" s="9" t="str">
        <f aca="false">IF(C480="","",IFERROR(J480/I480,0))</f>
        <v/>
      </c>
      <c r="O480" s="21" t="str">
        <f aca="false">IF(C480="","",IFERROR(J480/L480,0))</f>
        <v/>
      </c>
      <c r="P480" s="22" t="str">
        <f aca="false">IF(C480="","",IFERROR(L480/J480,0))</f>
        <v/>
      </c>
      <c r="Q480" s="34"/>
      <c r="R480" s="4" t="str">
        <f aca="false">IF(C480="","",B480&amp;" | "&amp;C480&amp;" | "&amp;D480)</f>
        <v/>
      </c>
      <c r="S480" s="4" t="str">
        <f aca="false">IF(C480="","",R480&amp;"#"&amp;A480)</f>
        <v/>
      </c>
    </row>
    <row r="481" customFormat="false" ht="15" hidden="false" customHeight="false" outlineLevel="0" collapsed="false">
      <c r="A481" s="33"/>
      <c r="B481" s="34"/>
      <c r="C481" s="34"/>
      <c r="D481" s="34"/>
      <c r="E481" s="34"/>
      <c r="F481" s="34"/>
      <c r="G481" s="7"/>
      <c r="H481" s="35"/>
      <c r="I481" s="35"/>
      <c r="J481" s="7"/>
      <c r="K481" s="35"/>
      <c r="L481" s="7"/>
      <c r="M481" s="21" t="str">
        <f aca="false">IF(C481="","",IFERROR(I481/H481,0))</f>
        <v/>
      </c>
      <c r="N481" s="9" t="str">
        <f aca="false">IF(C481="","",IFERROR(J481/I481,0))</f>
        <v/>
      </c>
      <c r="O481" s="21" t="str">
        <f aca="false">IF(C481="","",IFERROR(J481/L481,0))</f>
        <v/>
      </c>
      <c r="P481" s="22" t="str">
        <f aca="false">IF(C481="","",IFERROR(L481/J481,0))</f>
        <v/>
      </c>
      <c r="Q481" s="34"/>
      <c r="R481" s="4" t="str">
        <f aca="false">IF(C481="","",B481&amp;" | "&amp;C481&amp;" | "&amp;D481)</f>
        <v/>
      </c>
      <c r="S481" s="4" t="str">
        <f aca="false">IF(C481="","",R481&amp;"#"&amp;A481)</f>
        <v/>
      </c>
    </row>
    <row r="482" customFormat="false" ht="15" hidden="false" customHeight="false" outlineLevel="0" collapsed="false">
      <c r="A482" s="33"/>
      <c r="B482" s="34"/>
      <c r="C482" s="34"/>
      <c r="D482" s="34"/>
      <c r="E482" s="34"/>
      <c r="F482" s="34"/>
      <c r="G482" s="7"/>
      <c r="H482" s="35"/>
      <c r="I482" s="35"/>
      <c r="J482" s="7"/>
      <c r="K482" s="35"/>
      <c r="L482" s="7"/>
      <c r="M482" s="21" t="str">
        <f aca="false">IF(C482="","",IFERROR(I482/H482,0))</f>
        <v/>
      </c>
      <c r="N482" s="9" t="str">
        <f aca="false">IF(C482="","",IFERROR(J482/I482,0))</f>
        <v/>
      </c>
      <c r="O482" s="21" t="str">
        <f aca="false">IF(C482="","",IFERROR(J482/L482,0))</f>
        <v/>
      </c>
      <c r="P482" s="22" t="str">
        <f aca="false">IF(C482="","",IFERROR(L482/J482,0))</f>
        <v/>
      </c>
      <c r="Q482" s="34"/>
      <c r="R482" s="4" t="str">
        <f aca="false">IF(C482="","",B482&amp;" | "&amp;C482&amp;" | "&amp;D482)</f>
        <v/>
      </c>
      <c r="S482" s="4" t="str">
        <f aca="false">IF(C482="","",R482&amp;"#"&amp;A482)</f>
        <v/>
      </c>
    </row>
    <row r="483" customFormat="false" ht="15" hidden="false" customHeight="false" outlineLevel="0" collapsed="false">
      <c r="A483" s="33"/>
      <c r="B483" s="34"/>
      <c r="C483" s="34"/>
      <c r="D483" s="34"/>
      <c r="E483" s="34"/>
      <c r="F483" s="34"/>
      <c r="G483" s="7"/>
      <c r="H483" s="35"/>
      <c r="I483" s="35"/>
      <c r="J483" s="7"/>
      <c r="K483" s="35"/>
      <c r="L483" s="7"/>
      <c r="M483" s="21" t="str">
        <f aca="false">IF(C483="","",IFERROR(I483/H483,0))</f>
        <v/>
      </c>
      <c r="N483" s="9" t="str">
        <f aca="false">IF(C483="","",IFERROR(J483/I483,0))</f>
        <v/>
      </c>
      <c r="O483" s="21" t="str">
        <f aca="false">IF(C483="","",IFERROR(J483/L483,0))</f>
        <v/>
      </c>
      <c r="P483" s="22" t="str">
        <f aca="false">IF(C483="","",IFERROR(L483/J483,0))</f>
        <v/>
      </c>
      <c r="Q483" s="34"/>
      <c r="R483" s="4" t="str">
        <f aca="false">IF(C483="","",B483&amp;" | "&amp;C483&amp;" | "&amp;D483)</f>
        <v/>
      </c>
      <c r="S483" s="4" t="str">
        <f aca="false">IF(C483="","",R483&amp;"#"&amp;A483)</f>
        <v/>
      </c>
    </row>
    <row r="484" customFormat="false" ht="15" hidden="false" customHeight="false" outlineLevel="0" collapsed="false">
      <c r="A484" s="33"/>
      <c r="B484" s="34"/>
      <c r="C484" s="34"/>
      <c r="D484" s="34"/>
      <c r="E484" s="34"/>
      <c r="F484" s="34"/>
      <c r="G484" s="7"/>
      <c r="H484" s="35"/>
      <c r="I484" s="35"/>
      <c r="J484" s="7"/>
      <c r="K484" s="35"/>
      <c r="L484" s="7"/>
      <c r="M484" s="21" t="str">
        <f aca="false">IF(C484="","",IFERROR(I484/H484,0))</f>
        <v/>
      </c>
      <c r="N484" s="9" t="str">
        <f aca="false">IF(C484="","",IFERROR(J484/I484,0))</f>
        <v/>
      </c>
      <c r="O484" s="21" t="str">
        <f aca="false">IF(C484="","",IFERROR(J484/L484,0))</f>
        <v/>
      </c>
      <c r="P484" s="22" t="str">
        <f aca="false">IF(C484="","",IFERROR(L484/J484,0))</f>
        <v/>
      </c>
      <c r="Q484" s="34"/>
      <c r="R484" s="4" t="str">
        <f aca="false">IF(C484="","",B484&amp;" | "&amp;C484&amp;" | "&amp;D484)</f>
        <v/>
      </c>
      <c r="S484" s="4" t="str">
        <f aca="false">IF(C484="","",R484&amp;"#"&amp;A484)</f>
        <v/>
      </c>
    </row>
    <row r="485" customFormat="false" ht="15" hidden="false" customHeight="false" outlineLevel="0" collapsed="false">
      <c r="A485" s="33"/>
      <c r="B485" s="34"/>
      <c r="C485" s="34"/>
      <c r="D485" s="34"/>
      <c r="E485" s="34"/>
      <c r="F485" s="34"/>
      <c r="G485" s="7"/>
      <c r="H485" s="35"/>
      <c r="I485" s="35"/>
      <c r="J485" s="7"/>
      <c r="K485" s="35"/>
      <c r="L485" s="7"/>
      <c r="M485" s="21" t="str">
        <f aca="false">IF(C485="","",IFERROR(I485/H485,0))</f>
        <v/>
      </c>
      <c r="N485" s="9" t="str">
        <f aca="false">IF(C485="","",IFERROR(J485/I485,0))</f>
        <v/>
      </c>
      <c r="O485" s="21" t="str">
        <f aca="false">IF(C485="","",IFERROR(J485/L485,0))</f>
        <v/>
      </c>
      <c r="P485" s="22" t="str">
        <f aca="false">IF(C485="","",IFERROR(L485/J485,0))</f>
        <v/>
      </c>
      <c r="Q485" s="34"/>
      <c r="R485" s="4" t="str">
        <f aca="false">IF(C485="","",B485&amp;" | "&amp;C485&amp;" | "&amp;D485)</f>
        <v/>
      </c>
      <c r="S485" s="4" t="str">
        <f aca="false">IF(C485="","",R485&amp;"#"&amp;A485)</f>
        <v/>
      </c>
    </row>
    <row r="486" customFormat="false" ht="15" hidden="false" customHeight="false" outlineLevel="0" collapsed="false">
      <c r="A486" s="33"/>
      <c r="B486" s="34"/>
      <c r="C486" s="34"/>
      <c r="D486" s="34"/>
      <c r="E486" s="34"/>
      <c r="F486" s="34"/>
      <c r="G486" s="7"/>
      <c r="H486" s="35"/>
      <c r="I486" s="35"/>
      <c r="J486" s="7"/>
      <c r="K486" s="35"/>
      <c r="L486" s="7"/>
      <c r="M486" s="21" t="str">
        <f aca="false">IF(C486="","",IFERROR(I486/H486,0))</f>
        <v/>
      </c>
      <c r="N486" s="9" t="str">
        <f aca="false">IF(C486="","",IFERROR(J486/I486,0))</f>
        <v/>
      </c>
      <c r="O486" s="21" t="str">
        <f aca="false">IF(C486="","",IFERROR(J486/L486,0))</f>
        <v/>
      </c>
      <c r="P486" s="22" t="str">
        <f aca="false">IF(C486="","",IFERROR(L486/J486,0))</f>
        <v/>
      </c>
      <c r="Q486" s="34"/>
      <c r="R486" s="4" t="str">
        <f aca="false">IF(C486="","",B486&amp;" | "&amp;C486&amp;" | "&amp;D486)</f>
        <v/>
      </c>
      <c r="S486" s="4" t="str">
        <f aca="false">IF(C486="","",R486&amp;"#"&amp;A486)</f>
        <v/>
      </c>
    </row>
    <row r="487" customFormat="false" ht="15" hidden="false" customHeight="false" outlineLevel="0" collapsed="false">
      <c r="A487" s="33"/>
      <c r="B487" s="34"/>
      <c r="C487" s="34"/>
      <c r="D487" s="34"/>
      <c r="E487" s="34"/>
      <c r="F487" s="34"/>
      <c r="G487" s="7"/>
      <c r="H487" s="35"/>
      <c r="I487" s="35"/>
      <c r="J487" s="7"/>
      <c r="K487" s="35"/>
      <c r="L487" s="7"/>
      <c r="M487" s="21" t="str">
        <f aca="false">IF(C487="","",IFERROR(I487/H487,0))</f>
        <v/>
      </c>
      <c r="N487" s="9" t="str">
        <f aca="false">IF(C487="","",IFERROR(J487/I487,0))</f>
        <v/>
      </c>
      <c r="O487" s="21" t="str">
        <f aca="false">IF(C487="","",IFERROR(J487/L487,0))</f>
        <v/>
      </c>
      <c r="P487" s="22" t="str">
        <f aca="false">IF(C487="","",IFERROR(L487/J487,0))</f>
        <v/>
      </c>
      <c r="Q487" s="34"/>
      <c r="R487" s="4" t="str">
        <f aca="false">IF(C487="","",B487&amp;" | "&amp;C487&amp;" | "&amp;D487)</f>
        <v/>
      </c>
      <c r="S487" s="4" t="str">
        <f aca="false">IF(C487="","",R487&amp;"#"&amp;A487)</f>
        <v/>
      </c>
    </row>
    <row r="488" customFormat="false" ht="15" hidden="false" customHeight="false" outlineLevel="0" collapsed="false">
      <c r="A488" s="33"/>
      <c r="B488" s="34"/>
      <c r="C488" s="34"/>
      <c r="D488" s="34"/>
      <c r="E488" s="34"/>
      <c r="F488" s="34"/>
      <c r="G488" s="7"/>
      <c r="H488" s="35"/>
      <c r="I488" s="35"/>
      <c r="J488" s="7"/>
      <c r="K488" s="35"/>
      <c r="L488" s="7"/>
      <c r="M488" s="21" t="str">
        <f aca="false">IF(C488="","",IFERROR(I488/H488,0))</f>
        <v/>
      </c>
      <c r="N488" s="9" t="str">
        <f aca="false">IF(C488="","",IFERROR(J488/I488,0))</f>
        <v/>
      </c>
      <c r="O488" s="21" t="str">
        <f aca="false">IF(C488="","",IFERROR(J488/L488,0))</f>
        <v/>
      </c>
      <c r="P488" s="22" t="str">
        <f aca="false">IF(C488="","",IFERROR(L488/J488,0))</f>
        <v/>
      </c>
      <c r="Q488" s="34"/>
      <c r="R488" s="4" t="str">
        <f aca="false">IF(C488="","",B488&amp;" | "&amp;C488&amp;" | "&amp;D488)</f>
        <v/>
      </c>
      <c r="S488" s="4" t="str">
        <f aca="false">IF(C488="","",R488&amp;"#"&amp;A488)</f>
        <v/>
      </c>
    </row>
    <row r="489" customFormat="false" ht="15" hidden="false" customHeight="false" outlineLevel="0" collapsed="false">
      <c r="A489" s="33"/>
      <c r="B489" s="34"/>
      <c r="C489" s="34"/>
      <c r="D489" s="34"/>
      <c r="E489" s="34"/>
      <c r="F489" s="34"/>
      <c r="G489" s="7"/>
      <c r="H489" s="35"/>
      <c r="I489" s="35"/>
      <c r="J489" s="7"/>
      <c r="K489" s="35"/>
      <c r="L489" s="7"/>
      <c r="M489" s="21" t="str">
        <f aca="false">IF(C489="","",IFERROR(I489/H489,0))</f>
        <v/>
      </c>
      <c r="N489" s="9" t="str">
        <f aca="false">IF(C489="","",IFERROR(J489/I489,0))</f>
        <v/>
      </c>
      <c r="O489" s="21" t="str">
        <f aca="false">IF(C489="","",IFERROR(J489/L489,0))</f>
        <v/>
      </c>
      <c r="P489" s="22" t="str">
        <f aca="false">IF(C489="","",IFERROR(L489/J489,0))</f>
        <v/>
      </c>
      <c r="Q489" s="34"/>
      <c r="R489" s="4" t="str">
        <f aca="false">IF(C489="","",B489&amp;" | "&amp;C489&amp;" | "&amp;D489)</f>
        <v/>
      </c>
      <c r="S489" s="4" t="str">
        <f aca="false">IF(C489="","",R489&amp;"#"&amp;A489)</f>
        <v/>
      </c>
    </row>
    <row r="490" customFormat="false" ht="15" hidden="false" customHeight="false" outlineLevel="0" collapsed="false">
      <c r="A490" s="33"/>
      <c r="B490" s="34"/>
      <c r="C490" s="34"/>
      <c r="D490" s="34"/>
      <c r="E490" s="34"/>
      <c r="F490" s="34"/>
      <c r="G490" s="7"/>
      <c r="H490" s="35"/>
      <c r="I490" s="35"/>
      <c r="J490" s="7"/>
      <c r="K490" s="35"/>
      <c r="L490" s="7"/>
      <c r="M490" s="21" t="str">
        <f aca="false">IF(C490="","",IFERROR(I490/H490,0))</f>
        <v/>
      </c>
      <c r="N490" s="9" t="str">
        <f aca="false">IF(C490="","",IFERROR(J490/I490,0))</f>
        <v/>
      </c>
      <c r="O490" s="21" t="str">
        <f aca="false">IF(C490="","",IFERROR(J490/L490,0))</f>
        <v/>
      </c>
      <c r="P490" s="22" t="str">
        <f aca="false">IF(C490="","",IFERROR(L490/J490,0))</f>
        <v/>
      </c>
      <c r="Q490" s="34"/>
      <c r="R490" s="4" t="str">
        <f aca="false">IF(C490="","",B490&amp;" | "&amp;C490&amp;" | "&amp;D490)</f>
        <v/>
      </c>
      <c r="S490" s="4" t="str">
        <f aca="false">IF(C490="","",R490&amp;"#"&amp;A490)</f>
        <v/>
      </c>
    </row>
    <row r="491" customFormat="false" ht="15" hidden="false" customHeight="false" outlineLevel="0" collapsed="false">
      <c r="A491" s="33"/>
      <c r="B491" s="34"/>
      <c r="C491" s="34"/>
      <c r="D491" s="34"/>
      <c r="E491" s="34"/>
      <c r="F491" s="34"/>
      <c r="G491" s="7"/>
      <c r="H491" s="35"/>
      <c r="I491" s="35"/>
      <c r="J491" s="7"/>
      <c r="K491" s="35"/>
      <c r="L491" s="7"/>
      <c r="M491" s="21" t="str">
        <f aca="false">IF(C491="","",IFERROR(I491/H491,0))</f>
        <v/>
      </c>
      <c r="N491" s="9" t="str">
        <f aca="false">IF(C491="","",IFERROR(J491/I491,0))</f>
        <v/>
      </c>
      <c r="O491" s="21" t="str">
        <f aca="false">IF(C491="","",IFERROR(J491/L491,0))</f>
        <v/>
      </c>
      <c r="P491" s="22" t="str">
        <f aca="false">IF(C491="","",IFERROR(L491/J491,0))</f>
        <v/>
      </c>
      <c r="Q491" s="34"/>
      <c r="R491" s="4" t="str">
        <f aca="false">IF(C491="","",B491&amp;" | "&amp;C491&amp;" | "&amp;D491)</f>
        <v/>
      </c>
      <c r="S491" s="4" t="str">
        <f aca="false">IF(C491="","",R491&amp;"#"&amp;A491)</f>
        <v/>
      </c>
    </row>
    <row r="492" customFormat="false" ht="15" hidden="false" customHeight="false" outlineLevel="0" collapsed="false">
      <c r="A492" s="33"/>
      <c r="B492" s="34"/>
      <c r="C492" s="34"/>
      <c r="D492" s="34"/>
      <c r="E492" s="34"/>
      <c r="F492" s="34"/>
      <c r="G492" s="7"/>
      <c r="H492" s="35"/>
      <c r="I492" s="35"/>
      <c r="J492" s="7"/>
      <c r="K492" s="35"/>
      <c r="L492" s="7"/>
      <c r="M492" s="21" t="str">
        <f aca="false">IF(C492="","",IFERROR(I492/H492,0))</f>
        <v/>
      </c>
      <c r="N492" s="9" t="str">
        <f aca="false">IF(C492="","",IFERROR(J492/I492,0))</f>
        <v/>
      </c>
      <c r="O492" s="21" t="str">
        <f aca="false">IF(C492="","",IFERROR(J492/L492,0))</f>
        <v/>
      </c>
      <c r="P492" s="22" t="str">
        <f aca="false">IF(C492="","",IFERROR(L492/J492,0))</f>
        <v/>
      </c>
      <c r="Q492" s="34"/>
      <c r="R492" s="4" t="str">
        <f aca="false">IF(C492="","",B492&amp;" | "&amp;C492&amp;" | "&amp;D492)</f>
        <v/>
      </c>
      <c r="S492" s="4" t="str">
        <f aca="false">IF(C492="","",R492&amp;"#"&amp;A492)</f>
        <v/>
      </c>
    </row>
    <row r="493" customFormat="false" ht="15" hidden="false" customHeight="false" outlineLevel="0" collapsed="false">
      <c r="A493" s="33"/>
      <c r="B493" s="34"/>
      <c r="C493" s="34"/>
      <c r="D493" s="34"/>
      <c r="E493" s="34"/>
      <c r="F493" s="34"/>
      <c r="G493" s="7"/>
      <c r="H493" s="35"/>
      <c r="I493" s="35"/>
      <c r="J493" s="7"/>
      <c r="K493" s="35"/>
      <c r="L493" s="7"/>
      <c r="M493" s="21" t="str">
        <f aca="false">IF(C493="","",IFERROR(I493/H493,0))</f>
        <v/>
      </c>
      <c r="N493" s="9" t="str">
        <f aca="false">IF(C493="","",IFERROR(J493/I493,0))</f>
        <v/>
      </c>
      <c r="O493" s="21" t="str">
        <f aca="false">IF(C493="","",IFERROR(J493/L493,0))</f>
        <v/>
      </c>
      <c r="P493" s="22" t="str">
        <f aca="false">IF(C493="","",IFERROR(L493/J493,0))</f>
        <v/>
      </c>
      <c r="Q493" s="34"/>
      <c r="R493" s="4" t="str">
        <f aca="false">IF(C493="","",B493&amp;" | "&amp;C493&amp;" | "&amp;D493)</f>
        <v/>
      </c>
      <c r="S493" s="4" t="str">
        <f aca="false">IF(C493="","",R493&amp;"#"&amp;A493)</f>
        <v/>
      </c>
    </row>
    <row r="494" customFormat="false" ht="15" hidden="false" customHeight="false" outlineLevel="0" collapsed="false">
      <c r="A494" s="33"/>
      <c r="B494" s="34"/>
      <c r="C494" s="34"/>
      <c r="D494" s="34"/>
      <c r="E494" s="34"/>
      <c r="F494" s="34"/>
      <c r="G494" s="7"/>
      <c r="H494" s="35"/>
      <c r="I494" s="35"/>
      <c r="J494" s="7"/>
      <c r="K494" s="35"/>
      <c r="L494" s="7"/>
      <c r="M494" s="21" t="str">
        <f aca="false">IF(C494="","",IFERROR(I494/H494,0))</f>
        <v/>
      </c>
      <c r="N494" s="9" t="str">
        <f aca="false">IF(C494="","",IFERROR(J494/I494,0))</f>
        <v/>
      </c>
      <c r="O494" s="21" t="str">
        <f aca="false">IF(C494="","",IFERROR(J494/L494,0))</f>
        <v/>
      </c>
      <c r="P494" s="22" t="str">
        <f aca="false">IF(C494="","",IFERROR(L494/J494,0))</f>
        <v/>
      </c>
      <c r="Q494" s="34"/>
      <c r="R494" s="4" t="str">
        <f aca="false">IF(C494="","",B494&amp;" | "&amp;C494&amp;" | "&amp;D494)</f>
        <v/>
      </c>
      <c r="S494" s="4" t="str">
        <f aca="false">IF(C494="","",R494&amp;"#"&amp;A494)</f>
        <v/>
      </c>
    </row>
    <row r="495" customFormat="false" ht="15" hidden="false" customHeight="false" outlineLevel="0" collapsed="false">
      <c r="A495" s="33"/>
      <c r="B495" s="34"/>
      <c r="C495" s="34"/>
      <c r="D495" s="34"/>
      <c r="E495" s="34"/>
      <c r="F495" s="34"/>
      <c r="G495" s="7"/>
      <c r="H495" s="35"/>
      <c r="I495" s="35"/>
      <c r="J495" s="7"/>
      <c r="K495" s="35"/>
      <c r="L495" s="7"/>
      <c r="M495" s="21" t="str">
        <f aca="false">IF(C495="","",IFERROR(I495/H495,0))</f>
        <v/>
      </c>
      <c r="N495" s="9" t="str">
        <f aca="false">IF(C495="","",IFERROR(J495/I495,0))</f>
        <v/>
      </c>
      <c r="O495" s="21" t="str">
        <f aca="false">IF(C495="","",IFERROR(J495/L495,0))</f>
        <v/>
      </c>
      <c r="P495" s="22" t="str">
        <f aca="false">IF(C495="","",IFERROR(L495/J495,0))</f>
        <v/>
      </c>
      <c r="Q495" s="34"/>
      <c r="R495" s="4" t="str">
        <f aca="false">IF(C495="","",B495&amp;" | "&amp;C495&amp;" | "&amp;D495)</f>
        <v/>
      </c>
      <c r="S495" s="4" t="str">
        <f aca="false">IF(C495="","",R495&amp;"#"&amp;A495)</f>
        <v/>
      </c>
    </row>
    <row r="496" customFormat="false" ht="15" hidden="false" customHeight="false" outlineLevel="0" collapsed="false">
      <c r="A496" s="33"/>
      <c r="B496" s="34"/>
      <c r="C496" s="34"/>
      <c r="D496" s="34"/>
      <c r="E496" s="34"/>
      <c r="F496" s="34"/>
      <c r="G496" s="7"/>
      <c r="H496" s="35"/>
      <c r="I496" s="35"/>
      <c r="J496" s="7"/>
      <c r="K496" s="35"/>
      <c r="L496" s="7"/>
      <c r="M496" s="21" t="str">
        <f aca="false">IF(C496="","",IFERROR(I496/H496,0))</f>
        <v/>
      </c>
      <c r="N496" s="9" t="str">
        <f aca="false">IF(C496="","",IFERROR(J496/I496,0))</f>
        <v/>
      </c>
      <c r="O496" s="21" t="str">
        <f aca="false">IF(C496="","",IFERROR(J496/L496,0))</f>
        <v/>
      </c>
      <c r="P496" s="22" t="str">
        <f aca="false">IF(C496="","",IFERROR(L496/J496,0))</f>
        <v/>
      </c>
      <c r="Q496" s="34"/>
      <c r="R496" s="4" t="str">
        <f aca="false">IF(C496="","",B496&amp;" | "&amp;C496&amp;" | "&amp;D496)</f>
        <v/>
      </c>
      <c r="S496" s="4" t="str">
        <f aca="false">IF(C496="","",R496&amp;"#"&amp;A496)</f>
        <v/>
      </c>
    </row>
    <row r="497" customFormat="false" ht="15" hidden="false" customHeight="false" outlineLevel="0" collapsed="false">
      <c r="A497" s="33"/>
      <c r="B497" s="34"/>
      <c r="C497" s="34"/>
      <c r="D497" s="34"/>
      <c r="E497" s="34"/>
      <c r="F497" s="34"/>
      <c r="G497" s="7"/>
      <c r="H497" s="35"/>
      <c r="I497" s="35"/>
      <c r="J497" s="7"/>
      <c r="K497" s="35"/>
      <c r="L497" s="7"/>
      <c r="M497" s="21" t="str">
        <f aca="false">IF(C497="","",IFERROR(I497/H497,0))</f>
        <v/>
      </c>
      <c r="N497" s="9" t="str">
        <f aca="false">IF(C497="","",IFERROR(J497/I497,0))</f>
        <v/>
      </c>
      <c r="O497" s="21" t="str">
        <f aca="false">IF(C497="","",IFERROR(J497/L497,0))</f>
        <v/>
      </c>
      <c r="P497" s="22" t="str">
        <f aca="false">IF(C497="","",IFERROR(L497/J497,0))</f>
        <v/>
      </c>
      <c r="Q497" s="34"/>
      <c r="R497" s="4" t="str">
        <f aca="false">IF(C497="","",B497&amp;" | "&amp;C497&amp;" | "&amp;D497)</f>
        <v/>
      </c>
      <c r="S497" s="4" t="str">
        <f aca="false">IF(C497="","",R497&amp;"#"&amp;A497)</f>
        <v/>
      </c>
    </row>
    <row r="498" customFormat="false" ht="15" hidden="false" customHeight="false" outlineLevel="0" collapsed="false">
      <c r="A498" s="33"/>
      <c r="B498" s="34"/>
      <c r="C498" s="34"/>
      <c r="D498" s="34"/>
      <c r="E498" s="34"/>
      <c r="F498" s="34"/>
      <c r="G498" s="7"/>
      <c r="H498" s="35"/>
      <c r="I498" s="35"/>
      <c r="J498" s="7"/>
      <c r="K498" s="35"/>
      <c r="L498" s="7"/>
      <c r="M498" s="21" t="str">
        <f aca="false">IF(C498="","",IFERROR(I498/H498,0))</f>
        <v/>
      </c>
      <c r="N498" s="9" t="str">
        <f aca="false">IF(C498="","",IFERROR(J498/I498,0))</f>
        <v/>
      </c>
      <c r="O498" s="21" t="str">
        <f aca="false">IF(C498="","",IFERROR(J498/L498,0))</f>
        <v/>
      </c>
      <c r="P498" s="22" t="str">
        <f aca="false">IF(C498="","",IFERROR(L498/J498,0))</f>
        <v/>
      </c>
      <c r="Q498" s="34"/>
      <c r="R498" s="4" t="str">
        <f aca="false">IF(C498="","",B498&amp;" | "&amp;C498&amp;" | "&amp;D498)</f>
        <v/>
      </c>
      <c r="S498" s="4" t="str">
        <f aca="false">IF(C498="","",R498&amp;"#"&amp;A498)</f>
        <v/>
      </c>
    </row>
    <row r="499" customFormat="false" ht="15" hidden="false" customHeight="false" outlineLevel="0" collapsed="false">
      <c r="A499" s="33"/>
      <c r="B499" s="34"/>
      <c r="C499" s="34"/>
      <c r="D499" s="34"/>
      <c r="E499" s="34"/>
      <c r="F499" s="34"/>
      <c r="G499" s="7"/>
      <c r="H499" s="35"/>
      <c r="I499" s="35"/>
      <c r="J499" s="7"/>
      <c r="K499" s="35"/>
      <c r="L499" s="7"/>
      <c r="M499" s="21" t="str">
        <f aca="false">IF(C499="","",IFERROR(I499/H499,0))</f>
        <v/>
      </c>
      <c r="N499" s="9" t="str">
        <f aca="false">IF(C499="","",IFERROR(J499/I499,0))</f>
        <v/>
      </c>
      <c r="O499" s="21" t="str">
        <f aca="false">IF(C499="","",IFERROR(J499/L499,0))</f>
        <v/>
      </c>
      <c r="P499" s="22" t="str">
        <f aca="false">IF(C499="","",IFERROR(L499/J499,0))</f>
        <v/>
      </c>
      <c r="Q499" s="34"/>
      <c r="R499" s="4" t="str">
        <f aca="false">IF(C499="","",B499&amp;" | "&amp;C499&amp;" | "&amp;D499)</f>
        <v/>
      </c>
      <c r="S499" s="4" t="str">
        <f aca="false">IF(C499="","",R499&amp;"#"&amp;A499)</f>
        <v/>
      </c>
    </row>
    <row r="500" customFormat="false" ht="15" hidden="false" customHeight="false" outlineLevel="0" collapsed="false">
      <c r="A500" s="33"/>
      <c r="B500" s="34"/>
      <c r="C500" s="34"/>
      <c r="D500" s="34"/>
      <c r="E500" s="34"/>
      <c r="F500" s="34"/>
      <c r="G500" s="7"/>
      <c r="H500" s="35"/>
      <c r="I500" s="35"/>
      <c r="J500" s="7"/>
      <c r="K500" s="35"/>
      <c r="L500" s="7"/>
      <c r="M500" s="21" t="str">
        <f aca="false">IF(C500="","",IFERROR(I500/H500,0))</f>
        <v/>
      </c>
      <c r="N500" s="9" t="str">
        <f aca="false">IF(C500="","",IFERROR(J500/I500,0))</f>
        <v/>
      </c>
      <c r="O500" s="21" t="str">
        <f aca="false">IF(C500="","",IFERROR(J500/L500,0))</f>
        <v/>
      </c>
      <c r="P500" s="22" t="str">
        <f aca="false">IF(C500="","",IFERROR(L500/J500,0))</f>
        <v/>
      </c>
      <c r="Q500" s="34"/>
      <c r="R500" s="4" t="str">
        <f aca="false">IF(C500="","",B500&amp;" | "&amp;C500&amp;" | "&amp;D500)</f>
        <v/>
      </c>
      <c r="S500" s="4" t="str">
        <f aca="false">IF(C500="","",R500&amp;"#"&amp;A500)</f>
        <v/>
      </c>
    </row>
    <row r="501" customFormat="false" ht="15" hidden="false" customHeight="false" outlineLevel="0" collapsed="false">
      <c r="A501" s="33"/>
      <c r="B501" s="34"/>
      <c r="C501" s="34"/>
      <c r="D501" s="34"/>
      <c r="E501" s="34"/>
      <c r="F501" s="34"/>
      <c r="G501" s="7"/>
      <c r="H501" s="35"/>
      <c r="I501" s="35"/>
      <c r="J501" s="7"/>
      <c r="K501" s="35"/>
      <c r="L501" s="7"/>
      <c r="M501" s="21" t="str">
        <f aca="false">IF(C501="","",IFERROR(I501/H501,0))</f>
        <v/>
      </c>
      <c r="N501" s="9" t="str">
        <f aca="false">IF(C501="","",IFERROR(J501/I501,0))</f>
        <v/>
      </c>
      <c r="O501" s="21" t="str">
        <f aca="false">IF(C501="","",IFERROR(J501/L501,0))</f>
        <v/>
      </c>
      <c r="P501" s="22" t="str">
        <f aca="false">IF(C501="","",IFERROR(L501/J501,0))</f>
        <v/>
      </c>
      <c r="Q501" s="34"/>
      <c r="R501" s="4" t="str">
        <f aca="false">IF(C501="","",B501&amp;" | "&amp;C501&amp;" | "&amp;D501)</f>
        <v/>
      </c>
      <c r="S501" s="4" t="str">
        <f aca="false">IF(C501="","",R501&amp;"#"&amp;A501)</f>
        <v/>
      </c>
    </row>
    <row r="502" customFormat="false" ht="15" hidden="false" customHeight="false" outlineLevel="0" collapsed="false">
      <c r="A502" s="33"/>
      <c r="B502" s="34"/>
      <c r="C502" s="34"/>
      <c r="D502" s="34"/>
      <c r="E502" s="34"/>
      <c r="F502" s="34"/>
      <c r="G502" s="7"/>
      <c r="H502" s="35"/>
      <c r="I502" s="35"/>
      <c r="J502" s="7"/>
      <c r="K502" s="35"/>
      <c r="L502" s="7"/>
      <c r="M502" s="21" t="str">
        <f aca="false">IF(C502="","",IFERROR(I502/H502,0))</f>
        <v/>
      </c>
      <c r="N502" s="9" t="str">
        <f aca="false">IF(C502="","",IFERROR(J502/I502,0))</f>
        <v/>
      </c>
      <c r="O502" s="21" t="str">
        <f aca="false">IF(C502="","",IFERROR(J502/L502,0))</f>
        <v/>
      </c>
      <c r="P502" s="22" t="str">
        <f aca="false">IF(C502="","",IFERROR(L502/J502,0))</f>
        <v/>
      </c>
      <c r="Q502" s="34"/>
      <c r="R502" s="4" t="str">
        <f aca="false">IF(C502="","",B502&amp;" | "&amp;C502&amp;" | "&amp;D502)</f>
        <v/>
      </c>
      <c r="S502" s="4" t="str">
        <f aca="false">IF(C502="","",R502&amp;"#"&amp;A502)</f>
        <v/>
      </c>
    </row>
    <row r="503" customFormat="false" ht="15" hidden="false" customHeight="false" outlineLevel="0" collapsed="false">
      <c r="A503" s="33"/>
      <c r="B503" s="34"/>
      <c r="C503" s="34"/>
      <c r="D503" s="34"/>
      <c r="E503" s="34"/>
      <c r="F503" s="34"/>
      <c r="G503" s="7"/>
      <c r="H503" s="35"/>
      <c r="I503" s="35"/>
      <c r="J503" s="7"/>
      <c r="K503" s="35"/>
      <c r="L503" s="7"/>
      <c r="M503" s="21" t="str">
        <f aca="false">IF(C503="","",IFERROR(I503/H503,0))</f>
        <v/>
      </c>
      <c r="N503" s="9" t="str">
        <f aca="false">IF(C503="","",IFERROR(J503/I503,0))</f>
        <v/>
      </c>
      <c r="O503" s="21" t="str">
        <f aca="false">IF(C503="","",IFERROR(J503/L503,0))</f>
        <v/>
      </c>
      <c r="P503" s="22" t="str">
        <f aca="false">IF(C503="","",IFERROR(L503/J503,0))</f>
        <v/>
      </c>
      <c r="Q503" s="34"/>
      <c r="R503" s="4" t="str">
        <f aca="false">IF(C503="","",B503&amp;" | "&amp;C503&amp;" | "&amp;D503)</f>
        <v/>
      </c>
      <c r="S503" s="4" t="str">
        <f aca="false">IF(C503="","",R503&amp;"#"&amp;A503)</f>
        <v/>
      </c>
    </row>
    <row r="504" customFormat="false" ht="15" hidden="false" customHeight="false" outlineLevel="0" collapsed="false">
      <c r="A504" s="33"/>
      <c r="B504" s="34"/>
      <c r="C504" s="34"/>
      <c r="D504" s="34"/>
      <c r="E504" s="34"/>
      <c r="F504" s="34"/>
      <c r="G504" s="7"/>
      <c r="H504" s="35"/>
      <c r="I504" s="35"/>
      <c r="J504" s="7"/>
      <c r="K504" s="35"/>
      <c r="L504" s="7"/>
      <c r="M504" s="21" t="str">
        <f aca="false">IF(C504="","",IFERROR(I504/H504,0))</f>
        <v/>
      </c>
      <c r="N504" s="9" t="str">
        <f aca="false">IF(C504="","",IFERROR(J504/I504,0))</f>
        <v/>
      </c>
      <c r="O504" s="21" t="str">
        <f aca="false">IF(C504="","",IFERROR(J504/L504,0))</f>
        <v/>
      </c>
      <c r="P504" s="22" t="str">
        <f aca="false">IF(C504="","",IFERROR(L504/J504,0))</f>
        <v/>
      </c>
      <c r="Q504" s="34"/>
      <c r="R504" s="4" t="str">
        <f aca="false">IF(C504="","",B504&amp;" | "&amp;C504&amp;" | "&amp;D504)</f>
        <v/>
      </c>
      <c r="S504" s="4" t="str">
        <f aca="false">IF(C504="","",R504&amp;"#"&amp;A504)</f>
        <v/>
      </c>
    </row>
    <row r="505" customFormat="false" ht="15" hidden="false" customHeight="false" outlineLevel="0" collapsed="false">
      <c r="A505" s="33"/>
      <c r="B505" s="34"/>
      <c r="C505" s="34"/>
      <c r="D505" s="34"/>
      <c r="E505" s="34"/>
      <c r="F505" s="34"/>
      <c r="G505" s="7"/>
      <c r="H505" s="35"/>
      <c r="I505" s="35"/>
      <c r="J505" s="7"/>
      <c r="K505" s="35"/>
      <c r="L505" s="7"/>
      <c r="M505" s="21" t="str">
        <f aca="false">IF(C505="","",IFERROR(I505/H505,0))</f>
        <v/>
      </c>
      <c r="N505" s="9" t="str">
        <f aca="false">IF(C505="","",IFERROR(J505/I505,0))</f>
        <v/>
      </c>
      <c r="O505" s="21" t="str">
        <f aca="false">IF(C505="","",IFERROR(J505/L505,0))</f>
        <v/>
      </c>
      <c r="P505" s="22" t="str">
        <f aca="false">IF(C505="","",IFERROR(L505/J505,0))</f>
        <v/>
      </c>
      <c r="Q505" s="34"/>
      <c r="R505" s="4" t="str">
        <f aca="false">IF(C505="","",B505&amp;" | "&amp;C505&amp;" | "&amp;D505)</f>
        <v/>
      </c>
      <c r="S505" s="4" t="str">
        <f aca="false">IF(C505="","",R505&amp;"#"&amp;A505)</f>
        <v/>
      </c>
    </row>
    <row r="506" customFormat="false" ht="15" hidden="false" customHeight="false" outlineLevel="0" collapsed="false">
      <c r="A506" s="33"/>
      <c r="B506" s="34"/>
      <c r="C506" s="34"/>
      <c r="D506" s="34"/>
      <c r="E506" s="34"/>
      <c r="F506" s="34"/>
      <c r="G506" s="7"/>
      <c r="H506" s="35"/>
      <c r="I506" s="35"/>
      <c r="J506" s="7"/>
      <c r="K506" s="35"/>
      <c r="L506" s="7"/>
      <c r="M506" s="21" t="str">
        <f aca="false">IF(C506="","",IFERROR(I506/H506,0))</f>
        <v/>
      </c>
      <c r="N506" s="9" t="str">
        <f aca="false">IF(C506="","",IFERROR(J506/I506,0))</f>
        <v/>
      </c>
      <c r="O506" s="21" t="str">
        <f aca="false">IF(C506="","",IFERROR(J506/L506,0))</f>
        <v/>
      </c>
      <c r="P506" s="22" t="str">
        <f aca="false">IF(C506="","",IFERROR(L506/J506,0))</f>
        <v/>
      </c>
      <c r="Q506" s="34"/>
      <c r="R506" s="4" t="str">
        <f aca="false">IF(C506="","",B506&amp;" | "&amp;C506&amp;" | "&amp;D506)</f>
        <v/>
      </c>
      <c r="S506" s="4" t="str">
        <f aca="false">IF(C506="","",R506&amp;"#"&amp;A506)</f>
        <v/>
      </c>
    </row>
    <row r="507" customFormat="false" ht="15" hidden="false" customHeight="false" outlineLevel="0" collapsed="false">
      <c r="A507" s="33"/>
      <c r="B507" s="34"/>
      <c r="C507" s="34"/>
      <c r="D507" s="34"/>
      <c r="E507" s="34"/>
      <c r="F507" s="34"/>
      <c r="G507" s="7"/>
      <c r="H507" s="35"/>
      <c r="I507" s="35"/>
      <c r="J507" s="7"/>
      <c r="K507" s="35"/>
      <c r="L507" s="7"/>
      <c r="M507" s="21" t="str">
        <f aca="false">IF(C507="","",IFERROR(I507/H507,0))</f>
        <v/>
      </c>
      <c r="N507" s="9" t="str">
        <f aca="false">IF(C507="","",IFERROR(J507/I507,0))</f>
        <v/>
      </c>
      <c r="O507" s="21" t="str">
        <f aca="false">IF(C507="","",IFERROR(J507/L507,0))</f>
        <v/>
      </c>
      <c r="P507" s="22" t="str">
        <f aca="false">IF(C507="","",IFERROR(L507/J507,0))</f>
        <v/>
      </c>
      <c r="Q507" s="34"/>
      <c r="R507" s="4" t="str">
        <f aca="false">IF(C507="","",B507&amp;" | "&amp;C507&amp;" | "&amp;D507)</f>
        <v/>
      </c>
      <c r="S507" s="4" t="str">
        <f aca="false">IF(C507="","",R507&amp;"#"&amp;A507)</f>
        <v/>
      </c>
    </row>
    <row r="508" customFormat="false" ht="15" hidden="false" customHeight="false" outlineLevel="0" collapsed="false">
      <c r="A508" s="33"/>
      <c r="B508" s="34"/>
      <c r="C508" s="34"/>
      <c r="D508" s="34"/>
      <c r="E508" s="34"/>
      <c r="F508" s="34"/>
      <c r="G508" s="7"/>
      <c r="H508" s="35"/>
      <c r="I508" s="35"/>
      <c r="J508" s="7"/>
      <c r="K508" s="35"/>
      <c r="L508" s="7"/>
      <c r="M508" s="21" t="str">
        <f aca="false">IF(C508="","",IFERROR(I508/H508,0))</f>
        <v/>
      </c>
      <c r="N508" s="9" t="str">
        <f aca="false">IF(C508="","",IFERROR(J508/I508,0))</f>
        <v/>
      </c>
      <c r="O508" s="21" t="str">
        <f aca="false">IF(C508="","",IFERROR(J508/L508,0))</f>
        <v/>
      </c>
      <c r="P508" s="22" t="str">
        <f aca="false">IF(C508="","",IFERROR(L508/J508,0))</f>
        <v/>
      </c>
      <c r="Q508" s="34"/>
      <c r="R508" s="4" t="str">
        <f aca="false">IF(C508="","",B508&amp;" | "&amp;C508&amp;" | "&amp;D508)</f>
        <v/>
      </c>
      <c r="S508" s="4" t="str">
        <f aca="false">IF(C508="","",R508&amp;"#"&amp;A508)</f>
        <v/>
      </c>
    </row>
    <row r="509" customFormat="false" ht="15" hidden="false" customHeight="false" outlineLevel="0" collapsed="false">
      <c r="A509" s="33"/>
      <c r="B509" s="34"/>
      <c r="C509" s="34"/>
      <c r="D509" s="34"/>
      <c r="E509" s="34"/>
      <c r="F509" s="34"/>
      <c r="G509" s="7"/>
      <c r="H509" s="35"/>
      <c r="I509" s="35"/>
      <c r="J509" s="7"/>
      <c r="K509" s="35"/>
      <c r="L509" s="7"/>
      <c r="M509" s="21" t="str">
        <f aca="false">IF(C509="","",IFERROR(I509/H509,0))</f>
        <v/>
      </c>
      <c r="N509" s="9" t="str">
        <f aca="false">IF(C509="","",IFERROR(J509/I509,0))</f>
        <v/>
      </c>
      <c r="O509" s="21" t="str">
        <f aca="false">IF(C509="","",IFERROR(J509/L509,0))</f>
        <v/>
      </c>
      <c r="P509" s="22" t="str">
        <f aca="false">IF(C509="","",IFERROR(L509/J509,0))</f>
        <v/>
      </c>
      <c r="Q509" s="34"/>
      <c r="R509" s="4" t="str">
        <f aca="false">IF(C509="","",B509&amp;" | "&amp;C509&amp;" | "&amp;D509)</f>
        <v/>
      </c>
      <c r="S509" s="4" t="str">
        <f aca="false">IF(C509="","",R509&amp;"#"&amp;A509)</f>
        <v/>
      </c>
    </row>
    <row r="510" customFormat="false" ht="15" hidden="false" customHeight="false" outlineLevel="0" collapsed="false">
      <c r="A510" s="33"/>
      <c r="B510" s="34"/>
      <c r="C510" s="34"/>
      <c r="D510" s="34"/>
      <c r="E510" s="34"/>
      <c r="F510" s="34"/>
      <c r="G510" s="7"/>
      <c r="H510" s="35"/>
      <c r="I510" s="35"/>
      <c r="J510" s="7"/>
      <c r="K510" s="35"/>
      <c r="L510" s="7"/>
      <c r="M510" s="21" t="str">
        <f aca="false">IF(C510="","",IFERROR(I510/H510,0))</f>
        <v/>
      </c>
      <c r="N510" s="9" t="str">
        <f aca="false">IF(C510="","",IFERROR(J510/I510,0))</f>
        <v/>
      </c>
      <c r="O510" s="21" t="str">
        <f aca="false">IF(C510="","",IFERROR(J510/L510,0))</f>
        <v/>
      </c>
      <c r="P510" s="22" t="str">
        <f aca="false">IF(C510="","",IFERROR(L510/J510,0))</f>
        <v/>
      </c>
      <c r="Q510" s="34"/>
      <c r="R510" s="4" t="str">
        <f aca="false">IF(C510="","",B510&amp;" | "&amp;C510&amp;" | "&amp;D510)</f>
        <v/>
      </c>
      <c r="S510" s="4" t="str">
        <f aca="false">IF(C510="","",R510&amp;"#"&amp;A510)</f>
        <v/>
      </c>
    </row>
    <row r="511" customFormat="false" ht="15" hidden="false" customHeight="false" outlineLevel="0" collapsed="false">
      <c r="A511" s="33"/>
      <c r="B511" s="34"/>
      <c r="C511" s="34"/>
      <c r="D511" s="34"/>
      <c r="E511" s="34"/>
      <c r="F511" s="34"/>
      <c r="G511" s="7"/>
      <c r="H511" s="35"/>
      <c r="I511" s="35"/>
      <c r="J511" s="7"/>
      <c r="K511" s="35"/>
      <c r="L511" s="7"/>
      <c r="M511" s="21" t="str">
        <f aca="false">IF(C511="","",IFERROR(I511/H511,0))</f>
        <v/>
      </c>
      <c r="N511" s="9" t="str">
        <f aca="false">IF(C511="","",IFERROR(J511/I511,0))</f>
        <v/>
      </c>
      <c r="O511" s="21" t="str">
        <f aca="false">IF(C511="","",IFERROR(J511/L511,0))</f>
        <v/>
      </c>
      <c r="P511" s="22" t="str">
        <f aca="false">IF(C511="","",IFERROR(L511/J511,0))</f>
        <v/>
      </c>
      <c r="Q511" s="34"/>
      <c r="R511" s="4" t="str">
        <f aca="false">IF(C511="","",B511&amp;" | "&amp;C511&amp;" | "&amp;D511)</f>
        <v/>
      </c>
      <c r="S511" s="4" t="str">
        <f aca="false">IF(C511="","",R511&amp;"#"&amp;A511)</f>
        <v/>
      </c>
    </row>
    <row r="512" customFormat="false" ht="15" hidden="false" customHeight="false" outlineLevel="0" collapsed="false">
      <c r="A512" s="33"/>
      <c r="B512" s="34"/>
      <c r="C512" s="34"/>
      <c r="D512" s="34"/>
      <c r="E512" s="34"/>
      <c r="F512" s="34"/>
      <c r="G512" s="7"/>
      <c r="H512" s="35"/>
      <c r="I512" s="35"/>
      <c r="J512" s="7"/>
      <c r="K512" s="35"/>
      <c r="L512" s="7"/>
      <c r="M512" s="21" t="str">
        <f aca="false">IF(C512="","",IFERROR(I512/H512,0))</f>
        <v/>
      </c>
      <c r="N512" s="9" t="str">
        <f aca="false">IF(C512="","",IFERROR(J512/I512,0))</f>
        <v/>
      </c>
      <c r="O512" s="21" t="str">
        <f aca="false">IF(C512="","",IFERROR(J512/L512,0))</f>
        <v/>
      </c>
      <c r="P512" s="22" t="str">
        <f aca="false">IF(C512="","",IFERROR(L512/J512,0))</f>
        <v/>
      </c>
      <c r="Q512" s="34"/>
      <c r="R512" s="4" t="str">
        <f aca="false">IF(C512="","",B512&amp;" | "&amp;C512&amp;" | "&amp;D512)</f>
        <v/>
      </c>
      <c r="S512" s="4" t="str">
        <f aca="false">IF(C512="","",R512&amp;"#"&amp;A512)</f>
        <v/>
      </c>
    </row>
    <row r="513" customFormat="false" ht="15" hidden="false" customHeight="false" outlineLevel="0" collapsed="false">
      <c r="A513" s="33"/>
      <c r="B513" s="34"/>
      <c r="C513" s="34"/>
      <c r="D513" s="34"/>
      <c r="E513" s="34"/>
      <c r="F513" s="34"/>
      <c r="G513" s="7"/>
      <c r="H513" s="35"/>
      <c r="I513" s="35"/>
      <c r="J513" s="7"/>
      <c r="K513" s="35"/>
      <c r="L513" s="7"/>
      <c r="M513" s="21" t="str">
        <f aca="false">IF(C513="","",IFERROR(I513/H513,0))</f>
        <v/>
      </c>
      <c r="N513" s="9" t="str">
        <f aca="false">IF(C513="","",IFERROR(J513/I513,0))</f>
        <v/>
      </c>
      <c r="O513" s="21" t="str">
        <f aca="false">IF(C513="","",IFERROR(J513/L513,0))</f>
        <v/>
      </c>
      <c r="P513" s="22" t="str">
        <f aca="false">IF(C513="","",IFERROR(L513/J513,0))</f>
        <v/>
      </c>
      <c r="Q513" s="34"/>
      <c r="R513" s="4" t="str">
        <f aca="false">IF(C513="","",B513&amp;" | "&amp;C513&amp;" | "&amp;D513)</f>
        <v/>
      </c>
      <c r="S513" s="4" t="str">
        <f aca="false">IF(C513="","",R513&amp;"#"&amp;A513)</f>
        <v/>
      </c>
    </row>
    <row r="514" customFormat="false" ht="15" hidden="false" customHeight="false" outlineLevel="0" collapsed="false">
      <c r="A514" s="33"/>
      <c r="B514" s="34"/>
      <c r="C514" s="34"/>
      <c r="D514" s="34"/>
      <c r="E514" s="34"/>
      <c r="F514" s="34"/>
      <c r="G514" s="7"/>
      <c r="H514" s="35"/>
      <c r="I514" s="35"/>
      <c r="J514" s="7"/>
      <c r="K514" s="35"/>
      <c r="L514" s="7"/>
      <c r="M514" s="21" t="str">
        <f aca="false">IF(C514="","",IFERROR(I514/H514,0))</f>
        <v/>
      </c>
      <c r="N514" s="9" t="str">
        <f aca="false">IF(C514="","",IFERROR(J514/I514,0))</f>
        <v/>
      </c>
      <c r="O514" s="21" t="str">
        <f aca="false">IF(C514="","",IFERROR(J514/L514,0))</f>
        <v/>
      </c>
      <c r="P514" s="22" t="str">
        <f aca="false">IF(C514="","",IFERROR(L514/J514,0))</f>
        <v/>
      </c>
      <c r="Q514" s="34"/>
      <c r="R514" s="4" t="str">
        <f aca="false">IF(C514="","",B514&amp;" | "&amp;C514&amp;" | "&amp;D514)</f>
        <v/>
      </c>
      <c r="S514" s="4" t="str">
        <f aca="false">IF(C514="","",R514&amp;"#"&amp;A514)</f>
        <v/>
      </c>
    </row>
    <row r="515" customFormat="false" ht="15" hidden="false" customHeight="false" outlineLevel="0" collapsed="false">
      <c r="A515" s="33"/>
      <c r="B515" s="34"/>
      <c r="C515" s="34"/>
      <c r="D515" s="34"/>
      <c r="E515" s="34"/>
      <c r="F515" s="34"/>
      <c r="G515" s="7"/>
      <c r="H515" s="35"/>
      <c r="I515" s="35"/>
      <c r="J515" s="7"/>
      <c r="K515" s="35"/>
      <c r="L515" s="7"/>
      <c r="M515" s="21" t="str">
        <f aca="false">IF(C515="","",IFERROR(I515/H515,0))</f>
        <v/>
      </c>
      <c r="N515" s="9" t="str">
        <f aca="false">IF(C515="","",IFERROR(J515/I515,0))</f>
        <v/>
      </c>
      <c r="O515" s="21" t="str">
        <f aca="false">IF(C515="","",IFERROR(J515/L515,0))</f>
        <v/>
      </c>
      <c r="P515" s="22" t="str">
        <f aca="false">IF(C515="","",IFERROR(L515/J515,0))</f>
        <v/>
      </c>
      <c r="Q515" s="34"/>
      <c r="R515" s="4" t="str">
        <f aca="false">IF(C515="","",B515&amp;" | "&amp;C515&amp;" | "&amp;D515)</f>
        <v/>
      </c>
      <c r="S515" s="4" t="str">
        <f aca="false">IF(C515="","",R515&amp;"#"&amp;A515)</f>
        <v/>
      </c>
    </row>
    <row r="516" customFormat="false" ht="15" hidden="false" customHeight="false" outlineLevel="0" collapsed="false">
      <c r="A516" s="33"/>
      <c r="B516" s="34"/>
      <c r="C516" s="34"/>
      <c r="D516" s="34"/>
      <c r="E516" s="34"/>
      <c r="F516" s="34"/>
      <c r="G516" s="7"/>
      <c r="H516" s="35"/>
      <c r="I516" s="35"/>
      <c r="J516" s="7"/>
      <c r="K516" s="35"/>
      <c r="L516" s="7"/>
      <c r="M516" s="21" t="str">
        <f aca="false">IF(C516="","",IFERROR(I516/H516,0))</f>
        <v/>
      </c>
      <c r="N516" s="9" t="str">
        <f aca="false">IF(C516="","",IFERROR(J516/I516,0))</f>
        <v/>
      </c>
      <c r="O516" s="21" t="str">
        <f aca="false">IF(C516="","",IFERROR(J516/L516,0))</f>
        <v/>
      </c>
      <c r="P516" s="22" t="str">
        <f aca="false">IF(C516="","",IFERROR(L516/J516,0))</f>
        <v/>
      </c>
      <c r="Q516" s="34"/>
      <c r="R516" s="4" t="str">
        <f aca="false">IF(C516="","",B516&amp;" | "&amp;C516&amp;" | "&amp;D516)</f>
        <v/>
      </c>
      <c r="S516" s="4" t="str">
        <f aca="false">IF(C516="","",R516&amp;"#"&amp;A516)</f>
        <v/>
      </c>
    </row>
    <row r="517" customFormat="false" ht="15" hidden="false" customHeight="false" outlineLevel="0" collapsed="false">
      <c r="A517" s="33"/>
      <c r="B517" s="34"/>
      <c r="C517" s="34"/>
      <c r="D517" s="34"/>
      <c r="E517" s="34"/>
      <c r="F517" s="34"/>
      <c r="G517" s="7"/>
      <c r="H517" s="35"/>
      <c r="I517" s="35"/>
      <c r="J517" s="7"/>
      <c r="K517" s="35"/>
      <c r="L517" s="7"/>
      <c r="M517" s="21" t="str">
        <f aca="false">IF(C517="","",IFERROR(I517/H517,0))</f>
        <v/>
      </c>
      <c r="N517" s="9" t="str">
        <f aca="false">IF(C517="","",IFERROR(J517/I517,0))</f>
        <v/>
      </c>
      <c r="O517" s="21" t="str">
        <f aca="false">IF(C517="","",IFERROR(J517/L517,0))</f>
        <v/>
      </c>
      <c r="P517" s="22" t="str">
        <f aca="false">IF(C517="","",IFERROR(L517/J517,0))</f>
        <v/>
      </c>
      <c r="Q517" s="34"/>
      <c r="R517" s="4" t="str">
        <f aca="false">IF(C517="","",B517&amp;" | "&amp;C517&amp;" | "&amp;D517)</f>
        <v/>
      </c>
      <c r="S517" s="4" t="str">
        <f aca="false">IF(C517="","",R517&amp;"#"&amp;A517)</f>
        <v/>
      </c>
    </row>
    <row r="518" customFormat="false" ht="15" hidden="false" customHeight="false" outlineLevel="0" collapsed="false">
      <c r="A518" s="33"/>
      <c r="B518" s="34"/>
      <c r="C518" s="34"/>
      <c r="D518" s="34"/>
      <c r="E518" s="34"/>
      <c r="F518" s="34"/>
      <c r="G518" s="7"/>
      <c r="H518" s="35"/>
      <c r="I518" s="35"/>
      <c r="J518" s="7"/>
      <c r="K518" s="35"/>
      <c r="L518" s="7"/>
      <c r="M518" s="21" t="str">
        <f aca="false">IF(C518="","",IFERROR(I518/H518,0))</f>
        <v/>
      </c>
      <c r="N518" s="9" t="str">
        <f aca="false">IF(C518="","",IFERROR(J518/I518,0))</f>
        <v/>
      </c>
      <c r="O518" s="21" t="str">
        <f aca="false">IF(C518="","",IFERROR(J518/L518,0))</f>
        <v/>
      </c>
      <c r="P518" s="22" t="str">
        <f aca="false">IF(C518="","",IFERROR(L518/J518,0))</f>
        <v/>
      </c>
      <c r="Q518" s="34"/>
      <c r="R518" s="4" t="str">
        <f aca="false">IF(C518="","",B518&amp;" | "&amp;C518&amp;" | "&amp;D518)</f>
        <v/>
      </c>
      <c r="S518" s="4" t="str">
        <f aca="false">IF(C518="","",R518&amp;"#"&amp;A518)</f>
        <v/>
      </c>
    </row>
    <row r="519" customFormat="false" ht="15" hidden="false" customHeight="false" outlineLevel="0" collapsed="false">
      <c r="A519" s="33"/>
      <c r="B519" s="34"/>
      <c r="C519" s="34"/>
      <c r="D519" s="34"/>
      <c r="E519" s="34"/>
      <c r="F519" s="34"/>
      <c r="G519" s="7"/>
      <c r="H519" s="35"/>
      <c r="I519" s="35"/>
      <c r="J519" s="7"/>
      <c r="K519" s="35"/>
      <c r="L519" s="7"/>
      <c r="M519" s="21" t="str">
        <f aca="false">IF(C519="","",IFERROR(I519/H519,0))</f>
        <v/>
      </c>
      <c r="N519" s="9" t="str">
        <f aca="false">IF(C519="","",IFERROR(J519/I519,0))</f>
        <v/>
      </c>
      <c r="O519" s="21" t="str">
        <f aca="false">IF(C519="","",IFERROR(J519/L519,0))</f>
        <v/>
      </c>
      <c r="P519" s="22" t="str">
        <f aca="false">IF(C519="","",IFERROR(L519/J519,0))</f>
        <v/>
      </c>
      <c r="Q519" s="34"/>
      <c r="R519" s="4" t="str">
        <f aca="false">IF(C519="","",B519&amp;" | "&amp;C519&amp;" | "&amp;D519)</f>
        <v/>
      </c>
      <c r="S519" s="4" t="str">
        <f aca="false">IF(C519="","",R519&amp;"#"&amp;A519)</f>
        <v/>
      </c>
    </row>
    <row r="520" customFormat="false" ht="15" hidden="false" customHeight="false" outlineLevel="0" collapsed="false">
      <c r="A520" s="33"/>
      <c r="B520" s="34"/>
      <c r="C520" s="34"/>
      <c r="D520" s="34"/>
      <c r="E520" s="34"/>
      <c r="F520" s="34"/>
      <c r="G520" s="7"/>
      <c r="H520" s="35"/>
      <c r="I520" s="35"/>
      <c r="J520" s="7"/>
      <c r="K520" s="35"/>
      <c r="L520" s="7"/>
      <c r="M520" s="21" t="str">
        <f aca="false">IF(C520="","",IFERROR(I520/H520,0))</f>
        <v/>
      </c>
      <c r="N520" s="9" t="str">
        <f aca="false">IF(C520="","",IFERROR(J520/I520,0))</f>
        <v/>
      </c>
      <c r="O520" s="21" t="str">
        <f aca="false">IF(C520="","",IFERROR(J520/L520,0))</f>
        <v/>
      </c>
      <c r="P520" s="22" t="str">
        <f aca="false">IF(C520="","",IFERROR(L520/J520,0))</f>
        <v/>
      </c>
      <c r="Q520" s="34"/>
      <c r="R520" s="4" t="str">
        <f aca="false">IF(C520="","",B520&amp;" | "&amp;C520&amp;" | "&amp;D520)</f>
        <v/>
      </c>
      <c r="S520" s="4" t="str">
        <f aca="false">IF(C520="","",R520&amp;"#"&amp;A520)</f>
        <v/>
      </c>
    </row>
    <row r="521" customFormat="false" ht="15" hidden="false" customHeight="false" outlineLevel="0" collapsed="false">
      <c r="A521" s="33"/>
      <c r="B521" s="34"/>
      <c r="C521" s="34"/>
      <c r="D521" s="34"/>
      <c r="E521" s="34"/>
      <c r="F521" s="34"/>
      <c r="G521" s="7"/>
      <c r="H521" s="35"/>
      <c r="I521" s="35"/>
      <c r="J521" s="7"/>
      <c r="K521" s="35"/>
      <c r="L521" s="7"/>
      <c r="M521" s="21" t="str">
        <f aca="false">IF(C521="","",IFERROR(I521/H521,0))</f>
        <v/>
      </c>
      <c r="N521" s="9" t="str">
        <f aca="false">IF(C521="","",IFERROR(J521/I521,0))</f>
        <v/>
      </c>
      <c r="O521" s="21" t="str">
        <f aca="false">IF(C521="","",IFERROR(J521/L521,0))</f>
        <v/>
      </c>
      <c r="P521" s="22" t="str">
        <f aca="false">IF(C521="","",IFERROR(L521/J521,0))</f>
        <v/>
      </c>
      <c r="Q521" s="34"/>
      <c r="R521" s="4" t="str">
        <f aca="false">IF(C521="","",B521&amp;" | "&amp;C521&amp;" | "&amp;D521)</f>
        <v/>
      </c>
      <c r="S521" s="4" t="str">
        <f aca="false">IF(C521="","",R521&amp;"#"&amp;A521)</f>
        <v/>
      </c>
    </row>
    <row r="522" customFormat="false" ht="15" hidden="false" customHeight="false" outlineLevel="0" collapsed="false">
      <c r="A522" s="33"/>
      <c r="B522" s="34"/>
      <c r="C522" s="34"/>
      <c r="D522" s="34"/>
      <c r="E522" s="34"/>
      <c r="F522" s="34"/>
      <c r="G522" s="7"/>
      <c r="H522" s="35"/>
      <c r="I522" s="35"/>
      <c r="J522" s="7"/>
      <c r="K522" s="35"/>
      <c r="L522" s="7"/>
      <c r="M522" s="21" t="str">
        <f aca="false">IF(C522="","",IFERROR(I522/H522,0))</f>
        <v/>
      </c>
      <c r="N522" s="9" t="str">
        <f aca="false">IF(C522="","",IFERROR(J522/I522,0))</f>
        <v/>
      </c>
      <c r="O522" s="21" t="str">
        <f aca="false">IF(C522="","",IFERROR(J522/L522,0))</f>
        <v/>
      </c>
      <c r="P522" s="22" t="str">
        <f aca="false">IF(C522="","",IFERROR(L522/J522,0))</f>
        <v/>
      </c>
      <c r="Q522" s="34"/>
      <c r="R522" s="4" t="str">
        <f aca="false">IF(C522="","",B522&amp;" | "&amp;C522&amp;" | "&amp;D522)</f>
        <v/>
      </c>
      <c r="S522" s="4" t="str">
        <f aca="false">IF(C522="","",R522&amp;"#"&amp;A522)</f>
        <v/>
      </c>
    </row>
    <row r="523" customFormat="false" ht="15" hidden="false" customHeight="false" outlineLevel="0" collapsed="false">
      <c r="A523" s="33"/>
      <c r="B523" s="34"/>
      <c r="C523" s="34"/>
      <c r="D523" s="34"/>
      <c r="E523" s="34"/>
      <c r="F523" s="34"/>
      <c r="G523" s="7"/>
      <c r="H523" s="35"/>
      <c r="I523" s="35"/>
      <c r="J523" s="7"/>
      <c r="K523" s="35"/>
      <c r="L523" s="7"/>
      <c r="M523" s="21" t="str">
        <f aca="false">IF(C523="","",IFERROR(I523/H523,0))</f>
        <v/>
      </c>
      <c r="N523" s="9" t="str">
        <f aca="false">IF(C523="","",IFERROR(J523/I523,0))</f>
        <v/>
      </c>
      <c r="O523" s="21" t="str">
        <f aca="false">IF(C523="","",IFERROR(J523/L523,0))</f>
        <v/>
      </c>
      <c r="P523" s="22" t="str">
        <f aca="false">IF(C523="","",IFERROR(L523/J523,0))</f>
        <v/>
      </c>
      <c r="Q523" s="34"/>
      <c r="R523" s="4" t="str">
        <f aca="false">IF(C523="","",B523&amp;" | "&amp;C523&amp;" | "&amp;D523)</f>
        <v/>
      </c>
      <c r="S523" s="4" t="str">
        <f aca="false">IF(C523="","",R523&amp;"#"&amp;A523)</f>
        <v/>
      </c>
    </row>
    <row r="524" customFormat="false" ht="15" hidden="false" customHeight="false" outlineLevel="0" collapsed="false">
      <c r="A524" s="33"/>
      <c r="B524" s="34"/>
      <c r="C524" s="34"/>
      <c r="D524" s="34"/>
      <c r="E524" s="34"/>
      <c r="F524" s="34"/>
      <c r="G524" s="7"/>
      <c r="H524" s="35"/>
      <c r="I524" s="35"/>
      <c r="J524" s="7"/>
      <c r="K524" s="35"/>
      <c r="L524" s="7"/>
      <c r="M524" s="21" t="str">
        <f aca="false">IF(C524="","",IFERROR(I524/H524,0))</f>
        <v/>
      </c>
      <c r="N524" s="9" t="str">
        <f aca="false">IF(C524="","",IFERROR(J524/I524,0))</f>
        <v/>
      </c>
      <c r="O524" s="21" t="str">
        <f aca="false">IF(C524="","",IFERROR(J524/L524,0))</f>
        <v/>
      </c>
      <c r="P524" s="22" t="str">
        <f aca="false">IF(C524="","",IFERROR(L524/J524,0))</f>
        <v/>
      </c>
      <c r="Q524" s="34"/>
      <c r="R524" s="4" t="str">
        <f aca="false">IF(C524="","",B524&amp;" | "&amp;C524&amp;" | "&amp;D524)</f>
        <v/>
      </c>
      <c r="S524" s="4" t="str">
        <f aca="false">IF(C524="","",R524&amp;"#"&amp;A524)</f>
        <v/>
      </c>
    </row>
    <row r="525" customFormat="false" ht="15" hidden="false" customHeight="false" outlineLevel="0" collapsed="false">
      <c r="A525" s="33"/>
      <c r="B525" s="34"/>
      <c r="C525" s="34"/>
      <c r="D525" s="34"/>
      <c r="E525" s="34"/>
      <c r="F525" s="34"/>
      <c r="G525" s="7"/>
      <c r="H525" s="35"/>
      <c r="I525" s="35"/>
      <c r="J525" s="7"/>
      <c r="K525" s="35"/>
      <c r="L525" s="7"/>
      <c r="M525" s="21" t="str">
        <f aca="false">IF(C525="","",IFERROR(I525/H525,0))</f>
        <v/>
      </c>
      <c r="N525" s="9" t="str">
        <f aca="false">IF(C525="","",IFERROR(J525/I525,0))</f>
        <v/>
      </c>
      <c r="O525" s="21" t="str">
        <f aca="false">IF(C525="","",IFERROR(J525/L525,0))</f>
        <v/>
      </c>
      <c r="P525" s="22" t="str">
        <f aca="false">IF(C525="","",IFERROR(L525/J525,0))</f>
        <v/>
      </c>
      <c r="Q525" s="34"/>
      <c r="R525" s="4" t="str">
        <f aca="false">IF(C525="","",B525&amp;" | "&amp;C525&amp;" | "&amp;D525)</f>
        <v/>
      </c>
      <c r="S525" s="4" t="str">
        <f aca="false">IF(C525="","",R525&amp;"#"&amp;A525)</f>
        <v/>
      </c>
    </row>
    <row r="526" customFormat="false" ht="15" hidden="false" customHeight="false" outlineLevel="0" collapsed="false">
      <c r="A526" s="33"/>
      <c r="B526" s="34"/>
      <c r="C526" s="34"/>
      <c r="D526" s="34"/>
      <c r="E526" s="34"/>
      <c r="F526" s="34"/>
      <c r="G526" s="7"/>
      <c r="H526" s="35"/>
      <c r="I526" s="35"/>
      <c r="J526" s="7"/>
      <c r="K526" s="35"/>
      <c r="L526" s="7"/>
      <c r="M526" s="21" t="str">
        <f aca="false">IF(C526="","",IFERROR(I526/H526,0))</f>
        <v/>
      </c>
      <c r="N526" s="9" t="str">
        <f aca="false">IF(C526="","",IFERROR(J526/I526,0))</f>
        <v/>
      </c>
      <c r="O526" s="21" t="str">
        <f aca="false">IF(C526="","",IFERROR(J526/L526,0))</f>
        <v/>
      </c>
      <c r="P526" s="22" t="str">
        <f aca="false">IF(C526="","",IFERROR(L526/J526,0))</f>
        <v/>
      </c>
      <c r="Q526" s="34"/>
      <c r="R526" s="4" t="str">
        <f aca="false">IF(C526="","",B526&amp;" | "&amp;C526&amp;" | "&amp;D526)</f>
        <v/>
      </c>
      <c r="S526" s="4" t="str">
        <f aca="false">IF(C526="","",R526&amp;"#"&amp;A526)</f>
        <v/>
      </c>
    </row>
    <row r="527" customFormat="false" ht="15" hidden="false" customHeight="false" outlineLevel="0" collapsed="false">
      <c r="A527" s="33"/>
      <c r="B527" s="34"/>
      <c r="C527" s="34"/>
      <c r="D527" s="34"/>
      <c r="E527" s="34"/>
      <c r="F527" s="34"/>
      <c r="G527" s="7"/>
      <c r="H527" s="35"/>
      <c r="I527" s="35"/>
      <c r="J527" s="7"/>
      <c r="K527" s="35"/>
      <c r="L527" s="7"/>
      <c r="M527" s="21" t="str">
        <f aca="false">IF(C527="","",IFERROR(I527/H527,0))</f>
        <v/>
      </c>
      <c r="N527" s="9" t="str">
        <f aca="false">IF(C527="","",IFERROR(J527/I527,0))</f>
        <v/>
      </c>
      <c r="O527" s="21" t="str">
        <f aca="false">IF(C527="","",IFERROR(J527/L527,0))</f>
        <v/>
      </c>
      <c r="P527" s="22" t="str">
        <f aca="false">IF(C527="","",IFERROR(L527/J527,0))</f>
        <v/>
      </c>
      <c r="Q527" s="34"/>
      <c r="R527" s="4" t="str">
        <f aca="false">IF(C527="","",B527&amp;" | "&amp;C527&amp;" | "&amp;D527)</f>
        <v/>
      </c>
      <c r="S527" s="4" t="str">
        <f aca="false">IF(C527="","",R527&amp;"#"&amp;A527)</f>
        <v/>
      </c>
    </row>
    <row r="528" customFormat="false" ht="15" hidden="false" customHeight="false" outlineLevel="0" collapsed="false">
      <c r="A528" s="33"/>
      <c r="B528" s="34"/>
      <c r="C528" s="34"/>
      <c r="D528" s="34"/>
      <c r="E528" s="34"/>
      <c r="F528" s="34"/>
      <c r="G528" s="7"/>
      <c r="H528" s="35"/>
      <c r="I528" s="35"/>
      <c r="J528" s="7"/>
      <c r="K528" s="35"/>
      <c r="L528" s="7"/>
      <c r="M528" s="21" t="str">
        <f aca="false">IF(C528="","",IFERROR(I528/H528,0))</f>
        <v/>
      </c>
      <c r="N528" s="9" t="str">
        <f aca="false">IF(C528="","",IFERROR(J528/I528,0))</f>
        <v/>
      </c>
      <c r="O528" s="21" t="str">
        <f aca="false">IF(C528="","",IFERROR(J528/L528,0))</f>
        <v/>
      </c>
      <c r="P528" s="22" t="str">
        <f aca="false">IF(C528="","",IFERROR(L528/J528,0))</f>
        <v/>
      </c>
      <c r="Q528" s="34"/>
      <c r="R528" s="4" t="str">
        <f aca="false">IF(C528="","",B528&amp;" | "&amp;C528&amp;" | "&amp;D528)</f>
        <v/>
      </c>
      <c r="S528" s="4" t="str">
        <f aca="false">IF(C528="","",R528&amp;"#"&amp;A528)</f>
        <v/>
      </c>
    </row>
    <row r="529" customFormat="false" ht="15" hidden="false" customHeight="false" outlineLevel="0" collapsed="false">
      <c r="A529" s="33"/>
      <c r="B529" s="34"/>
      <c r="C529" s="34"/>
      <c r="D529" s="34"/>
      <c r="E529" s="34"/>
      <c r="F529" s="34"/>
      <c r="G529" s="7"/>
      <c r="H529" s="35"/>
      <c r="I529" s="35"/>
      <c r="J529" s="7"/>
      <c r="K529" s="35"/>
      <c r="L529" s="7"/>
      <c r="M529" s="21" t="str">
        <f aca="false">IF(C529="","",IFERROR(I529/H529,0))</f>
        <v/>
      </c>
      <c r="N529" s="9" t="str">
        <f aca="false">IF(C529="","",IFERROR(J529/I529,0))</f>
        <v/>
      </c>
      <c r="O529" s="21" t="str">
        <f aca="false">IF(C529="","",IFERROR(J529/L529,0))</f>
        <v/>
      </c>
      <c r="P529" s="22" t="str">
        <f aca="false">IF(C529="","",IFERROR(L529/J529,0))</f>
        <v/>
      </c>
      <c r="Q529" s="34"/>
      <c r="R529" s="4" t="str">
        <f aca="false">IF(C529="","",B529&amp;" | "&amp;C529&amp;" | "&amp;D529)</f>
        <v/>
      </c>
      <c r="S529" s="4" t="str">
        <f aca="false">IF(C529="","",R529&amp;"#"&amp;A529)</f>
        <v/>
      </c>
    </row>
    <row r="530" customFormat="false" ht="15" hidden="false" customHeight="false" outlineLevel="0" collapsed="false">
      <c r="A530" s="33"/>
      <c r="B530" s="34"/>
      <c r="C530" s="34"/>
      <c r="D530" s="34"/>
      <c r="E530" s="34"/>
      <c r="F530" s="34"/>
      <c r="G530" s="7"/>
      <c r="H530" s="35"/>
      <c r="I530" s="35"/>
      <c r="J530" s="7"/>
      <c r="K530" s="35"/>
      <c r="L530" s="7"/>
      <c r="M530" s="21" t="str">
        <f aca="false">IF(C530="","",IFERROR(I530/H530,0))</f>
        <v/>
      </c>
      <c r="N530" s="9" t="str">
        <f aca="false">IF(C530="","",IFERROR(J530/I530,0))</f>
        <v/>
      </c>
      <c r="O530" s="21" t="str">
        <f aca="false">IF(C530="","",IFERROR(J530/L530,0))</f>
        <v/>
      </c>
      <c r="P530" s="22" t="str">
        <f aca="false">IF(C530="","",IFERROR(L530/J530,0))</f>
        <v/>
      </c>
      <c r="Q530" s="34"/>
      <c r="R530" s="4" t="str">
        <f aca="false">IF(C530="","",B530&amp;" | "&amp;C530&amp;" | "&amp;D530)</f>
        <v/>
      </c>
      <c r="S530" s="4" t="str">
        <f aca="false">IF(C530="","",R530&amp;"#"&amp;A530)</f>
        <v/>
      </c>
    </row>
    <row r="531" customFormat="false" ht="15" hidden="false" customHeight="false" outlineLevel="0" collapsed="false">
      <c r="A531" s="33"/>
      <c r="B531" s="34"/>
      <c r="C531" s="34"/>
      <c r="D531" s="34"/>
      <c r="E531" s="34"/>
      <c r="F531" s="34"/>
      <c r="G531" s="7"/>
      <c r="H531" s="35"/>
      <c r="I531" s="35"/>
      <c r="J531" s="7"/>
      <c r="K531" s="35"/>
      <c r="L531" s="7"/>
      <c r="M531" s="21" t="str">
        <f aca="false">IF(C531="","",IFERROR(I531/H531,0))</f>
        <v/>
      </c>
      <c r="N531" s="9" t="str">
        <f aca="false">IF(C531="","",IFERROR(J531/I531,0))</f>
        <v/>
      </c>
      <c r="O531" s="21" t="str">
        <f aca="false">IF(C531="","",IFERROR(J531/L531,0))</f>
        <v/>
      </c>
      <c r="P531" s="22" t="str">
        <f aca="false">IF(C531="","",IFERROR(L531/J531,0))</f>
        <v/>
      </c>
      <c r="Q531" s="34"/>
      <c r="R531" s="4" t="str">
        <f aca="false">IF(C531="","",B531&amp;" | "&amp;C531&amp;" | "&amp;D531)</f>
        <v/>
      </c>
      <c r="S531" s="4" t="str">
        <f aca="false">IF(C531="","",R531&amp;"#"&amp;A531)</f>
        <v/>
      </c>
    </row>
    <row r="532" customFormat="false" ht="15" hidden="false" customHeight="false" outlineLevel="0" collapsed="false">
      <c r="A532" s="33"/>
      <c r="B532" s="34"/>
      <c r="C532" s="34"/>
      <c r="D532" s="34"/>
      <c r="E532" s="34"/>
      <c r="F532" s="34"/>
      <c r="G532" s="7"/>
      <c r="H532" s="35"/>
      <c r="I532" s="35"/>
      <c r="J532" s="7"/>
      <c r="K532" s="35"/>
      <c r="L532" s="7"/>
      <c r="M532" s="21" t="str">
        <f aca="false">IF(C532="","",IFERROR(I532/H532,0))</f>
        <v/>
      </c>
      <c r="N532" s="9" t="str">
        <f aca="false">IF(C532="","",IFERROR(J532/I532,0))</f>
        <v/>
      </c>
      <c r="O532" s="21" t="str">
        <f aca="false">IF(C532="","",IFERROR(J532/L532,0))</f>
        <v/>
      </c>
      <c r="P532" s="22" t="str">
        <f aca="false">IF(C532="","",IFERROR(L532/J532,0))</f>
        <v/>
      </c>
      <c r="Q532" s="34"/>
      <c r="R532" s="4" t="str">
        <f aca="false">IF(C532="","",B532&amp;" | "&amp;C532&amp;" | "&amp;D532)</f>
        <v/>
      </c>
      <c r="S532" s="4" t="str">
        <f aca="false">IF(C532="","",R532&amp;"#"&amp;A532)</f>
        <v/>
      </c>
    </row>
    <row r="533" customFormat="false" ht="15" hidden="false" customHeight="false" outlineLevel="0" collapsed="false">
      <c r="A533" s="33"/>
      <c r="B533" s="34"/>
      <c r="C533" s="34"/>
      <c r="D533" s="34"/>
      <c r="E533" s="34"/>
      <c r="F533" s="34"/>
      <c r="G533" s="7"/>
      <c r="H533" s="35"/>
      <c r="I533" s="35"/>
      <c r="J533" s="7"/>
      <c r="K533" s="35"/>
      <c r="L533" s="7"/>
      <c r="M533" s="21" t="str">
        <f aca="false">IF(C533="","",IFERROR(I533/H533,0))</f>
        <v/>
      </c>
      <c r="N533" s="9" t="str">
        <f aca="false">IF(C533="","",IFERROR(J533/I533,0))</f>
        <v/>
      </c>
      <c r="O533" s="21" t="str">
        <f aca="false">IF(C533="","",IFERROR(J533/L533,0))</f>
        <v/>
      </c>
      <c r="P533" s="22" t="str">
        <f aca="false">IF(C533="","",IFERROR(L533/J533,0))</f>
        <v/>
      </c>
      <c r="Q533" s="34"/>
      <c r="R533" s="4" t="str">
        <f aca="false">IF(C533="","",B533&amp;" | "&amp;C533&amp;" | "&amp;D533)</f>
        <v/>
      </c>
      <c r="S533" s="4" t="str">
        <f aca="false">IF(C533="","",R533&amp;"#"&amp;A533)</f>
        <v/>
      </c>
    </row>
    <row r="534" customFormat="false" ht="15" hidden="false" customHeight="false" outlineLevel="0" collapsed="false">
      <c r="A534" s="33"/>
      <c r="B534" s="34"/>
      <c r="C534" s="34"/>
      <c r="D534" s="34"/>
      <c r="E534" s="34"/>
      <c r="F534" s="34"/>
      <c r="G534" s="7"/>
      <c r="H534" s="35"/>
      <c r="I534" s="35"/>
      <c r="J534" s="7"/>
      <c r="K534" s="35"/>
      <c r="L534" s="7"/>
      <c r="M534" s="21" t="str">
        <f aca="false">IF(C534="","",IFERROR(I534/H534,0))</f>
        <v/>
      </c>
      <c r="N534" s="9" t="str">
        <f aca="false">IF(C534="","",IFERROR(J534/I534,0))</f>
        <v/>
      </c>
      <c r="O534" s="21" t="str">
        <f aca="false">IF(C534="","",IFERROR(J534/L534,0))</f>
        <v/>
      </c>
      <c r="P534" s="22" t="str">
        <f aca="false">IF(C534="","",IFERROR(L534/J534,0))</f>
        <v/>
      </c>
      <c r="Q534" s="34"/>
      <c r="R534" s="4" t="str">
        <f aca="false">IF(C534="","",B534&amp;" | "&amp;C534&amp;" | "&amp;D534)</f>
        <v/>
      </c>
      <c r="S534" s="4" t="str">
        <f aca="false">IF(C534="","",R534&amp;"#"&amp;A534)</f>
        <v/>
      </c>
    </row>
    <row r="535" customFormat="false" ht="15" hidden="false" customHeight="false" outlineLevel="0" collapsed="false">
      <c r="A535" s="33"/>
      <c r="B535" s="34"/>
      <c r="C535" s="34"/>
      <c r="D535" s="34"/>
      <c r="E535" s="34"/>
      <c r="F535" s="34"/>
      <c r="G535" s="7"/>
      <c r="H535" s="35"/>
      <c r="I535" s="35"/>
      <c r="J535" s="7"/>
      <c r="K535" s="35"/>
      <c r="L535" s="7"/>
      <c r="M535" s="21" t="str">
        <f aca="false">IF(C535="","",IFERROR(I535/H535,0))</f>
        <v/>
      </c>
      <c r="N535" s="9" t="str">
        <f aca="false">IF(C535="","",IFERROR(J535/I535,0))</f>
        <v/>
      </c>
      <c r="O535" s="21" t="str">
        <f aca="false">IF(C535="","",IFERROR(J535/L535,0))</f>
        <v/>
      </c>
      <c r="P535" s="22" t="str">
        <f aca="false">IF(C535="","",IFERROR(L535/J535,0))</f>
        <v/>
      </c>
      <c r="Q535" s="34"/>
      <c r="R535" s="4" t="str">
        <f aca="false">IF(C535="","",B535&amp;" | "&amp;C535&amp;" | "&amp;D535)</f>
        <v/>
      </c>
      <c r="S535" s="4" t="str">
        <f aca="false">IF(C535="","",R535&amp;"#"&amp;A535)</f>
        <v/>
      </c>
    </row>
    <row r="536" customFormat="false" ht="15" hidden="false" customHeight="false" outlineLevel="0" collapsed="false">
      <c r="A536" s="33"/>
      <c r="B536" s="34"/>
      <c r="C536" s="34"/>
      <c r="D536" s="34"/>
      <c r="E536" s="34"/>
      <c r="F536" s="34"/>
      <c r="G536" s="7"/>
      <c r="H536" s="35"/>
      <c r="I536" s="35"/>
      <c r="J536" s="7"/>
      <c r="K536" s="35"/>
      <c r="L536" s="7"/>
      <c r="M536" s="21" t="str">
        <f aca="false">IF(C536="","",IFERROR(I536/H536,0))</f>
        <v/>
      </c>
      <c r="N536" s="9" t="str">
        <f aca="false">IF(C536="","",IFERROR(J536/I536,0))</f>
        <v/>
      </c>
      <c r="O536" s="21" t="str">
        <f aca="false">IF(C536="","",IFERROR(J536/L536,0))</f>
        <v/>
      </c>
      <c r="P536" s="22" t="str">
        <f aca="false">IF(C536="","",IFERROR(L536/J536,0))</f>
        <v/>
      </c>
      <c r="Q536" s="34"/>
      <c r="R536" s="4" t="str">
        <f aca="false">IF(C536="","",B536&amp;" | "&amp;C536&amp;" | "&amp;D536)</f>
        <v/>
      </c>
      <c r="S536" s="4" t="str">
        <f aca="false">IF(C536="","",R536&amp;"#"&amp;A536)</f>
        <v/>
      </c>
    </row>
    <row r="537" customFormat="false" ht="15" hidden="false" customHeight="false" outlineLevel="0" collapsed="false">
      <c r="A537" s="33"/>
      <c r="B537" s="34"/>
      <c r="C537" s="34"/>
      <c r="D537" s="34"/>
      <c r="E537" s="34"/>
      <c r="F537" s="34"/>
      <c r="G537" s="7"/>
      <c r="H537" s="35"/>
      <c r="I537" s="35"/>
      <c r="J537" s="7"/>
      <c r="K537" s="35"/>
      <c r="L537" s="7"/>
      <c r="M537" s="21" t="str">
        <f aca="false">IF(C537="","",IFERROR(I537/H537,0))</f>
        <v/>
      </c>
      <c r="N537" s="9" t="str">
        <f aca="false">IF(C537="","",IFERROR(J537/I537,0))</f>
        <v/>
      </c>
      <c r="O537" s="21" t="str">
        <f aca="false">IF(C537="","",IFERROR(J537/L537,0))</f>
        <v/>
      </c>
      <c r="P537" s="22" t="str">
        <f aca="false">IF(C537="","",IFERROR(L537/J537,0))</f>
        <v/>
      </c>
      <c r="Q537" s="34"/>
      <c r="R537" s="4" t="str">
        <f aca="false">IF(C537="","",B537&amp;" | "&amp;C537&amp;" | "&amp;D537)</f>
        <v/>
      </c>
      <c r="S537" s="4" t="str">
        <f aca="false">IF(C537="","",R537&amp;"#"&amp;A537)</f>
        <v/>
      </c>
    </row>
    <row r="538" customFormat="false" ht="15" hidden="false" customHeight="false" outlineLevel="0" collapsed="false">
      <c r="A538" s="33"/>
      <c r="B538" s="34"/>
      <c r="C538" s="34"/>
      <c r="D538" s="34"/>
      <c r="E538" s="34"/>
      <c r="F538" s="34"/>
      <c r="G538" s="7"/>
      <c r="H538" s="35"/>
      <c r="I538" s="35"/>
      <c r="J538" s="7"/>
      <c r="K538" s="35"/>
      <c r="L538" s="7"/>
      <c r="M538" s="21" t="str">
        <f aca="false">IF(C538="","",IFERROR(I538/H538,0))</f>
        <v/>
      </c>
      <c r="N538" s="9" t="str">
        <f aca="false">IF(C538="","",IFERROR(J538/I538,0))</f>
        <v/>
      </c>
      <c r="O538" s="21" t="str">
        <f aca="false">IF(C538="","",IFERROR(J538/L538,0))</f>
        <v/>
      </c>
      <c r="P538" s="22" t="str">
        <f aca="false">IF(C538="","",IFERROR(L538/J538,0))</f>
        <v/>
      </c>
      <c r="Q538" s="34"/>
      <c r="R538" s="4" t="str">
        <f aca="false">IF(C538="","",B538&amp;" | "&amp;C538&amp;" | "&amp;D538)</f>
        <v/>
      </c>
      <c r="S538" s="4" t="str">
        <f aca="false">IF(C538="","",R538&amp;"#"&amp;A538)</f>
        <v/>
      </c>
    </row>
    <row r="539" customFormat="false" ht="15" hidden="false" customHeight="false" outlineLevel="0" collapsed="false">
      <c r="A539" s="33"/>
      <c r="B539" s="34"/>
      <c r="C539" s="34"/>
      <c r="D539" s="34"/>
      <c r="E539" s="34"/>
      <c r="F539" s="34"/>
      <c r="G539" s="7"/>
      <c r="H539" s="35"/>
      <c r="I539" s="35"/>
      <c r="J539" s="7"/>
      <c r="K539" s="35"/>
      <c r="L539" s="7"/>
      <c r="M539" s="21" t="str">
        <f aca="false">IF(C539="","",IFERROR(I539/H539,0))</f>
        <v/>
      </c>
      <c r="N539" s="9" t="str">
        <f aca="false">IF(C539="","",IFERROR(J539/I539,0))</f>
        <v/>
      </c>
      <c r="O539" s="21" t="str">
        <f aca="false">IF(C539="","",IFERROR(J539/L539,0))</f>
        <v/>
      </c>
      <c r="P539" s="22" t="str">
        <f aca="false">IF(C539="","",IFERROR(L539/J539,0))</f>
        <v/>
      </c>
      <c r="Q539" s="34"/>
      <c r="R539" s="4" t="str">
        <f aca="false">IF(C539="","",B539&amp;" | "&amp;C539&amp;" | "&amp;D539)</f>
        <v/>
      </c>
      <c r="S539" s="4" t="str">
        <f aca="false">IF(C539="","",R539&amp;"#"&amp;A539)</f>
        <v/>
      </c>
    </row>
    <row r="540" customFormat="false" ht="15" hidden="false" customHeight="false" outlineLevel="0" collapsed="false">
      <c r="A540" s="33"/>
      <c r="B540" s="34"/>
      <c r="C540" s="34"/>
      <c r="D540" s="34"/>
      <c r="E540" s="34"/>
      <c r="F540" s="34"/>
      <c r="G540" s="7"/>
      <c r="H540" s="35"/>
      <c r="I540" s="35"/>
      <c r="J540" s="7"/>
      <c r="K540" s="35"/>
      <c r="L540" s="7"/>
      <c r="M540" s="21" t="str">
        <f aca="false">IF(C540="","",IFERROR(I540/H540,0))</f>
        <v/>
      </c>
      <c r="N540" s="9" t="str">
        <f aca="false">IF(C540="","",IFERROR(J540/I540,0))</f>
        <v/>
      </c>
      <c r="O540" s="21" t="str">
        <f aca="false">IF(C540="","",IFERROR(J540/L540,0))</f>
        <v/>
      </c>
      <c r="P540" s="22" t="str">
        <f aca="false">IF(C540="","",IFERROR(L540/J540,0))</f>
        <v/>
      </c>
      <c r="Q540" s="34"/>
      <c r="R540" s="4" t="str">
        <f aca="false">IF(C540="","",B540&amp;" | "&amp;C540&amp;" | "&amp;D540)</f>
        <v/>
      </c>
      <c r="S540" s="4" t="str">
        <f aca="false">IF(C540="","",R540&amp;"#"&amp;A540)</f>
        <v/>
      </c>
    </row>
    <row r="541" customFormat="false" ht="15" hidden="false" customHeight="false" outlineLevel="0" collapsed="false">
      <c r="A541" s="33"/>
      <c r="B541" s="34"/>
      <c r="C541" s="34"/>
      <c r="D541" s="34"/>
      <c r="E541" s="34"/>
      <c r="F541" s="34"/>
      <c r="G541" s="7"/>
      <c r="H541" s="35"/>
      <c r="I541" s="35"/>
      <c r="J541" s="7"/>
      <c r="K541" s="35"/>
      <c r="L541" s="7"/>
      <c r="M541" s="21" t="str">
        <f aca="false">IF(C541="","",IFERROR(I541/H541,0))</f>
        <v/>
      </c>
      <c r="N541" s="9" t="str">
        <f aca="false">IF(C541="","",IFERROR(J541/I541,0))</f>
        <v/>
      </c>
      <c r="O541" s="21" t="str">
        <f aca="false">IF(C541="","",IFERROR(J541/L541,0))</f>
        <v/>
      </c>
      <c r="P541" s="22" t="str">
        <f aca="false">IF(C541="","",IFERROR(L541/J541,0))</f>
        <v/>
      </c>
      <c r="Q541" s="34"/>
      <c r="R541" s="4" t="str">
        <f aca="false">IF(C541="","",B541&amp;" | "&amp;C541&amp;" | "&amp;D541)</f>
        <v/>
      </c>
      <c r="S541" s="4" t="str">
        <f aca="false">IF(C541="","",R541&amp;"#"&amp;A541)</f>
        <v/>
      </c>
    </row>
    <row r="542" customFormat="false" ht="15" hidden="false" customHeight="false" outlineLevel="0" collapsed="false">
      <c r="A542" s="33"/>
      <c r="B542" s="34"/>
      <c r="C542" s="34"/>
      <c r="D542" s="34"/>
      <c r="E542" s="34"/>
      <c r="F542" s="34"/>
      <c r="G542" s="7"/>
      <c r="H542" s="35"/>
      <c r="I542" s="35"/>
      <c r="J542" s="7"/>
      <c r="K542" s="35"/>
      <c r="L542" s="7"/>
      <c r="M542" s="21" t="str">
        <f aca="false">IF(C542="","",IFERROR(I542/H542,0))</f>
        <v/>
      </c>
      <c r="N542" s="9" t="str">
        <f aca="false">IF(C542="","",IFERROR(J542/I542,0))</f>
        <v/>
      </c>
      <c r="O542" s="21" t="str">
        <f aca="false">IF(C542="","",IFERROR(J542/L542,0))</f>
        <v/>
      </c>
      <c r="P542" s="22" t="str">
        <f aca="false">IF(C542="","",IFERROR(L542/J542,0))</f>
        <v/>
      </c>
      <c r="Q542" s="34"/>
      <c r="R542" s="4" t="str">
        <f aca="false">IF(C542="","",B542&amp;" | "&amp;C542&amp;" | "&amp;D542)</f>
        <v/>
      </c>
      <c r="S542" s="4" t="str">
        <f aca="false">IF(C542="","",R542&amp;"#"&amp;A542)</f>
        <v/>
      </c>
    </row>
    <row r="543" customFormat="false" ht="15" hidden="false" customHeight="false" outlineLevel="0" collapsed="false">
      <c r="A543" s="33"/>
      <c r="B543" s="34"/>
      <c r="C543" s="34"/>
      <c r="D543" s="34"/>
      <c r="E543" s="34"/>
      <c r="F543" s="34"/>
      <c r="G543" s="7"/>
      <c r="H543" s="35"/>
      <c r="I543" s="35"/>
      <c r="J543" s="7"/>
      <c r="K543" s="35"/>
      <c r="L543" s="7"/>
      <c r="M543" s="21" t="str">
        <f aca="false">IF(C543="","",IFERROR(I543/H543,0))</f>
        <v/>
      </c>
      <c r="N543" s="9" t="str">
        <f aca="false">IF(C543="","",IFERROR(J543/I543,0))</f>
        <v/>
      </c>
      <c r="O543" s="21" t="str">
        <f aca="false">IF(C543="","",IFERROR(J543/L543,0))</f>
        <v/>
      </c>
      <c r="P543" s="22" t="str">
        <f aca="false">IF(C543="","",IFERROR(L543/J543,0))</f>
        <v/>
      </c>
      <c r="Q543" s="34"/>
      <c r="R543" s="4" t="str">
        <f aca="false">IF(C543="","",B543&amp;" | "&amp;C543&amp;" | "&amp;D543)</f>
        <v/>
      </c>
      <c r="S543" s="4" t="str">
        <f aca="false">IF(C543="","",R543&amp;"#"&amp;A543)</f>
        <v/>
      </c>
    </row>
    <row r="544" customFormat="false" ht="15" hidden="false" customHeight="false" outlineLevel="0" collapsed="false">
      <c r="A544" s="33"/>
      <c r="B544" s="34"/>
      <c r="C544" s="34"/>
      <c r="D544" s="34"/>
      <c r="E544" s="34"/>
      <c r="F544" s="34"/>
      <c r="G544" s="7"/>
      <c r="H544" s="35"/>
      <c r="I544" s="35"/>
      <c r="J544" s="7"/>
      <c r="K544" s="35"/>
      <c r="L544" s="7"/>
      <c r="M544" s="21" t="str">
        <f aca="false">IF(C544="","",IFERROR(I544/H544,0))</f>
        <v/>
      </c>
      <c r="N544" s="9" t="str">
        <f aca="false">IF(C544="","",IFERROR(J544/I544,0))</f>
        <v/>
      </c>
      <c r="O544" s="21" t="str">
        <f aca="false">IF(C544="","",IFERROR(J544/L544,0))</f>
        <v/>
      </c>
      <c r="P544" s="22" t="str">
        <f aca="false">IF(C544="","",IFERROR(L544/J544,0))</f>
        <v/>
      </c>
      <c r="Q544" s="34"/>
      <c r="R544" s="4" t="str">
        <f aca="false">IF(C544="","",B544&amp;" | "&amp;C544&amp;" | "&amp;D544)</f>
        <v/>
      </c>
      <c r="S544" s="4" t="str">
        <f aca="false">IF(C544="","",R544&amp;"#"&amp;A544)</f>
        <v/>
      </c>
    </row>
    <row r="545" customFormat="false" ht="15" hidden="false" customHeight="false" outlineLevel="0" collapsed="false">
      <c r="A545" s="33"/>
      <c r="B545" s="34"/>
      <c r="C545" s="34"/>
      <c r="D545" s="34"/>
      <c r="E545" s="34"/>
      <c r="F545" s="34"/>
      <c r="G545" s="7"/>
      <c r="H545" s="35"/>
      <c r="I545" s="35"/>
      <c r="J545" s="7"/>
      <c r="K545" s="35"/>
      <c r="L545" s="7"/>
      <c r="M545" s="21" t="str">
        <f aca="false">IF(C545="","",IFERROR(I545/H545,0))</f>
        <v/>
      </c>
      <c r="N545" s="9" t="str">
        <f aca="false">IF(C545="","",IFERROR(J545/I545,0))</f>
        <v/>
      </c>
      <c r="O545" s="21" t="str">
        <f aca="false">IF(C545="","",IFERROR(J545/L545,0))</f>
        <v/>
      </c>
      <c r="P545" s="22" t="str">
        <f aca="false">IF(C545="","",IFERROR(L545/J545,0))</f>
        <v/>
      </c>
      <c r="Q545" s="34"/>
      <c r="R545" s="4" t="str">
        <f aca="false">IF(C545="","",B545&amp;" | "&amp;C545&amp;" | "&amp;D545)</f>
        <v/>
      </c>
      <c r="S545" s="4" t="str">
        <f aca="false">IF(C545="","",R545&amp;"#"&amp;A545)</f>
        <v/>
      </c>
    </row>
    <row r="546" customFormat="false" ht="15" hidden="false" customHeight="false" outlineLevel="0" collapsed="false">
      <c r="A546" s="33"/>
      <c r="B546" s="34"/>
      <c r="C546" s="34"/>
      <c r="D546" s="34"/>
      <c r="E546" s="34"/>
      <c r="F546" s="34"/>
      <c r="G546" s="7"/>
      <c r="H546" s="35"/>
      <c r="I546" s="35"/>
      <c r="J546" s="7"/>
      <c r="K546" s="35"/>
      <c r="L546" s="7"/>
      <c r="M546" s="21" t="str">
        <f aca="false">IF(C546="","",IFERROR(I546/H546,0))</f>
        <v/>
      </c>
      <c r="N546" s="9" t="str">
        <f aca="false">IF(C546="","",IFERROR(J546/I546,0))</f>
        <v/>
      </c>
      <c r="O546" s="21" t="str">
        <f aca="false">IF(C546="","",IFERROR(J546/L546,0))</f>
        <v/>
      </c>
      <c r="P546" s="22" t="str">
        <f aca="false">IF(C546="","",IFERROR(L546/J546,0))</f>
        <v/>
      </c>
      <c r="Q546" s="34"/>
      <c r="R546" s="4" t="str">
        <f aca="false">IF(C546="","",B546&amp;" | "&amp;C546&amp;" | "&amp;D546)</f>
        <v/>
      </c>
      <c r="S546" s="4" t="str">
        <f aca="false">IF(C546="","",R546&amp;"#"&amp;A546)</f>
        <v/>
      </c>
    </row>
    <row r="547" customFormat="false" ht="15" hidden="false" customHeight="false" outlineLevel="0" collapsed="false">
      <c r="A547" s="33"/>
      <c r="B547" s="34"/>
      <c r="C547" s="34"/>
      <c r="D547" s="34"/>
      <c r="E547" s="34"/>
      <c r="F547" s="34"/>
      <c r="G547" s="7"/>
      <c r="H547" s="35"/>
      <c r="I547" s="35"/>
      <c r="J547" s="7"/>
      <c r="K547" s="35"/>
      <c r="L547" s="7"/>
      <c r="M547" s="21" t="str">
        <f aca="false">IF(C547="","",IFERROR(I547/H547,0))</f>
        <v/>
      </c>
      <c r="N547" s="9" t="str">
        <f aca="false">IF(C547="","",IFERROR(J547/I547,0))</f>
        <v/>
      </c>
      <c r="O547" s="21" t="str">
        <f aca="false">IF(C547="","",IFERROR(J547/L547,0))</f>
        <v/>
      </c>
      <c r="P547" s="22" t="str">
        <f aca="false">IF(C547="","",IFERROR(L547/J547,0))</f>
        <v/>
      </c>
      <c r="Q547" s="34"/>
      <c r="R547" s="4" t="str">
        <f aca="false">IF(C547="","",B547&amp;" | "&amp;C547&amp;" | "&amp;D547)</f>
        <v/>
      </c>
      <c r="S547" s="4" t="str">
        <f aca="false">IF(C547="","",R547&amp;"#"&amp;A547)</f>
        <v/>
      </c>
    </row>
    <row r="548" customFormat="false" ht="15" hidden="false" customHeight="false" outlineLevel="0" collapsed="false">
      <c r="A548" s="33"/>
      <c r="B548" s="34"/>
      <c r="C548" s="34"/>
      <c r="D548" s="34"/>
      <c r="E548" s="34"/>
      <c r="F548" s="34"/>
      <c r="G548" s="7"/>
      <c r="H548" s="35"/>
      <c r="I548" s="35"/>
      <c r="J548" s="7"/>
      <c r="K548" s="35"/>
      <c r="L548" s="7"/>
      <c r="M548" s="21" t="str">
        <f aca="false">IF(C548="","",IFERROR(I548/H548,0))</f>
        <v/>
      </c>
      <c r="N548" s="9" t="str">
        <f aca="false">IF(C548="","",IFERROR(J548/I548,0))</f>
        <v/>
      </c>
      <c r="O548" s="21" t="str">
        <f aca="false">IF(C548="","",IFERROR(J548/L548,0))</f>
        <v/>
      </c>
      <c r="P548" s="22" t="str">
        <f aca="false">IF(C548="","",IFERROR(L548/J548,0))</f>
        <v/>
      </c>
      <c r="Q548" s="34"/>
      <c r="R548" s="4" t="str">
        <f aca="false">IF(C548="","",B548&amp;" | "&amp;C548&amp;" | "&amp;D548)</f>
        <v/>
      </c>
      <c r="S548" s="4" t="str">
        <f aca="false">IF(C548="","",R548&amp;"#"&amp;A548)</f>
        <v/>
      </c>
    </row>
    <row r="549" customFormat="false" ht="15" hidden="false" customHeight="false" outlineLevel="0" collapsed="false">
      <c r="A549" s="33"/>
      <c r="B549" s="34"/>
      <c r="C549" s="34"/>
      <c r="D549" s="34"/>
      <c r="E549" s="34"/>
      <c r="F549" s="34"/>
      <c r="G549" s="7"/>
      <c r="H549" s="35"/>
      <c r="I549" s="35"/>
      <c r="J549" s="7"/>
      <c r="K549" s="35"/>
      <c r="L549" s="7"/>
      <c r="M549" s="21" t="str">
        <f aca="false">IF(C549="","",IFERROR(I549/H549,0))</f>
        <v/>
      </c>
      <c r="N549" s="9" t="str">
        <f aca="false">IF(C549="","",IFERROR(J549/I549,0))</f>
        <v/>
      </c>
      <c r="O549" s="21" t="str">
        <f aca="false">IF(C549="","",IFERROR(J549/L549,0))</f>
        <v/>
      </c>
      <c r="P549" s="22" t="str">
        <f aca="false">IF(C549="","",IFERROR(L549/J549,0))</f>
        <v/>
      </c>
      <c r="Q549" s="34"/>
      <c r="R549" s="4" t="str">
        <f aca="false">IF(C549="","",B549&amp;" | "&amp;C549&amp;" | "&amp;D549)</f>
        <v/>
      </c>
      <c r="S549" s="4" t="str">
        <f aca="false">IF(C549="","",R549&amp;"#"&amp;A549)</f>
        <v/>
      </c>
    </row>
    <row r="550" customFormat="false" ht="15" hidden="false" customHeight="false" outlineLevel="0" collapsed="false">
      <c r="A550" s="33"/>
      <c r="B550" s="34"/>
      <c r="C550" s="34"/>
      <c r="D550" s="34"/>
      <c r="E550" s="34"/>
      <c r="F550" s="34"/>
      <c r="G550" s="7"/>
      <c r="H550" s="35"/>
      <c r="I550" s="35"/>
      <c r="J550" s="7"/>
      <c r="K550" s="35"/>
      <c r="L550" s="7"/>
      <c r="M550" s="21" t="str">
        <f aca="false">IF(C550="","",IFERROR(I550/H550,0))</f>
        <v/>
      </c>
      <c r="N550" s="9" t="str">
        <f aca="false">IF(C550="","",IFERROR(J550/I550,0))</f>
        <v/>
      </c>
      <c r="O550" s="21" t="str">
        <f aca="false">IF(C550="","",IFERROR(J550/L550,0))</f>
        <v/>
      </c>
      <c r="P550" s="22" t="str">
        <f aca="false">IF(C550="","",IFERROR(L550/J550,0))</f>
        <v/>
      </c>
      <c r="Q550" s="34"/>
      <c r="R550" s="4" t="str">
        <f aca="false">IF(C550="","",B550&amp;" | "&amp;C550&amp;" | "&amp;D550)</f>
        <v/>
      </c>
      <c r="S550" s="4" t="str">
        <f aca="false">IF(C550="","",R550&amp;"#"&amp;A550)</f>
        <v/>
      </c>
    </row>
    <row r="551" customFormat="false" ht="15" hidden="false" customHeight="false" outlineLevel="0" collapsed="false">
      <c r="A551" s="33"/>
      <c r="B551" s="34"/>
      <c r="C551" s="34"/>
      <c r="D551" s="34"/>
      <c r="E551" s="34"/>
      <c r="F551" s="34"/>
      <c r="G551" s="7"/>
      <c r="H551" s="35"/>
      <c r="I551" s="35"/>
      <c r="J551" s="7"/>
      <c r="K551" s="35"/>
      <c r="L551" s="7"/>
      <c r="M551" s="21" t="str">
        <f aca="false">IF(C551="","",IFERROR(I551/H551,0))</f>
        <v/>
      </c>
      <c r="N551" s="9" t="str">
        <f aca="false">IF(C551="","",IFERROR(J551/I551,0))</f>
        <v/>
      </c>
      <c r="O551" s="21" t="str">
        <f aca="false">IF(C551="","",IFERROR(J551/L551,0))</f>
        <v/>
      </c>
      <c r="P551" s="22" t="str">
        <f aca="false">IF(C551="","",IFERROR(L551/J551,0))</f>
        <v/>
      </c>
      <c r="Q551" s="34"/>
      <c r="R551" s="4" t="str">
        <f aca="false">IF(C551="","",B551&amp;" | "&amp;C551&amp;" | "&amp;D551)</f>
        <v/>
      </c>
      <c r="S551" s="4" t="str">
        <f aca="false">IF(C551="","",R551&amp;"#"&amp;A551)</f>
        <v/>
      </c>
    </row>
    <row r="552" customFormat="false" ht="15" hidden="false" customHeight="false" outlineLevel="0" collapsed="false">
      <c r="A552" s="33"/>
      <c r="B552" s="34"/>
      <c r="C552" s="34"/>
      <c r="D552" s="34"/>
      <c r="E552" s="34"/>
      <c r="F552" s="34"/>
      <c r="G552" s="7"/>
      <c r="H552" s="35"/>
      <c r="I552" s="35"/>
      <c r="J552" s="7"/>
      <c r="K552" s="35"/>
      <c r="L552" s="7"/>
      <c r="M552" s="21" t="str">
        <f aca="false">IF(C552="","",IFERROR(I552/H552,0))</f>
        <v/>
      </c>
      <c r="N552" s="9" t="str">
        <f aca="false">IF(C552="","",IFERROR(J552/I552,0))</f>
        <v/>
      </c>
      <c r="O552" s="21" t="str">
        <f aca="false">IF(C552="","",IFERROR(J552/L552,0))</f>
        <v/>
      </c>
      <c r="P552" s="22" t="str">
        <f aca="false">IF(C552="","",IFERROR(L552/J552,0))</f>
        <v/>
      </c>
      <c r="Q552" s="34"/>
      <c r="R552" s="4" t="str">
        <f aca="false">IF(C552="","",B552&amp;" | "&amp;C552&amp;" | "&amp;D552)</f>
        <v/>
      </c>
      <c r="S552" s="4" t="str">
        <f aca="false">IF(C552="","",R552&amp;"#"&amp;A552)</f>
        <v/>
      </c>
    </row>
    <row r="553" customFormat="false" ht="15" hidden="false" customHeight="false" outlineLevel="0" collapsed="false">
      <c r="A553" s="33"/>
      <c r="B553" s="34"/>
      <c r="C553" s="34"/>
      <c r="D553" s="34"/>
      <c r="E553" s="34"/>
      <c r="F553" s="34"/>
      <c r="G553" s="7"/>
      <c r="H553" s="35"/>
      <c r="I553" s="35"/>
      <c r="J553" s="7"/>
      <c r="K553" s="35"/>
      <c r="L553" s="7"/>
      <c r="M553" s="21" t="str">
        <f aca="false">IF(C553="","",IFERROR(I553/H553,0))</f>
        <v/>
      </c>
      <c r="N553" s="9" t="str">
        <f aca="false">IF(C553="","",IFERROR(J553/I553,0))</f>
        <v/>
      </c>
      <c r="O553" s="21" t="str">
        <f aca="false">IF(C553="","",IFERROR(J553/L553,0))</f>
        <v/>
      </c>
      <c r="P553" s="22" t="str">
        <f aca="false">IF(C553="","",IFERROR(L553/J553,0))</f>
        <v/>
      </c>
      <c r="Q553" s="34"/>
      <c r="R553" s="4" t="str">
        <f aca="false">IF(C553="","",B553&amp;" | "&amp;C553&amp;" | "&amp;D553)</f>
        <v/>
      </c>
      <c r="S553" s="4" t="str">
        <f aca="false">IF(C553="","",R553&amp;"#"&amp;A553)</f>
        <v/>
      </c>
    </row>
    <row r="554" customFormat="false" ht="15" hidden="false" customHeight="false" outlineLevel="0" collapsed="false">
      <c r="A554" s="33"/>
      <c r="B554" s="34"/>
      <c r="C554" s="34"/>
      <c r="D554" s="34"/>
      <c r="E554" s="34"/>
      <c r="F554" s="34"/>
      <c r="G554" s="7"/>
      <c r="H554" s="35"/>
      <c r="I554" s="35"/>
      <c r="J554" s="7"/>
      <c r="K554" s="35"/>
      <c r="L554" s="7"/>
      <c r="M554" s="21" t="str">
        <f aca="false">IF(C554="","",IFERROR(I554/H554,0))</f>
        <v/>
      </c>
      <c r="N554" s="9" t="str">
        <f aca="false">IF(C554="","",IFERROR(J554/I554,0))</f>
        <v/>
      </c>
      <c r="O554" s="21" t="str">
        <f aca="false">IF(C554="","",IFERROR(J554/L554,0))</f>
        <v/>
      </c>
      <c r="P554" s="22" t="str">
        <f aca="false">IF(C554="","",IFERROR(L554/J554,0))</f>
        <v/>
      </c>
      <c r="Q554" s="34"/>
      <c r="R554" s="4" t="str">
        <f aca="false">IF(C554="","",B554&amp;" | "&amp;C554&amp;" | "&amp;D554)</f>
        <v/>
      </c>
      <c r="S554" s="4" t="str">
        <f aca="false">IF(C554="","",R554&amp;"#"&amp;A554)</f>
        <v/>
      </c>
    </row>
    <row r="555" customFormat="false" ht="15" hidden="false" customHeight="false" outlineLevel="0" collapsed="false">
      <c r="A555" s="33"/>
      <c r="B555" s="34"/>
      <c r="C555" s="34"/>
      <c r="D555" s="34"/>
      <c r="E555" s="34"/>
      <c r="F555" s="34"/>
      <c r="G555" s="7"/>
      <c r="H555" s="35"/>
      <c r="I555" s="35"/>
      <c r="J555" s="7"/>
      <c r="K555" s="35"/>
      <c r="L555" s="7"/>
      <c r="M555" s="21" t="str">
        <f aca="false">IF(C555="","",IFERROR(I555/H555,0))</f>
        <v/>
      </c>
      <c r="N555" s="9" t="str">
        <f aca="false">IF(C555="","",IFERROR(J555/I555,0))</f>
        <v/>
      </c>
      <c r="O555" s="21" t="str">
        <f aca="false">IF(C555="","",IFERROR(J555/L555,0))</f>
        <v/>
      </c>
      <c r="P555" s="22" t="str">
        <f aca="false">IF(C555="","",IFERROR(L555/J555,0))</f>
        <v/>
      </c>
      <c r="Q555" s="34"/>
      <c r="R555" s="4" t="str">
        <f aca="false">IF(C555="","",B555&amp;" | "&amp;C555&amp;" | "&amp;D555)</f>
        <v/>
      </c>
      <c r="S555" s="4" t="str">
        <f aca="false">IF(C555="","",R555&amp;"#"&amp;A555)</f>
        <v/>
      </c>
    </row>
    <row r="556" customFormat="false" ht="15" hidden="false" customHeight="false" outlineLevel="0" collapsed="false">
      <c r="A556" s="33"/>
      <c r="B556" s="34"/>
      <c r="C556" s="34"/>
      <c r="D556" s="34"/>
      <c r="E556" s="34"/>
      <c r="F556" s="34"/>
      <c r="G556" s="7"/>
      <c r="H556" s="35"/>
      <c r="I556" s="35"/>
      <c r="J556" s="7"/>
      <c r="K556" s="35"/>
      <c r="L556" s="7"/>
      <c r="M556" s="21" t="str">
        <f aca="false">IF(C556="","",IFERROR(I556/H556,0))</f>
        <v/>
      </c>
      <c r="N556" s="9" t="str">
        <f aca="false">IF(C556="","",IFERROR(J556/I556,0))</f>
        <v/>
      </c>
      <c r="O556" s="21" t="str">
        <f aca="false">IF(C556="","",IFERROR(J556/L556,0))</f>
        <v/>
      </c>
      <c r="P556" s="22" t="str">
        <f aca="false">IF(C556="","",IFERROR(L556/J556,0))</f>
        <v/>
      </c>
      <c r="Q556" s="34"/>
      <c r="R556" s="4" t="str">
        <f aca="false">IF(C556="","",B556&amp;" | "&amp;C556&amp;" | "&amp;D556)</f>
        <v/>
      </c>
      <c r="S556" s="4" t="str">
        <f aca="false">IF(C556="","",R556&amp;"#"&amp;A556)</f>
        <v/>
      </c>
    </row>
    <row r="557" customFormat="false" ht="15" hidden="false" customHeight="false" outlineLevel="0" collapsed="false">
      <c r="A557" s="33"/>
      <c r="B557" s="34"/>
      <c r="C557" s="34"/>
      <c r="D557" s="34"/>
      <c r="E557" s="34"/>
      <c r="F557" s="34"/>
      <c r="G557" s="7"/>
      <c r="H557" s="35"/>
      <c r="I557" s="35"/>
      <c r="J557" s="7"/>
      <c r="K557" s="35"/>
      <c r="L557" s="7"/>
      <c r="M557" s="21" t="str">
        <f aca="false">IF(C557="","",IFERROR(I557/H557,0))</f>
        <v/>
      </c>
      <c r="N557" s="9" t="str">
        <f aca="false">IF(C557="","",IFERROR(J557/I557,0))</f>
        <v/>
      </c>
      <c r="O557" s="21" t="str">
        <f aca="false">IF(C557="","",IFERROR(J557/L557,0))</f>
        <v/>
      </c>
      <c r="P557" s="22" t="str">
        <f aca="false">IF(C557="","",IFERROR(L557/J557,0))</f>
        <v/>
      </c>
      <c r="Q557" s="34"/>
      <c r="R557" s="4" t="str">
        <f aca="false">IF(C557="","",B557&amp;" | "&amp;C557&amp;" | "&amp;D557)</f>
        <v/>
      </c>
      <c r="S557" s="4" t="str">
        <f aca="false">IF(C557="","",R557&amp;"#"&amp;A557)</f>
        <v/>
      </c>
    </row>
    <row r="558" customFormat="false" ht="15" hidden="false" customHeight="false" outlineLevel="0" collapsed="false">
      <c r="A558" s="33"/>
      <c r="B558" s="34"/>
      <c r="C558" s="34"/>
      <c r="D558" s="34"/>
      <c r="E558" s="34"/>
      <c r="F558" s="34"/>
      <c r="G558" s="7"/>
      <c r="H558" s="35"/>
      <c r="I558" s="35"/>
      <c r="J558" s="7"/>
      <c r="K558" s="35"/>
      <c r="L558" s="7"/>
      <c r="M558" s="21" t="str">
        <f aca="false">IF(C558="","",IFERROR(I558/H558,0))</f>
        <v/>
      </c>
      <c r="N558" s="9" t="str">
        <f aca="false">IF(C558="","",IFERROR(J558/I558,0))</f>
        <v/>
      </c>
      <c r="O558" s="21" t="str">
        <f aca="false">IF(C558="","",IFERROR(J558/L558,0))</f>
        <v/>
      </c>
      <c r="P558" s="22" t="str">
        <f aca="false">IF(C558="","",IFERROR(L558/J558,0))</f>
        <v/>
      </c>
      <c r="Q558" s="34"/>
      <c r="R558" s="4" t="str">
        <f aca="false">IF(C558="","",B558&amp;" | "&amp;C558&amp;" | "&amp;D558)</f>
        <v/>
      </c>
      <c r="S558" s="4" t="str">
        <f aca="false">IF(C558="","",R558&amp;"#"&amp;A558)</f>
        <v/>
      </c>
    </row>
    <row r="559" customFormat="false" ht="15" hidden="false" customHeight="false" outlineLevel="0" collapsed="false">
      <c r="A559" s="33"/>
      <c r="B559" s="34"/>
      <c r="C559" s="34"/>
      <c r="D559" s="34"/>
      <c r="E559" s="34"/>
      <c r="F559" s="34"/>
      <c r="G559" s="7"/>
      <c r="H559" s="35"/>
      <c r="I559" s="35"/>
      <c r="J559" s="7"/>
      <c r="K559" s="35"/>
      <c r="L559" s="7"/>
      <c r="M559" s="21" t="str">
        <f aca="false">IF(C559="","",IFERROR(I559/H559,0))</f>
        <v/>
      </c>
      <c r="N559" s="9" t="str">
        <f aca="false">IF(C559="","",IFERROR(J559/I559,0))</f>
        <v/>
      </c>
      <c r="O559" s="21" t="str">
        <f aca="false">IF(C559="","",IFERROR(J559/L559,0))</f>
        <v/>
      </c>
      <c r="P559" s="22" t="str">
        <f aca="false">IF(C559="","",IFERROR(L559/J559,0))</f>
        <v/>
      </c>
      <c r="Q559" s="34"/>
      <c r="R559" s="4" t="str">
        <f aca="false">IF(C559="","",B559&amp;" | "&amp;C559&amp;" | "&amp;D559)</f>
        <v/>
      </c>
      <c r="S559" s="4" t="str">
        <f aca="false">IF(C559="","",R559&amp;"#"&amp;A559)</f>
        <v/>
      </c>
    </row>
    <row r="560" customFormat="false" ht="15" hidden="false" customHeight="false" outlineLevel="0" collapsed="false">
      <c r="A560" s="33"/>
      <c r="B560" s="34"/>
      <c r="C560" s="34"/>
      <c r="D560" s="34"/>
      <c r="E560" s="34"/>
      <c r="F560" s="34"/>
      <c r="G560" s="7"/>
      <c r="H560" s="35"/>
      <c r="I560" s="35"/>
      <c r="J560" s="7"/>
      <c r="K560" s="35"/>
      <c r="L560" s="7"/>
      <c r="M560" s="21" t="str">
        <f aca="false">IF(C560="","",IFERROR(I560/H560,0))</f>
        <v/>
      </c>
      <c r="N560" s="9" t="str">
        <f aca="false">IF(C560="","",IFERROR(J560/I560,0))</f>
        <v/>
      </c>
      <c r="O560" s="21" t="str">
        <f aca="false">IF(C560="","",IFERROR(J560/L560,0))</f>
        <v/>
      </c>
      <c r="P560" s="22" t="str">
        <f aca="false">IF(C560="","",IFERROR(L560/J560,0))</f>
        <v/>
      </c>
      <c r="Q560" s="34"/>
      <c r="R560" s="4" t="str">
        <f aca="false">IF(C560="","",B560&amp;" | "&amp;C560&amp;" | "&amp;D560)</f>
        <v/>
      </c>
      <c r="S560" s="4" t="str">
        <f aca="false">IF(C560="","",R560&amp;"#"&amp;A560)</f>
        <v/>
      </c>
    </row>
    <row r="561" customFormat="false" ht="15" hidden="false" customHeight="false" outlineLevel="0" collapsed="false">
      <c r="A561" s="33"/>
      <c r="B561" s="34"/>
      <c r="C561" s="34"/>
      <c r="D561" s="34"/>
      <c r="E561" s="34"/>
      <c r="F561" s="34"/>
      <c r="G561" s="7"/>
      <c r="H561" s="35"/>
      <c r="I561" s="35"/>
      <c r="J561" s="7"/>
      <c r="K561" s="35"/>
      <c r="L561" s="7"/>
      <c r="M561" s="21" t="str">
        <f aca="false">IF(C561="","",IFERROR(I561/H561,0))</f>
        <v/>
      </c>
      <c r="N561" s="9" t="str">
        <f aca="false">IF(C561="","",IFERROR(J561/I561,0))</f>
        <v/>
      </c>
      <c r="O561" s="21" t="str">
        <f aca="false">IF(C561="","",IFERROR(J561/L561,0))</f>
        <v/>
      </c>
      <c r="P561" s="22" t="str">
        <f aca="false">IF(C561="","",IFERROR(L561/J561,0))</f>
        <v/>
      </c>
      <c r="Q561" s="34"/>
      <c r="R561" s="4" t="str">
        <f aca="false">IF(C561="","",B561&amp;" | "&amp;C561&amp;" | "&amp;D561)</f>
        <v/>
      </c>
      <c r="S561" s="4" t="str">
        <f aca="false">IF(C561="","",R561&amp;"#"&amp;A561)</f>
        <v/>
      </c>
    </row>
    <row r="562" customFormat="false" ht="15" hidden="false" customHeight="false" outlineLevel="0" collapsed="false">
      <c r="A562" s="33"/>
      <c r="B562" s="34"/>
      <c r="C562" s="34"/>
      <c r="D562" s="34"/>
      <c r="E562" s="34"/>
      <c r="F562" s="34"/>
      <c r="G562" s="7"/>
      <c r="H562" s="35"/>
      <c r="I562" s="35"/>
      <c r="J562" s="7"/>
      <c r="K562" s="35"/>
      <c r="L562" s="7"/>
      <c r="M562" s="21" t="str">
        <f aca="false">IF(C562="","",IFERROR(I562/H562,0))</f>
        <v/>
      </c>
      <c r="N562" s="9" t="str">
        <f aca="false">IF(C562="","",IFERROR(J562/I562,0))</f>
        <v/>
      </c>
      <c r="O562" s="21" t="str">
        <f aca="false">IF(C562="","",IFERROR(J562/L562,0))</f>
        <v/>
      </c>
      <c r="P562" s="22" t="str">
        <f aca="false">IF(C562="","",IFERROR(L562/J562,0))</f>
        <v/>
      </c>
      <c r="Q562" s="34"/>
      <c r="R562" s="4" t="str">
        <f aca="false">IF(C562="","",B562&amp;" | "&amp;C562&amp;" | "&amp;D562)</f>
        <v/>
      </c>
      <c r="S562" s="4" t="str">
        <f aca="false">IF(C562="","",R562&amp;"#"&amp;A562)</f>
        <v/>
      </c>
    </row>
    <row r="563" customFormat="false" ht="15" hidden="false" customHeight="false" outlineLevel="0" collapsed="false">
      <c r="A563" s="33"/>
      <c r="B563" s="34"/>
      <c r="C563" s="34"/>
      <c r="D563" s="34"/>
      <c r="E563" s="34"/>
      <c r="F563" s="34"/>
      <c r="G563" s="7"/>
      <c r="H563" s="35"/>
      <c r="I563" s="35"/>
      <c r="J563" s="7"/>
      <c r="K563" s="35"/>
      <c r="L563" s="7"/>
      <c r="M563" s="21" t="str">
        <f aca="false">IF(C563="","",IFERROR(I563/H563,0))</f>
        <v/>
      </c>
      <c r="N563" s="9" t="str">
        <f aca="false">IF(C563="","",IFERROR(J563/I563,0))</f>
        <v/>
      </c>
      <c r="O563" s="21" t="str">
        <f aca="false">IF(C563="","",IFERROR(J563/L563,0))</f>
        <v/>
      </c>
      <c r="P563" s="22" t="str">
        <f aca="false">IF(C563="","",IFERROR(L563/J563,0))</f>
        <v/>
      </c>
      <c r="Q563" s="34"/>
      <c r="R563" s="4" t="str">
        <f aca="false">IF(C563="","",B563&amp;" | "&amp;C563&amp;" | "&amp;D563)</f>
        <v/>
      </c>
      <c r="S563" s="4" t="str">
        <f aca="false">IF(C563="","",R563&amp;"#"&amp;A563)</f>
        <v/>
      </c>
    </row>
    <row r="564" customFormat="false" ht="15" hidden="false" customHeight="false" outlineLevel="0" collapsed="false">
      <c r="A564" s="33"/>
      <c r="B564" s="34"/>
      <c r="C564" s="34"/>
      <c r="D564" s="34"/>
      <c r="E564" s="34"/>
      <c r="F564" s="34"/>
      <c r="G564" s="7"/>
      <c r="H564" s="35"/>
      <c r="I564" s="35"/>
      <c r="J564" s="7"/>
      <c r="K564" s="35"/>
      <c r="L564" s="7"/>
      <c r="M564" s="21" t="str">
        <f aca="false">IF(C564="","",IFERROR(I564/H564,0))</f>
        <v/>
      </c>
      <c r="N564" s="9" t="str">
        <f aca="false">IF(C564="","",IFERROR(J564/I564,0))</f>
        <v/>
      </c>
      <c r="O564" s="21" t="str">
        <f aca="false">IF(C564="","",IFERROR(J564/L564,0))</f>
        <v/>
      </c>
      <c r="P564" s="22" t="str">
        <f aca="false">IF(C564="","",IFERROR(L564/J564,0))</f>
        <v/>
      </c>
      <c r="Q564" s="34"/>
      <c r="R564" s="4" t="str">
        <f aca="false">IF(C564="","",B564&amp;" | "&amp;C564&amp;" | "&amp;D564)</f>
        <v/>
      </c>
      <c r="S564" s="4" t="str">
        <f aca="false">IF(C564="","",R564&amp;"#"&amp;A564)</f>
        <v/>
      </c>
    </row>
    <row r="565" customFormat="false" ht="15" hidden="false" customHeight="false" outlineLevel="0" collapsed="false">
      <c r="A565" s="33"/>
      <c r="B565" s="34"/>
      <c r="C565" s="34"/>
      <c r="D565" s="34"/>
      <c r="E565" s="34"/>
      <c r="F565" s="34"/>
      <c r="G565" s="7"/>
      <c r="H565" s="35"/>
      <c r="I565" s="35"/>
      <c r="J565" s="7"/>
      <c r="K565" s="35"/>
      <c r="L565" s="7"/>
      <c r="M565" s="21" t="str">
        <f aca="false">IF(C565="","",IFERROR(I565/H565,0))</f>
        <v/>
      </c>
      <c r="N565" s="9" t="str">
        <f aca="false">IF(C565="","",IFERROR(J565/I565,0))</f>
        <v/>
      </c>
      <c r="O565" s="21" t="str">
        <f aca="false">IF(C565="","",IFERROR(J565/L565,0))</f>
        <v/>
      </c>
      <c r="P565" s="22" t="str">
        <f aca="false">IF(C565="","",IFERROR(L565/J565,0))</f>
        <v/>
      </c>
      <c r="Q565" s="34"/>
      <c r="R565" s="4" t="str">
        <f aca="false">IF(C565="","",B565&amp;" | "&amp;C565&amp;" | "&amp;D565)</f>
        <v/>
      </c>
      <c r="S565" s="4" t="str">
        <f aca="false">IF(C565="","",R565&amp;"#"&amp;A565)</f>
        <v/>
      </c>
    </row>
    <row r="566" customFormat="false" ht="15" hidden="false" customHeight="false" outlineLevel="0" collapsed="false">
      <c r="A566" s="33"/>
      <c r="B566" s="34"/>
      <c r="C566" s="34"/>
      <c r="D566" s="34"/>
      <c r="E566" s="34"/>
      <c r="F566" s="34"/>
      <c r="G566" s="7"/>
      <c r="H566" s="35"/>
      <c r="I566" s="35"/>
      <c r="J566" s="7"/>
      <c r="K566" s="35"/>
      <c r="L566" s="7"/>
      <c r="M566" s="21" t="str">
        <f aca="false">IF(C566="","",IFERROR(I566/H566,0))</f>
        <v/>
      </c>
      <c r="N566" s="9" t="str">
        <f aca="false">IF(C566="","",IFERROR(J566/I566,0))</f>
        <v/>
      </c>
      <c r="O566" s="21" t="str">
        <f aca="false">IF(C566="","",IFERROR(J566/L566,0))</f>
        <v/>
      </c>
      <c r="P566" s="22" t="str">
        <f aca="false">IF(C566="","",IFERROR(L566/J566,0))</f>
        <v/>
      </c>
      <c r="Q566" s="34"/>
      <c r="R566" s="4" t="str">
        <f aca="false">IF(C566="","",B566&amp;" | "&amp;C566&amp;" | "&amp;D566)</f>
        <v/>
      </c>
      <c r="S566" s="4" t="str">
        <f aca="false">IF(C566="","",R566&amp;"#"&amp;A566)</f>
        <v/>
      </c>
    </row>
    <row r="567" customFormat="false" ht="15" hidden="false" customHeight="false" outlineLevel="0" collapsed="false">
      <c r="A567" s="33"/>
      <c r="B567" s="34"/>
      <c r="C567" s="34"/>
      <c r="D567" s="34"/>
      <c r="E567" s="34"/>
      <c r="F567" s="34"/>
      <c r="G567" s="7"/>
      <c r="H567" s="35"/>
      <c r="I567" s="35"/>
      <c r="J567" s="7"/>
      <c r="K567" s="35"/>
      <c r="L567" s="7"/>
      <c r="M567" s="21" t="str">
        <f aca="false">IF(C567="","",IFERROR(I567/H567,0))</f>
        <v/>
      </c>
      <c r="N567" s="9" t="str">
        <f aca="false">IF(C567="","",IFERROR(J567/I567,0))</f>
        <v/>
      </c>
      <c r="O567" s="21" t="str">
        <f aca="false">IF(C567="","",IFERROR(J567/L567,0))</f>
        <v/>
      </c>
      <c r="P567" s="22" t="str">
        <f aca="false">IF(C567="","",IFERROR(L567/J567,0))</f>
        <v/>
      </c>
      <c r="Q567" s="34"/>
      <c r="R567" s="4" t="str">
        <f aca="false">IF(C567="","",B567&amp;" | "&amp;C567&amp;" | "&amp;D567)</f>
        <v/>
      </c>
      <c r="S567" s="4" t="str">
        <f aca="false">IF(C567="","",R567&amp;"#"&amp;A567)</f>
        <v/>
      </c>
    </row>
    <row r="568" customFormat="false" ht="15" hidden="false" customHeight="false" outlineLevel="0" collapsed="false">
      <c r="A568" s="33"/>
      <c r="B568" s="34"/>
      <c r="C568" s="34"/>
      <c r="D568" s="34"/>
      <c r="E568" s="34"/>
      <c r="F568" s="34"/>
      <c r="G568" s="7"/>
      <c r="H568" s="35"/>
      <c r="I568" s="35"/>
      <c r="J568" s="7"/>
      <c r="K568" s="35"/>
      <c r="L568" s="7"/>
      <c r="M568" s="21" t="str">
        <f aca="false">IF(C568="","",IFERROR(I568/H568,0))</f>
        <v/>
      </c>
      <c r="N568" s="9" t="str">
        <f aca="false">IF(C568="","",IFERROR(J568/I568,0))</f>
        <v/>
      </c>
      <c r="O568" s="21" t="str">
        <f aca="false">IF(C568="","",IFERROR(J568/L568,0))</f>
        <v/>
      </c>
      <c r="P568" s="22" t="str">
        <f aca="false">IF(C568="","",IFERROR(L568/J568,0))</f>
        <v/>
      </c>
      <c r="Q568" s="34"/>
      <c r="R568" s="4" t="str">
        <f aca="false">IF(C568="","",B568&amp;" | "&amp;C568&amp;" | "&amp;D568)</f>
        <v/>
      </c>
      <c r="S568" s="4" t="str">
        <f aca="false">IF(C568="","",R568&amp;"#"&amp;A568)</f>
        <v/>
      </c>
    </row>
    <row r="569" customFormat="false" ht="15" hidden="false" customHeight="false" outlineLevel="0" collapsed="false">
      <c r="A569" s="33"/>
      <c r="B569" s="34"/>
      <c r="C569" s="34"/>
      <c r="D569" s="34"/>
      <c r="E569" s="34"/>
      <c r="F569" s="34"/>
      <c r="G569" s="7"/>
      <c r="H569" s="35"/>
      <c r="I569" s="35"/>
      <c r="J569" s="7"/>
      <c r="K569" s="35"/>
      <c r="L569" s="7"/>
      <c r="M569" s="21" t="str">
        <f aca="false">IF(C569="","",IFERROR(I569/H569,0))</f>
        <v/>
      </c>
      <c r="N569" s="9" t="str">
        <f aca="false">IF(C569="","",IFERROR(J569/I569,0))</f>
        <v/>
      </c>
      <c r="O569" s="21" t="str">
        <f aca="false">IF(C569="","",IFERROR(J569/L569,0))</f>
        <v/>
      </c>
      <c r="P569" s="22" t="str">
        <f aca="false">IF(C569="","",IFERROR(L569/J569,0))</f>
        <v/>
      </c>
      <c r="Q569" s="34"/>
      <c r="R569" s="4" t="str">
        <f aca="false">IF(C569="","",B569&amp;" | "&amp;C569&amp;" | "&amp;D569)</f>
        <v/>
      </c>
      <c r="S569" s="4" t="str">
        <f aca="false">IF(C569="","",R569&amp;"#"&amp;A569)</f>
        <v/>
      </c>
    </row>
    <row r="570" customFormat="false" ht="15" hidden="false" customHeight="false" outlineLevel="0" collapsed="false">
      <c r="A570" s="33"/>
      <c r="B570" s="34"/>
      <c r="C570" s="34"/>
      <c r="D570" s="34"/>
      <c r="E570" s="34"/>
      <c r="F570" s="34"/>
      <c r="G570" s="7"/>
      <c r="H570" s="35"/>
      <c r="I570" s="35"/>
      <c r="J570" s="7"/>
      <c r="K570" s="35"/>
      <c r="L570" s="7"/>
      <c r="M570" s="21" t="str">
        <f aca="false">IF(C570="","",IFERROR(I570/H570,0))</f>
        <v/>
      </c>
      <c r="N570" s="9" t="str">
        <f aca="false">IF(C570="","",IFERROR(J570/I570,0))</f>
        <v/>
      </c>
      <c r="O570" s="21" t="str">
        <f aca="false">IF(C570="","",IFERROR(J570/L570,0))</f>
        <v/>
      </c>
      <c r="P570" s="22" t="str">
        <f aca="false">IF(C570="","",IFERROR(L570/J570,0))</f>
        <v/>
      </c>
      <c r="Q570" s="34"/>
      <c r="R570" s="4" t="str">
        <f aca="false">IF(C570="","",B570&amp;" | "&amp;C570&amp;" | "&amp;D570)</f>
        <v/>
      </c>
      <c r="S570" s="4" t="str">
        <f aca="false">IF(C570="","",R570&amp;"#"&amp;A570)</f>
        <v/>
      </c>
    </row>
    <row r="571" customFormat="false" ht="15" hidden="false" customHeight="false" outlineLevel="0" collapsed="false">
      <c r="A571" s="33"/>
      <c r="B571" s="34"/>
      <c r="C571" s="34"/>
      <c r="D571" s="34"/>
      <c r="E571" s="34"/>
      <c r="F571" s="34"/>
      <c r="G571" s="7"/>
      <c r="H571" s="35"/>
      <c r="I571" s="35"/>
      <c r="J571" s="7"/>
      <c r="K571" s="35"/>
      <c r="L571" s="7"/>
      <c r="M571" s="21" t="str">
        <f aca="false">IF(C571="","",IFERROR(I571/H571,0))</f>
        <v/>
      </c>
      <c r="N571" s="9" t="str">
        <f aca="false">IF(C571="","",IFERROR(J571/I571,0))</f>
        <v/>
      </c>
      <c r="O571" s="21" t="str">
        <f aca="false">IF(C571="","",IFERROR(J571/L571,0))</f>
        <v/>
      </c>
      <c r="P571" s="22" t="str">
        <f aca="false">IF(C571="","",IFERROR(L571/J571,0))</f>
        <v/>
      </c>
      <c r="Q571" s="34"/>
      <c r="R571" s="4" t="str">
        <f aca="false">IF(C571="","",B571&amp;" | "&amp;C571&amp;" | "&amp;D571)</f>
        <v/>
      </c>
      <c r="S571" s="4" t="str">
        <f aca="false">IF(C571="","",R571&amp;"#"&amp;A571)</f>
        <v/>
      </c>
    </row>
    <row r="572" customFormat="false" ht="15" hidden="false" customHeight="false" outlineLevel="0" collapsed="false">
      <c r="A572" s="33"/>
      <c r="B572" s="34"/>
      <c r="C572" s="34"/>
      <c r="D572" s="34"/>
      <c r="E572" s="34"/>
      <c r="F572" s="34"/>
      <c r="G572" s="7"/>
      <c r="H572" s="35"/>
      <c r="I572" s="35"/>
      <c r="J572" s="7"/>
      <c r="K572" s="35"/>
      <c r="L572" s="7"/>
      <c r="M572" s="21" t="str">
        <f aca="false">IF(C572="","",IFERROR(I572/H572,0))</f>
        <v/>
      </c>
      <c r="N572" s="9" t="str">
        <f aca="false">IF(C572="","",IFERROR(J572/I572,0))</f>
        <v/>
      </c>
      <c r="O572" s="21" t="str">
        <f aca="false">IF(C572="","",IFERROR(J572/L572,0))</f>
        <v/>
      </c>
      <c r="P572" s="22" t="str">
        <f aca="false">IF(C572="","",IFERROR(L572/J572,0))</f>
        <v/>
      </c>
      <c r="Q572" s="34"/>
      <c r="R572" s="4" t="str">
        <f aca="false">IF(C572="","",B572&amp;" | "&amp;C572&amp;" | "&amp;D572)</f>
        <v/>
      </c>
      <c r="S572" s="4" t="str">
        <f aca="false">IF(C572="","",R572&amp;"#"&amp;A572)</f>
        <v/>
      </c>
    </row>
    <row r="573" customFormat="false" ht="15" hidden="false" customHeight="false" outlineLevel="0" collapsed="false">
      <c r="A573" s="33"/>
      <c r="B573" s="34"/>
      <c r="C573" s="34"/>
      <c r="D573" s="34"/>
      <c r="E573" s="34"/>
      <c r="F573" s="34"/>
      <c r="G573" s="7"/>
      <c r="H573" s="35"/>
      <c r="I573" s="35"/>
      <c r="J573" s="7"/>
      <c r="K573" s="35"/>
      <c r="L573" s="7"/>
      <c r="M573" s="21" t="str">
        <f aca="false">IF(C573="","",IFERROR(I573/H573,0))</f>
        <v/>
      </c>
      <c r="N573" s="9" t="str">
        <f aca="false">IF(C573="","",IFERROR(J573/I573,0))</f>
        <v/>
      </c>
      <c r="O573" s="21" t="str">
        <f aca="false">IF(C573="","",IFERROR(J573/L573,0))</f>
        <v/>
      </c>
      <c r="P573" s="22" t="str">
        <f aca="false">IF(C573="","",IFERROR(L573/J573,0))</f>
        <v/>
      </c>
      <c r="Q573" s="34"/>
      <c r="R573" s="4" t="str">
        <f aca="false">IF(C573="","",B573&amp;" | "&amp;C573&amp;" | "&amp;D573)</f>
        <v/>
      </c>
      <c r="S573" s="4" t="str">
        <f aca="false">IF(C573="","",R573&amp;"#"&amp;A573)</f>
        <v/>
      </c>
    </row>
    <row r="574" customFormat="false" ht="15" hidden="false" customHeight="false" outlineLevel="0" collapsed="false">
      <c r="A574" s="33"/>
      <c r="B574" s="34"/>
      <c r="C574" s="34"/>
      <c r="D574" s="34"/>
      <c r="E574" s="34"/>
      <c r="F574" s="34"/>
      <c r="G574" s="7"/>
      <c r="H574" s="35"/>
      <c r="I574" s="35"/>
      <c r="J574" s="7"/>
      <c r="K574" s="35"/>
      <c r="L574" s="7"/>
      <c r="M574" s="21" t="str">
        <f aca="false">IF(C574="","",IFERROR(I574/H574,0))</f>
        <v/>
      </c>
      <c r="N574" s="9" t="str">
        <f aca="false">IF(C574="","",IFERROR(J574/I574,0))</f>
        <v/>
      </c>
      <c r="O574" s="21" t="str">
        <f aca="false">IF(C574="","",IFERROR(J574/L574,0))</f>
        <v/>
      </c>
      <c r="P574" s="22" t="str">
        <f aca="false">IF(C574="","",IFERROR(L574/J574,0))</f>
        <v/>
      </c>
      <c r="Q574" s="34"/>
      <c r="R574" s="4" t="str">
        <f aca="false">IF(C574="","",B574&amp;" | "&amp;C574&amp;" | "&amp;D574)</f>
        <v/>
      </c>
      <c r="S574" s="4" t="str">
        <f aca="false">IF(C574="","",R574&amp;"#"&amp;A574)</f>
        <v/>
      </c>
    </row>
    <row r="575" customFormat="false" ht="15" hidden="false" customHeight="false" outlineLevel="0" collapsed="false">
      <c r="A575" s="33"/>
      <c r="B575" s="34"/>
      <c r="C575" s="34"/>
      <c r="D575" s="34"/>
      <c r="E575" s="34"/>
      <c r="F575" s="34"/>
      <c r="G575" s="7"/>
      <c r="H575" s="35"/>
      <c r="I575" s="35"/>
      <c r="J575" s="7"/>
      <c r="K575" s="35"/>
      <c r="L575" s="7"/>
      <c r="M575" s="21" t="str">
        <f aca="false">IF(C575="","",IFERROR(I575/H575,0))</f>
        <v/>
      </c>
      <c r="N575" s="9" t="str">
        <f aca="false">IF(C575="","",IFERROR(J575/I575,0))</f>
        <v/>
      </c>
      <c r="O575" s="21" t="str">
        <f aca="false">IF(C575="","",IFERROR(J575/L575,0))</f>
        <v/>
      </c>
      <c r="P575" s="22" t="str">
        <f aca="false">IF(C575="","",IFERROR(L575/J575,0))</f>
        <v/>
      </c>
      <c r="Q575" s="34"/>
      <c r="R575" s="4" t="str">
        <f aca="false">IF(C575="","",B575&amp;" | "&amp;C575&amp;" | "&amp;D575)</f>
        <v/>
      </c>
      <c r="S575" s="4" t="str">
        <f aca="false">IF(C575="","",R575&amp;"#"&amp;A575)</f>
        <v/>
      </c>
    </row>
    <row r="576" customFormat="false" ht="15" hidden="false" customHeight="false" outlineLevel="0" collapsed="false">
      <c r="A576" s="33"/>
      <c r="B576" s="34"/>
      <c r="C576" s="34"/>
      <c r="D576" s="34"/>
      <c r="E576" s="34"/>
      <c r="F576" s="34"/>
      <c r="G576" s="7"/>
      <c r="H576" s="35"/>
      <c r="I576" s="35"/>
      <c r="J576" s="7"/>
      <c r="K576" s="35"/>
      <c r="L576" s="7"/>
      <c r="M576" s="21" t="str">
        <f aca="false">IF(C576="","",IFERROR(I576/H576,0))</f>
        <v/>
      </c>
      <c r="N576" s="9" t="str">
        <f aca="false">IF(C576="","",IFERROR(J576/I576,0))</f>
        <v/>
      </c>
      <c r="O576" s="21" t="str">
        <f aca="false">IF(C576="","",IFERROR(J576/L576,0))</f>
        <v/>
      </c>
      <c r="P576" s="22" t="str">
        <f aca="false">IF(C576="","",IFERROR(L576/J576,0))</f>
        <v/>
      </c>
      <c r="Q576" s="34"/>
      <c r="R576" s="4" t="str">
        <f aca="false">IF(C576="","",B576&amp;" | "&amp;C576&amp;" | "&amp;D576)</f>
        <v/>
      </c>
      <c r="S576" s="4" t="str">
        <f aca="false">IF(C576="","",R576&amp;"#"&amp;A576)</f>
        <v/>
      </c>
    </row>
    <row r="577" customFormat="false" ht="15" hidden="false" customHeight="false" outlineLevel="0" collapsed="false">
      <c r="A577" s="33"/>
      <c r="B577" s="34"/>
      <c r="C577" s="34"/>
      <c r="D577" s="34"/>
      <c r="E577" s="34"/>
      <c r="F577" s="34"/>
      <c r="G577" s="7"/>
      <c r="H577" s="35"/>
      <c r="I577" s="35"/>
      <c r="J577" s="7"/>
      <c r="K577" s="35"/>
      <c r="L577" s="7"/>
      <c r="M577" s="21" t="str">
        <f aca="false">IF(C577="","",IFERROR(I577/H577,0))</f>
        <v/>
      </c>
      <c r="N577" s="9" t="str">
        <f aca="false">IF(C577="","",IFERROR(J577/I577,0))</f>
        <v/>
      </c>
      <c r="O577" s="21" t="str">
        <f aca="false">IF(C577="","",IFERROR(J577/L577,0))</f>
        <v/>
      </c>
      <c r="P577" s="22" t="str">
        <f aca="false">IF(C577="","",IFERROR(L577/J577,0))</f>
        <v/>
      </c>
      <c r="Q577" s="34"/>
      <c r="R577" s="4" t="str">
        <f aca="false">IF(C577="","",B577&amp;" | "&amp;C577&amp;" | "&amp;D577)</f>
        <v/>
      </c>
      <c r="S577" s="4" t="str">
        <f aca="false">IF(C577="","",R577&amp;"#"&amp;A577)</f>
        <v/>
      </c>
    </row>
    <row r="578" customFormat="false" ht="15" hidden="false" customHeight="false" outlineLevel="0" collapsed="false">
      <c r="A578" s="33"/>
      <c r="B578" s="34"/>
      <c r="C578" s="34"/>
      <c r="D578" s="34"/>
      <c r="E578" s="34"/>
      <c r="F578" s="34"/>
      <c r="G578" s="7"/>
      <c r="H578" s="35"/>
      <c r="I578" s="35"/>
      <c r="J578" s="7"/>
      <c r="K578" s="35"/>
      <c r="L578" s="7"/>
      <c r="M578" s="21" t="str">
        <f aca="false">IF(C578="","",IFERROR(I578/H578,0))</f>
        <v/>
      </c>
      <c r="N578" s="9" t="str">
        <f aca="false">IF(C578="","",IFERROR(J578/I578,0))</f>
        <v/>
      </c>
      <c r="O578" s="21" t="str">
        <f aca="false">IF(C578="","",IFERROR(J578/L578,0))</f>
        <v/>
      </c>
      <c r="P578" s="22" t="str">
        <f aca="false">IF(C578="","",IFERROR(L578/J578,0))</f>
        <v/>
      </c>
      <c r="Q578" s="34"/>
      <c r="R578" s="4" t="str">
        <f aca="false">IF(C578="","",B578&amp;" | "&amp;C578&amp;" | "&amp;D578)</f>
        <v/>
      </c>
      <c r="S578" s="4" t="str">
        <f aca="false">IF(C578="","",R578&amp;"#"&amp;A578)</f>
        <v/>
      </c>
    </row>
    <row r="579" customFormat="false" ht="15" hidden="false" customHeight="false" outlineLevel="0" collapsed="false">
      <c r="A579" s="33"/>
      <c r="B579" s="34"/>
      <c r="C579" s="34"/>
      <c r="D579" s="34"/>
      <c r="E579" s="34"/>
      <c r="F579" s="34"/>
      <c r="G579" s="7"/>
      <c r="H579" s="35"/>
      <c r="I579" s="35"/>
      <c r="J579" s="7"/>
      <c r="K579" s="35"/>
      <c r="L579" s="7"/>
      <c r="M579" s="21" t="str">
        <f aca="false">IF(C579="","",IFERROR(I579/H579,0))</f>
        <v/>
      </c>
      <c r="N579" s="9" t="str">
        <f aca="false">IF(C579="","",IFERROR(J579/I579,0))</f>
        <v/>
      </c>
      <c r="O579" s="21" t="str">
        <f aca="false">IF(C579="","",IFERROR(J579/L579,0))</f>
        <v/>
      </c>
      <c r="P579" s="22" t="str">
        <f aca="false">IF(C579="","",IFERROR(L579/J579,0))</f>
        <v/>
      </c>
      <c r="Q579" s="34"/>
      <c r="R579" s="4" t="str">
        <f aca="false">IF(C579="","",B579&amp;" | "&amp;C579&amp;" | "&amp;D579)</f>
        <v/>
      </c>
      <c r="S579" s="4" t="str">
        <f aca="false">IF(C579="","",R579&amp;"#"&amp;A579)</f>
        <v/>
      </c>
    </row>
    <row r="580" customFormat="false" ht="15" hidden="false" customHeight="false" outlineLevel="0" collapsed="false">
      <c r="A580" s="33"/>
      <c r="B580" s="34"/>
      <c r="C580" s="34"/>
      <c r="D580" s="34"/>
      <c r="E580" s="34"/>
      <c r="F580" s="34"/>
      <c r="G580" s="7"/>
      <c r="H580" s="35"/>
      <c r="I580" s="35"/>
      <c r="J580" s="7"/>
      <c r="K580" s="35"/>
      <c r="L580" s="7"/>
      <c r="M580" s="21" t="str">
        <f aca="false">IF(C580="","",IFERROR(I580/H580,0))</f>
        <v/>
      </c>
      <c r="N580" s="9" t="str">
        <f aca="false">IF(C580="","",IFERROR(J580/I580,0))</f>
        <v/>
      </c>
      <c r="O580" s="21" t="str">
        <f aca="false">IF(C580="","",IFERROR(J580/L580,0))</f>
        <v/>
      </c>
      <c r="P580" s="22" t="str">
        <f aca="false">IF(C580="","",IFERROR(L580/J580,0))</f>
        <v/>
      </c>
      <c r="Q580" s="34"/>
      <c r="R580" s="4" t="str">
        <f aca="false">IF(C580="","",B580&amp;" | "&amp;C580&amp;" | "&amp;D580)</f>
        <v/>
      </c>
      <c r="S580" s="4" t="str">
        <f aca="false">IF(C580="","",R580&amp;"#"&amp;A580)</f>
        <v/>
      </c>
    </row>
    <row r="581" customFormat="false" ht="15" hidden="false" customHeight="false" outlineLevel="0" collapsed="false">
      <c r="A581" s="33"/>
      <c r="B581" s="34"/>
      <c r="C581" s="34"/>
      <c r="D581" s="34"/>
      <c r="E581" s="34"/>
      <c r="F581" s="34"/>
      <c r="G581" s="7"/>
      <c r="H581" s="35"/>
      <c r="I581" s="35"/>
      <c r="J581" s="7"/>
      <c r="K581" s="35"/>
      <c r="L581" s="7"/>
      <c r="M581" s="21" t="str">
        <f aca="false">IF(C581="","",IFERROR(I581/H581,0))</f>
        <v/>
      </c>
      <c r="N581" s="9" t="str">
        <f aca="false">IF(C581="","",IFERROR(J581/I581,0))</f>
        <v/>
      </c>
      <c r="O581" s="21" t="str">
        <f aca="false">IF(C581="","",IFERROR(J581/L581,0))</f>
        <v/>
      </c>
      <c r="P581" s="22" t="str">
        <f aca="false">IF(C581="","",IFERROR(L581/J581,0))</f>
        <v/>
      </c>
      <c r="Q581" s="34"/>
      <c r="R581" s="4" t="str">
        <f aca="false">IF(C581="","",B581&amp;" | "&amp;C581&amp;" | "&amp;D581)</f>
        <v/>
      </c>
      <c r="S581" s="4" t="str">
        <f aca="false">IF(C581="","",R581&amp;"#"&amp;A581)</f>
        <v/>
      </c>
    </row>
    <row r="582" customFormat="false" ht="15" hidden="false" customHeight="false" outlineLevel="0" collapsed="false">
      <c r="A582" s="33"/>
      <c r="B582" s="34"/>
      <c r="C582" s="34"/>
      <c r="D582" s="34"/>
      <c r="E582" s="34"/>
      <c r="F582" s="34"/>
      <c r="G582" s="7"/>
      <c r="H582" s="35"/>
      <c r="I582" s="35"/>
      <c r="J582" s="7"/>
      <c r="K582" s="35"/>
      <c r="L582" s="7"/>
      <c r="M582" s="21" t="str">
        <f aca="false">IF(C582="","",IFERROR(I582/H582,0))</f>
        <v/>
      </c>
      <c r="N582" s="9" t="str">
        <f aca="false">IF(C582="","",IFERROR(J582/I582,0))</f>
        <v/>
      </c>
      <c r="O582" s="21" t="str">
        <f aca="false">IF(C582="","",IFERROR(J582/L582,0))</f>
        <v/>
      </c>
      <c r="P582" s="22" t="str">
        <f aca="false">IF(C582="","",IFERROR(L582/J582,0))</f>
        <v/>
      </c>
      <c r="Q582" s="34"/>
      <c r="R582" s="4" t="str">
        <f aca="false">IF(C582="","",B582&amp;" | "&amp;C582&amp;" | "&amp;D582)</f>
        <v/>
      </c>
      <c r="S582" s="4" t="str">
        <f aca="false">IF(C582="","",R582&amp;"#"&amp;A582)</f>
        <v/>
      </c>
    </row>
    <row r="583" customFormat="false" ht="15" hidden="false" customHeight="false" outlineLevel="0" collapsed="false">
      <c r="A583" s="33"/>
      <c r="B583" s="34"/>
      <c r="C583" s="34"/>
      <c r="D583" s="34"/>
      <c r="E583" s="34"/>
      <c r="F583" s="34"/>
      <c r="G583" s="7"/>
      <c r="H583" s="35"/>
      <c r="I583" s="35"/>
      <c r="J583" s="7"/>
      <c r="K583" s="35"/>
      <c r="L583" s="7"/>
      <c r="M583" s="21" t="str">
        <f aca="false">IF(C583="","",IFERROR(I583/H583,0))</f>
        <v/>
      </c>
      <c r="N583" s="9" t="str">
        <f aca="false">IF(C583="","",IFERROR(J583/I583,0))</f>
        <v/>
      </c>
      <c r="O583" s="21" t="str">
        <f aca="false">IF(C583="","",IFERROR(J583/L583,0))</f>
        <v/>
      </c>
      <c r="P583" s="22" t="str">
        <f aca="false">IF(C583="","",IFERROR(L583/J583,0))</f>
        <v/>
      </c>
      <c r="Q583" s="34"/>
      <c r="R583" s="4" t="str">
        <f aca="false">IF(C583="","",B583&amp;" | "&amp;C583&amp;" | "&amp;D583)</f>
        <v/>
      </c>
      <c r="S583" s="4" t="str">
        <f aca="false">IF(C583="","",R583&amp;"#"&amp;A583)</f>
        <v/>
      </c>
    </row>
    <row r="584" customFormat="false" ht="15" hidden="false" customHeight="false" outlineLevel="0" collapsed="false">
      <c r="A584" s="33"/>
      <c r="B584" s="34"/>
      <c r="C584" s="34"/>
      <c r="D584" s="34"/>
      <c r="E584" s="34"/>
      <c r="F584" s="34"/>
      <c r="G584" s="7"/>
      <c r="H584" s="35"/>
      <c r="I584" s="35"/>
      <c r="J584" s="7"/>
      <c r="K584" s="35"/>
      <c r="L584" s="7"/>
      <c r="M584" s="21" t="str">
        <f aca="false">IF(C584="","",IFERROR(I584/H584,0))</f>
        <v/>
      </c>
      <c r="N584" s="9" t="str">
        <f aca="false">IF(C584="","",IFERROR(J584/I584,0))</f>
        <v/>
      </c>
      <c r="O584" s="21" t="str">
        <f aca="false">IF(C584="","",IFERROR(J584/L584,0))</f>
        <v/>
      </c>
      <c r="P584" s="22" t="str">
        <f aca="false">IF(C584="","",IFERROR(L584/J584,0))</f>
        <v/>
      </c>
      <c r="Q584" s="34"/>
      <c r="R584" s="4" t="str">
        <f aca="false">IF(C584="","",B584&amp;" | "&amp;C584&amp;" | "&amp;D584)</f>
        <v/>
      </c>
      <c r="S584" s="4" t="str">
        <f aca="false">IF(C584="","",R584&amp;"#"&amp;A584)</f>
        <v/>
      </c>
    </row>
    <row r="585" customFormat="false" ht="15" hidden="false" customHeight="false" outlineLevel="0" collapsed="false">
      <c r="A585" s="33"/>
      <c r="B585" s="34"/>
      <c r="C585" s="34"/>
      <c r="D585" s="34"/>
      <c r="E585" s="34"/>
      <c r="F585" s="34"/>
      <c r="G585" s="7"/>
      <c r="H585" s="35"/>
      <c r="I585" s="35"/>
      <c r="J585" s="7"/>
      <c r="K585" s="35"/>
      <c r="L585" s="7"/>
      <c r="M585" s="21" t="str">
        <f aca="false">IF(C585="","",IFERROR(I585/H585,0))</f>
        <v/>
      </c>
      <c r="N585" s="9" t="str">
        <f aca="false">IF(C585="","",IFERROR(J585/I585,0))</f>
        <v/>
      </c>
      <c r="O585" s="21" t="str">
        <f aca="false">IF(C585="","",IFERROR(J585/L585,0))</f>
        <v/>
      </c>
      <c r="P585" s="22" t="str">
        <f aca="false">IF(C585="","",IFERROR(L585/J585,0))</f>
        <v/>
      </c>
      <c r="Q585" s="34"/>
      <c r="R585" s="4" t="str">
        <f aca="false">IF(C585="","",B585&amp;" | "&amp;C585&amp;" | "&amp;D585)</f>
        <v/>
      </c>
      <c r="S585" s="4" t="str">
        <f aca="false">IF(C585="","",R585&amp;"#"&amp;A585)</f>
        <v/>
      </c>
    </row>
    <row r="586" customFormat="false" ht="15" hidden="false" customHeight="false" outlineLevel="0" collapsed="false">
      <c r="A586" s="33"/>
      <c r="B586" s="34"/>
      <c r="C586" s="34"/>
      <c r="D586" s="34"/>
      <c r="E586" s="34"/>
      <c r="F586" s="34"/>
      <c r="G586" s="7"/>
      <c r="H586" s="35"/>
      <c r="I586" s="35"/>
      <c r="J586" s="7"/>
      <c r="K586" s="35"/>
      <c r="L586" s="7"/>
      <c r="M586" s="21" t="str">
        <f aca="false">IF(C586="","",IFERROR(I586/H586,0))</f>
        <v/>
      </c>
      <c r="N586" s="9" t="str">
        <f aca="false">IF(C586="","",IFERROR(J586/I586,0))</f>
        <v/>
      </c>
      <c r="O586" s="21" t="str">
        <f aca="false">IF(C586="","",IFERROR(J586/L586,0))</f>
        <v/>
      </c>
      <c r="P586" s="22" t="str">
        <f aca="false">IF(C586="","",IFERROR(L586/J586,0))</f>
        <v/>
      </c>
      <c r="Q586" s="34"/>
      <c r="R586" s="4" t="str">
        <f aca="false">IF(C586="","",B586&amp;" | "&amp;C586&amp;" | "&amp;D586)</f>
        <v/>
      </c>
      <c r="S586" s="4" t="str">
        <f aca="false">IF(C586="","",R586&amp;"#"&amp;A586)</f>
        <v/>
      </c>
    </row>
    <row r="587" customFormat="false" ht="15" hidden="false" customHeight="false" outlineLevel="0" collapsed="false">
      <c r="A587" s="33"/>
      <c r="B587" s="34"/>
      <c r="C587" s="34"/>
      <c r="D587" s="34"/>
      <c r="E587" s="34"/>
      <c r="F587" s="34"/>
      <c r="G587" s="7"/>
      <c r="H587" s="35"/>
      <c r="I587" s="35"/>
      <c r="J587" s="7"/>
      <c r="K587" s="35"/>
      <c r="L587" s="7"/>
      <c r="M587" s="21" t="str">
        <f aca="false">IF(C587="","",IFERROR(I587/H587,0))</f>
        <v/>
      </c>
      <c r="N587" s="9" t="str">
        <f aca="false">IF(C587="","",IFERROR(J587/I587,0))</f>
        <v/>
      </c>
      <c r="O587" s="21" t="str">
        <f aca="false">IF(C587="","",IFERROR(J587/L587,0))</f>
        <v/>
      </c>
      <c r="P587" s="22" t="str">
        <f aca="false">IF(C587="","",IFERROR(L587/J587,0))</f>
        <v/>
      </c>
      <c r="Q587" s="34"/>
      <c r="R587" s="4" t="str">
        <f aca="false">IF(C587="","",B587&amp;" | "&amp;C587&amp;" | "&amp;D587)</f>
        <v/>
      </c>
      <c r="S587" s="4" t="str">
        <f aca="false">IF(C587="","",R587&amp;"#"&amp;A587)</f>
        <v/>
      </c>
    </row>
    <row r="588" customFormat="false" ht="15" hidden="false" customHeight="false" outlineLevel="0" collapsed="false">
      <c r="A588" s="33"/>
      <c r="B588" s="34"/>
      <c r="C588" s="34"/>
      <c r="D588" s="34"/>
      <c r="E588" s="34"/>
      <c r="F588" s="34"/>
      <c r="G588" s="7"/>
      <c r="H588" s="35"/>
      <c r="I588" s="35"/>
      <c r="J588" s="7"/>
      <c r="K588" s="35"/>
      <c r="L588" s="7"/>
      <c r="M588" s="21" t="str">
        <f aca="false">IF(C588="","",IFERROR(I588/H588,0))</f>
        <v/>
      </c>
      <c r="N588" s="9" t="str">
        <f aca="false">IF(C588="","",IFERROR(J588/I588,0))</f>
        <v/>
      </c>
      <c r="O588" s="21" t="str">
        <f aca="false">IF(C588="","",IFERROR(J588/L588,0))</f>
        <v/>
      </c>
      <c r="P588" s="22" t="str">
        <f aca="false">IF(C588="","",IFERROR(L588/J588,0))</f>
        <v/>
      </c>
      <c r="Q588" s="34"/>
      <c r="R588" s="4" t="str">
        <f aca="false">IF(C588="","",B588&amp;" | "&amp;C588&amp;" | "&amp;D588)</f>
        <v/>
      </c>
      <c r="S588" s="4" t="str">
        <f aca="false">IF(C588="","",R588&amp;"#"&amp;A588)</f>
        <v/>
      </c>
    </row>
    <row r="589" customFormat="false" ht="15" hidden="false" customHeight="false" outlineLevel="0" collapsed="false">
      <c r="A589" s="33"/>
      <c r="B589" s="34"/>
      <c r="C589" s="34"/>
      <c r="D589" s="34"/>
      <c r="E589" s="34"/>
      <c r="F589" s="34"/>
      <c r="G589" s="7"/>
      <c r="H589" s="35"/>
      <c r="I589" s="35"/>
      <c r="J589" s="7"/>
      <c r="K589" s="35"/>
      <c r="L589" s="7"/>
      <c r="M589" s="21" t="str">
        <f aca="false">IF(C589="","",IFERROR(I589/H589,0))</f>
        <v/>
      </c>
      <c r="N589" s="9" t="str">
        <f aca="false">IF(C589="","",IFERROR(J589/I589,0))</f>
        <v/>
      </c>
      <c r="O589" s="21" t="str">
        <f aca="false">IF(C589="","",IFERROR(J589/L589,0))</f>
        <v/>
      </c>
      <c r="P589" s="22" t="str">
        <f aca="false">IF(C589="","",IFERROR(L589/J589,0))</f>
        <v/>
      </c>
      <c r="Q589" s="34"/>
      <c r="R589" s="4" t="str">
        <f aca="false">IF(C589="","",B589&amp;" | "&amp;C589&amp;" | "&amp;D589)</f>
        <v/>
      </c>
      <c r="S589" s="4" t="str">
        <f aca="false">IF(C589="","",R589&amp;"#"&amp;A589)</f>
        <v/>
      </c>
    </row>
    <row r="590" customFormat="false" ht="15" hidden="false" customHeight="false" outlineLevel="0" collapsed="false">
      <c r="A590" s="33"/>
      <c r="B590" s="34"/>
      <c r="C590" s="34"/>
      <c r="D590" s="34"/>
      <c r="E590" s="34"/>
      <c r="F590" s="34"/>
      <c r="G590" s="7"/>
      <c r="H590" s="35"/>
      <c r="I590" s="35"/>
      <c r="J590" s="7"/>
      <c r="K590" s="35"/>
      <c r="L590" s="7"/>
      <c r="M590" s="21" t="str">
        <f aca="false">IF(C590="","",IFERROR(I590/H590,0))</f>
        <v/>
      </c>
      <c r="N590" s="9" t="str">
        <f aca="false">IF(C590="","",IFERROR(J590/I590,0))</f>
        <v/>
      </c>
      <c r="O590" s="21" t="str">
        <f aca="false">IF(C590="","",IFERROR(J590/L590,0))</f>
        <v/>
      </c>
      <c r="P590" s="22" t="str">
        <f aca="false">IF(C590="","",IFERROR(L590/J590,0))</f>
        <v/>
      </c>
      <c r="Q590" s="34"/>
      <c r="R590" s="4" t="str">
        <f aca="false">IF(C590="","",B590&amp;" | "&amp;C590&amp;" | "&amp;D590)</f>
        <v/>
      </c>
      <c r="S590" s="4" t="str">
        <f aca="false">IF(C590="","",R590&amp;"#"&amp;A590)</f>
        <v/>
      </c>
    </row>
    <row r="591" customFormat="false" ht="15" hidden="false" customHeight="false" outlineLevel="0" collapsed="false">
      <c r="A591" s="33"/>
      <c r="B591" s="34"/>
      <c r="C591" s="34"/>
      <c r="D591" s="34"/>
      <c r="E591" s="34"/>
      <c r="F591" s="34"/>
      <c r="G591" s="7"/>
      <c r="H591" s="35"/>
      <c r="I591" s="35"/>
      <c r="J591" s="7"/>
      <c r="K591" s="35"/>
      <c r="L591" s="7"/>
      <c r="M591" s="21" t="str">
        <f aca="false">IF(C591="","",IFERROR(I591/H591,0))</f>
        <v/>
      </c>
      <c r="N591" s="9" t="str">
        <f aca="false">IF(C591="","",IFERROR(J591/I591,0))</f>
        <v/>
      </c>
      <c r="O591" s="21" t="str">
        <f aca="false">IF(C591="","",IFERROR(J591/L591,0))</f>
        <v/>
      </c>
      <c r="P591" s="22" t="str">
        <f aca="false">IF(C591="","",IFERROR(L591/J591,0))</f>
        <v/>
      </c>
      <c r="Q591" s="34"/>
      <c r="R591" s="4" t="str">
        <f aca="false">IF(C591="","",B591&amp;" | "&amp;C591&amp;" | "&amp;D591)</f>
        <v/>
      </c>
      <c r="S591" s="4" t="str">
        <f aca="false">IF(C591="","",R591&amp;"#"&amp;A591)</f>
        <v/>
      </c>
    </row>
    <row r="592" customFormat="false" ht="15" hidden="false" customHeight="false" outlineLevel="0" collapsed="false">
      <c r="A592" s="33"/>
      <c r="B592" s="34"/>
      <c r="C592" s="34"/>
      <c r="D592" s="34"/>
      <c r="E592" s="34"/>
      <c r="F592" s="34"/>
      <c r="G592" s="7"/>
      <c r="H592" s="35"/>
      <c r="I592" s="35"/>
      <c r="J592" s="7"/>
      <c r="K592" s="35"/>
      <c r="L592" s="7"/>
      <c r="M592" s="21" t="str">
        <f aca="false">IF(C592="","",IFERROR(I592/H592,0))</f>
        <v/>
      </c>
      <c r="N592" s="9" t="str">
        <f aca="false">IF(C592="","",IFERROR(J592/I592,0))</f>
        <v/>
      </c>
      <c r="O592" s="21" t="str">
        <f aca="false">IF(C592="","",IFERROR(J592/L592,0))</f>
        <v/>
      </c>
      <c r="P592" s="22" t="str">
        <f aca="false">IF(C592="","",IFERROR(L592/J592,0))</f>
        <v/>
      </c>
      <c r="Q592" s="34"/>
      <c r="R592" s="4" t="str">
        <f aca="false">IF(C592="","",B592&amp;" | "&amp;C592&amp;" | "&amp;D592)</f>
        <v/>
      </c>
      <c r="S592" s="4" t="str">
        <f aca="false">IF(C592="","",R592&amp;"#"&amp;A592)</f>
        <v/>
      </c>
    </row>
    <row r="593" customFormat="false" ht="15" hidden="false" customHeight="false" outlineLevel="0" collapsed="false">
      <c r="A593" s="33"/>
      <c r="B593" s="34"/>
      <c r="C593" s="34"/>
      <c r="D593" s="34"/>
      <c r="E593" s="34"/>
      <c r="F593" s="34"/>
      <c r="G593" s="7"/>
      <c r="H593" s="35"/>
      <c r="I593" s="35"/>
      <c r="J593" s="7"/>
      <c r="K593" s="35"/>
      <c r="L593" s="7"/>
      <c r="M593" s="21" t="str">
        <f aca="false">IF(C593="","",IFERROR(I593/H593,0))</f>
        <v/>
      </c>
      <c r="N593" s="9" t="str">
        <f aca="false">IF(C593="","",IFERROR(J593/I593,0))</f>
        <v/>
      </c>
      <c r="O593" s="21" t="str">
        <f aca="false">IF(C593="","",IFERROR(J593/L593,0))</f>
        <v/>
      </c>
      <c r="P593" s="22" t="str">
        <f aca="false">IF(C593="","",IFERROR(L593/J593,0))</f>
        <v/>
      </c>
      <c r="Q593" s="34"/>
      <c r="R593" s="4" t="str">
        <f aca="false">IF(C593="","",B593&amp;" | "&amp;C593&amp;" | "&amp;D593)</f>
        <v/>
      </c>
      <c r="S593" s="4" t="str">
        <f aca="false">IF(C593="","",R593&amp;"#"&amp;A593)</f>
        <v/>
      </c>
    </row>
    <row r="594" customFormat="false" ht="15" hidden="false" customHeight="false" outlineLevel="0" collapsed="false">
      <c r="A594" s="33"/>
      <c r="B594" s="34"/>
      <c r="C594" s="34"/>
      <c r="D594" s="34"/>
      <c r="E594" s="34"/>
      <c r="F594" s="34"/>
      <c r="G594" s="7"/>
      <c r="H594" s="35"/>
      <c r="I594" s="35"/>
      <c r="J594" s="7"/>
      <c r="K594" s="35"/>
      <c r="L594" s="7"/>
      <c r="M594" s="21" t="str">
        <f aca="false">IF(C594="","",IFERROR(I594/H594,0))</f>
        <v/>
      </c>
      <c r="N594" s="9" t="str">
        <f aca="false">IF(C594="","",IFERROR(J594/I594,0))</f>
        <v/>
      </c>
      <c r="O594" s="21" t="str">
        <f aca="false">IF(C594="","",IFERROR(J594/L594,0))</f>
        <v/>
      </c>
      <c r="P594" s="22" t="str">
        <f aca="false">IF(C594="","",IFERROR(L594/J594,0))</f>
        <v/>
      </c>
      <c r="Q594" s="34"/>
      <c r="R594" s="4" t="str">
        <f aca="false">IF(C594="","",B594&amp;" | "&amp;C594&amp;" | "&amp;D594)</f>
        <v/>
      </c>
      <c r="S594" s="4" t="str">
        <f aca="false">IF(C594="","",R594&amp;"#"&amp;A594)</f>
        <v/>
      </c>
    </row>
    <row r="595" customFormat="false" ht="15" hidden="false" customHeight="false" outlineLevel="0" collapsed="false">
      <c r="A595" s="33"/>
      <c r="B595" s="34"/>
      <c r="C595" s="34"/>
      <c r="D595" s="34"/>
      <c r="E595" s="34"/>
      <c r="F595" s="34"/>
      <c r="G595" s="7"/>
      <c r="H595" s="35"/>
      <c r="I595" s="35"/>
      <c r="J595" s="7"/>
      <c r="K595" s="35"/>
      <c r="L595" s="7"/>
      <c r="M595" s="21" t="str">
        <f aca="false">IF(C595="","",IFERROR(I595/H595,0))</f>
        <v/>
      </c>
      <c r="N595" s="9" t="str">
        <f aca="false">IF(C595="","",IFERROR(J595/I595,0))</f>
        <v/>
      </c>
      <c r="O595" s="21" t="str">
        <f aca="false">IF(C595="","",IFERROR(J595/L595,0))</f>
        <v/>
      </c>
      <c r="P595" s="22" t="str">
        <f aca="false">IF(C595="","",IFERROR(L595/J595,0))</f>
        <v/>
      </c>
      <c r="Q595" s="34"/>
      <c r="R595" s="4" t="str">
        <f aca="false">IF(C595="","",B595&amp;" | "&amp;C595&amp;" | "&amp;D595)</f>
        <v/>
      </c>
      <c r="S595" s="4" t="str">
        <f aca="false">IF(C595="","",R595&amp;"#"&amp;A595)</f>
        <v/>
      </c>
    </row>
    <row r="596" customFormat="false" ht="15" hidden="false" customHeight="false" outlineLevel="0" collapsed="false">
      <c r="A596" s="33"/>
      <c r="B596" s="34"/>
      <c r="C596" s="34"/>
      <c r="D596" s="34"/>
      <c r="E596" s="34"/>
      <c r="F596" s="34"/>
      <c r="G596" s="7"/>
      <c r="H596" s="35"/>
      <c r="I596" s="35"/>
      <c r="J596" s="7"/>
      <c r="K596" s="35"/>
      <c r="L596" s="7"/>
      <c r="M596" s="21" t="str">
        <f aca="false">IF(C596="","",IFERROR(I596/H596,0))</f>
        <v/>
      </c>
      <c r="N596" s="9" t="str">
        <f aca="false">IF(C596="","",IFERROR(J596/I596,0))</f>
        <v/>
      </c>
      <c r="O596" s="21" t="str">
        <f aca="false">IF(C596="","",IFERROR(J596/L596,0))</f>
        <v/>
      </c>
      <c r="P596" s="22" t="str">
        <f aca="false">IF(C596="","",IFERROR(L596/J596,0))</f>
        <v/>
      </c>
      <c r="Q596" s="34"/>
      <c r="R596" s="4" t="str">
        <f aca="false">IF(C596="","",B596&amp;" | "&amp;C596&amp;" | "&amp;D596)</f>
        <v/>
      </c>
      <c r="S596" s="4" t="str">
        <f aca="false">IF(C596="","",R596&amp;"#"&amp;A596)</f>
        <v/>
      </c>
    </row>
    <row r="597" customFormat="false" ht="15" hidden="false" customHeight="false" outlineLevel="0" collapsed="false">
      <c r="A597" s="33"/>
      <c r="B597" s="34"/>
      <c r="C597" s="34"/>
      <c r="D597" s="34"/>
      <c r="E597" s="34"/>
      <c r="F597" s="34"/>
      <c r="G597" s="7"/>
      <c r="H597" s="35"/>
      <c r="I597" s="35"/>
      <c r="J597" s="7"/>
      <c r="K597" s="35"/>
      <c r="L597" s="7"/>
      <c r="M597" s="21" t="str">
        <f aca="false">IF(C597="","",IFERROR(I597/H597,0))</f>
        <v/>
      </c>
      <c r="N597" s="9" t="str">
        <f aca="false">IF(C597="","",IFERROR(J597/I597,0))</f>
        <v/>
      </c>
      <c r="O597" s="21" t="str">
        <f aca="false">IF(C597="","",IFERROR(J597/L597,0))</f>
        <v/>
      </c>
      <c r="P597" s="22" t="str">
        <f aca="false">IF(C597="","",IFERROR(L597/J597,0))</f>
        <v/>
      </c>
      <c r="Q597" s="34"/>
      <c r="R597" s="4" t="str">
        <f aca="false">IF(C597="","",B597&amp;" | "&amp;C597&amp;" | "&amp;D597)</f>
        <v/>
      </c>
      <c r="S597" s="4" t="str">
        <f aca="false">IF(C597="","",R597&amp;"#"&amp;A597)</f>
        <v/>
      </c>
    </row>
    <row r="598" customFormat="false" ht="15" hidden="false" customHeight="false" outlineLevel="0" collapsed="false">
      <c r="A598" s="33"/>
      <c r="B598" s="34"/>
      <c r="C598" s="34"/>
      <c r="D598" s="34"/>
      <c r="E598" s="34"/>
      <c r="F598" s="34"/>
      <c r="G598" s="7"/>
      <c r="H598" s="35"/>
      <c r="I598" s="35"/>
      <c r="J598" s="7"/>
      <c r="K598" s="35"/>
      <c r="L598" s="7"/>
      <c r="M598" s="21" t="str">
        <f aca="false">IF(C598="","",IFERROR(I598/H598,0))</f>
        <v/>
      </c>
      <c r="N598" s="9" t="str">
        <f aca="false">IF(C598="","",IFERROR(J598/I598,0))</f>
        <v/>
      </c>
      <c r="O598" s="21" t="str">
        <f aca="false">IF(C598="","",IFERROR(J598/L598,0))</f>
        <v/>
      </c>
      <c r="P598" s="22" t="str">
        <f aca="false">IF(C598="","",IFERROR(L598/J598,0))</f>
        <v/>
      </c>
      <c r="Q598" s="34"/>
      <c r="R598" s="4" t="str">
        <f aca="false">IF(C598="","",B598&amp;" | "&amp;C598&amp;" | "&amp;D598)</f>
        <v/>
      </c>
      <c r="S598" s="4" t="str">
        <f aca="false">IF(C598="","",R598&amp;"#"&amp;A598)</f>
        <v/>
      </c>
    </row>
    <row r="599" customFormat="false" ht="15" hidden="false" customHeight="false" outlineLevel="0" collapsed="false">
      <c r="A599" s="33"/>
      <c r="B599" s="34"/>
      <c r="C599" s="34"/>
      <c r="D599" s="34"/>
      <c r="E599" s="34"/>
      <c r="F599" s="34"/>
      <c r="G599" s="7"/>
      <c r="H599" s="35"/>
      <c r="I599" s="35"/>
      <c r="J599" s="7"/>
      <c r="K599" s="35"/>
      <c r="L599" s="7"/>
      <c r="M599" s="21" t="str">
        <f aca="false">IF(C599="","",IFERROR(I599/H599,0))</f>
        <v/>
      </c>
      <c r="N599" s="9" t="str">
        <f aca="false">IF(C599="","",IFERROR(J599/I599,0))</f>
        <v/>
      </c>
      <c r="O599" s="21" t="str">
        <f aca="false">IF(C599="","",IFERROR(J599/L599,0))</f>
        <v/>
      </c>
      <c r="P599" s="22" t="str">
        <f aca="false">IF(C599="","",IFERROR(L599/J599,0))</f>
        <v/>
      </c>
      <c r="Q599" s="34"/>
      <c r="R599" s="4" t="str">
        <f aca="false">IF(C599="","",B599&amp;" | "&amp;C599&amp;" | "&amp;D599)</f>
        <v/>
      </c>
      <c r="S599" s="4" t="str">
        <f aca="false">IF(C599="","",R599&amp;"#"&amp;A599)</f>
        <v/>
      </c>
    </row>
    <row r="600" customFormat="false" ht="15" hidden="false" customHeight="false" outlineLevel="0" collapsed="false">
      <c r="A600" s="33"/>
      <c r="B600" s="34"/>
      <c r="C600" s="34"/>
      <c r="D600" s="34"/>
      <c r="E600" s="34"/>
      <c r="F600" s="34"/>
      <c r="G600" s="7"/>
      <c r="H600" s="35"/>
      <c r="I600" s="35"/>
      <c r="J600" s="7"/>
      <c r="K600" s="35"/>
      <c r="L600" s="7"/>
      <c r="M600" s="21" t="str">
        <f aca="false">IF(C600="","",IFERROR(I600/H600,0))</f>
        <v/>
      </c>
      <c r="N600" s="9" t="str">
        <f aca="false">IF(C600="","",IFERROR(J600/I600,0))</f>
        <v/>
      </c>
      <c r="O600" s="21" t="str">
        <f aca="false">IF(C600="","",IFERROR(J600/L600,0))</f>
        <v/>
      </c>
      <c r="P600" s="22" t="str">
        <f aca="false">IF(C600="","",IFERROR(L600/J600,0))</f>
        <v/>
      </c>
      <c r="Q600" s="34"/>
      <c r="R600" s="4" t="str">
        <f aca="false">IF(C600="","",B600&amp;" | "&amp;C600&amp;" | "&amp;D600)</f>
        <v/>
      </c>
      <c r="S600" s="4" t="str">
        <f aca="false">IF(C600="","",R600&amp;"#"&amp;A600)</f>
        <v/>
      </c>
    </row>
    <row r="601" customFormat="false" ht="15" hidden="false" customHeight="false" outlineLevel="0" collapsed="false">
      <c r="A601" s="33"/>
      <c r="B601" s="34"/>
      <c r="C601" s="34"/>
      <c r="D601" s="34"/>
      <c r="E601" s="34"/>
      <c r="F601" s="34"/>
      <c r="G601" s="7"/>
      <c r="H601" s="35"/>
      <c r="I601" s="35"/>
      <c r="J601" s="7"/>
      <c r="K601" s="35"/>
      <c r="L601" s="7"/>
      <c r="M601" s="21" t="str">
        <f aca="false">IF(C601="","",IFERROR(I601/H601,0))</f>
        <v/>
      </c>
      <c r="N601" s="9" t="str">
        <f aca="false">IF(C601="","",IFERROR(J601/I601,0))</f>
        <v/>
      </c>
      <c r="O601" s="21" t="str">
        <f aca="false">IF(C601="","",IFERROR(J601/L601,0))</f>
        <v/>
      </c>
      <c r="P601" s="22" t="str">
        <f aca="false">IF(C601="","",IFERROR(L601/J601,0))</f>
        <v/>
      </c>
      <c r="Q601" s="34"/>
      <c r="R601" s="4" t="str">
        <f aca="false">IF(C601="","",B601&amp;" | "&amp;C601&amp;" | "&amp;D601)</f>
        <v/>
      </c>
      <c r="S601" s="4" t="str">
        <f aca="false">IF(C601="","",R601&amp;"#"&amp;A601)</f>
        <v/>
      </c>
    </row>
    <row r="602" customFormat="false" ht="15" hidden="false" customHeight="false" outlineLevel="0" collapsed="false">
      <c r="A602" s="33"/>
      <c r="B602" s="34"/>
      <c r="C602" s="34"/>
      <c r="D602" s="34"/>
      <c r="E602" s="34"/>
      <c r="F602" s="34"/>
      <c r="G602" s="7"/>
      <c r="H602" s="35"/>
      <c r="I602" s="35"/>
      <c r="J602" s="7"/>
      <c r="K602" s="35"/>
      <c r="L602" s="7"/>
      <c r="M602" s="21" t="str">
        <f aca="false">IF(C602="","",IFERROR(I602/H602,0))</f>
        <v/>
      </c>
      <c r="N602" s="9" t="str">
        <f aca="false">IF(C602="","",IFERROR(J602/I602,0))</f>
        <v/>
      </c>
      <c r="O602" s="21" t="str">
        <f aca="false">IF(C602="","",IFERROR(J602/L602,0))</f>
        <v/>
      </c>
      <c r="P602" s="22" t="str">
        <f aca="false">IF(C602="","",IFERROR(L602/J602,0))</f>
        <v/>
      </c>
      <c r="Q602" s="34"/>
      <c r="R602" s="4" t="str">
        <f aca="false">IF(C602="","",B602&amp;" | "&amp;C602&amp;" | "&amp;D602)</f>
        <v/>
      </c>
      <c r="S602" s="4" t="str">
        <f aca="false">IF(C602="","",R602&amp;"#"&amp;A602)</f>
        <v/>
      </c>
    </row>
    <row r="603" customFormat="false" ht="15" hidden="false" customHeight="false" outlineLevel="0" collapsed="false">
      <c r="A603" s="33"/>
      <c r="B603" s="34"/>
      <c r="C603" s="34"/>
      <c r="D603" s="34"/>
      <c r="E603" s="34"/>
      <c r="F603" s="34"/>
      <c r="G603" s="7"/>
      <c r="H603" s="35"/>
      <c r="I603" s="35"/>
      <c r="J603" s="7"/>
      <c r="K603" s="35"/>
      <c r="L603" s="7"/>
      <c r="M603" s="21" t="str">
        <f aca="false">IF(C603="","",IFERROR(I603/H603,0))</f>
        <v/>
      </c>
      <c r="N603" s="9" t="str">
        <f aca="false">IF(C603="","",IFERROR(J603/I603,0))</f>
        <v/>
      </c>
      <c r="O603" s="21" t="str">
        <f aca="false">IF(C603="","",IFERROR(J603/L603,0))</f>
        <v/>
      </c>
      <c r="P603" s="22" t="str">
        <f aca="false">IF(C603="","",IFERROR(L603/J603,0))</f>
        <v/>
      </c>
      <c r="Q603" s="34"/>
      <c r="R603" s="4" t="str">
        <f aca="false">IF(C603="","",B603&amp;" | "&amp;C603&amp;" | "&amp;D603)</f>
        <v/>
      </c>
      <c r="S603" s="4" t="str">
        <f aca="false">IF(C603="","",R603&amp;"#"&amp;A603)</f>
        <v/>
      </c>
    </row>
  </sheetData>
  <dataValidations count="3">
    <dataValidation allowBlank="true" errorStyle="stop" operator="between" showDropDown="false" showErrorMessage="false" showInputMessage="false" sqref="B4:B603" type="list">
      <formula1>Campañas!$A$4:$A$4</formula1>
      <formula2>0</formula2>
    </dataValidation>
    <dataValidation allowBlank="true" errorStyle="stop" operator="between" showDropDown="false" showErrorMessage="false" showInputMessage="false" sqref="D4:D603" type="list">
      <formula1>"Amplia,Frase,Exacta,Producto,Categoría"</formula1>
      <formula2>0</formula2>
    </dataValidation>
    <dataValidation allowBlank="true" errorStyle="stop" operator="between" showDropDown="false" showErrorMessage="false" showInputMessage="false" sqref="E4:E603" type="list">
      <formula1>"Activado,En pausa,Archivado"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9"/>
    <col collapsed="false" customWidth="true" hidden="false" outlineLevel="0" max="10" min="10" style="0" width="60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5" min="14" style="0" width="11"/>
    <col collapsed="false" customWidth="true" hidden="false" outlineLevel="0" max="19" min="16" style="0" width="9"/>
    <col collapsed="false" customWidth="true" hidden="false" outlineLevel="0" max="24" min="20" style="0" width="10"/>
    <col collapsed="false" customWidth="true" hidden="false" outlineLevel="0" max="25" min="25" style="0" width="28"/>
    <col collapsed="false" customWidth="true" hidden="false" outlineLevel="0" max="26" min="26" style="0" width="14"/>
    <col collapsed="false" customWidth="true" hidden="false" outlineLevel="0" max="27" min="27" style="0" width="26"/>
  </cols>
  <sheetData>
    <row r="1" customFormat="false" ht="15" hidden="false" customHeight="false" outlineLevel="0" collapsed="false">
      <c r="A1" s="3" t="s">
        <v>120</v>
      </c>
    </row>
    <row r="3" customFormat="false" ht="42" hidden="false" customHeight="true" outlineLevel="0" collapsed="false">
      <c r="A3" s="16" t="s">
        <v>58</v>
      </c>
      <c r="B3" s="16" t="s">
        <v>121</v>
      </c>
      <c r="C3" s="16" t="s">
        <v>45</v>
      </c>
      <c r="D3" s="16" t="s">
        <v>122</v>
      </c>
      <c r="E3" s="16" t="s">
        <v>69</v>
      </c>
      <c r="F3" s="16" t="s">
        <v>70</v>
      </c>
      <c r="G3" s="16" t="s">
        <v>123</v>
      </c>
      <c r="H3" s="16" t="s">
        <v>124</v>
      </c>
      <c r="I3" s="16" t="s">
        <v>125</v>
      </c>
      <c r="J3" s="16" t="s">
        <v>126</v>
      </c>
      <c r="K3" s="16" t="s">
        <v>127</v>
      </c>
      <c r="L3" s="16" t="s">
        <v>128</v>
      </c>
      <c r="M3" s="16" t="s">
        <v>129</v>
      </c>
      <c r="N3" s="16" t="s">
        <v>130</v>
      </c>
      <c r="O3" s="16" t="s">
        <v>131</v>
      </c>
      <c r="P3" s="16" t="s">
        <v>132</v>
      </c>
      <c r="Q3" s="16" t="s">
        <v>133</v>
      </c>
      <c r="R3" s="16" t="s">
        <v>134</v>
      </c>
      <c r="S3" s="16" t="s">
        <v>135</v>
      </c>
      <c r="T3" s="16" t="s">
        <v>136</v>
      </c>
      <c r="U3" s="16" t="s">
        <v>137</v>
      </c>
      <c r="V3" s="16" t="s">
        <v>138</v>
      </c>
      <c r="W3" s="16" t="s">
        <v>139</v>
      </c>
      <c r="X3" s="16" t="s">
        <v>140</v>
      </c>
      <c r="Y3" s="16" t="s">
        <v>141</v>
      </c>
      <c r="Z3" s="16" t="s">
        <v>142</v>
      </c>
      <c r="AA3" s="16" t="s">
        <v>143</v>
      </c>
    </row>
    <row r="4" customFormat="false" ht="48" hidden="false" customHeight="true" outlineLevel="0" collapsed="false">
      <c r="A4" s="36" t="s">
        <v>144</v>
      </c>
      <c r="B4" s="37" t="n">
        <v>46291</v>
      </c>
      <c r="C4" s="36" t="s">
        <v>145</v>
      </c>
      <c r="D4" s="36" t="s">
        <v>146</v>
      </c>
      <c r="E4" s="6"/>
      <c r="F4" s="36"/>
      <c r="G4" s="38"/>
      <c r="H4" s="38" t="n">
        <v>840</v>
      </c>
      <c r="I4" s="39" t="str">
        <f aca="false">IF(OR(G4="",H4="",G4=0),"",H4/G4-1)</f>
        <v/>
      </c>
      <c r="J4" s="6" t="s">
        <v>147</v>
      </c>
      <c r="K4" s="39"/>
      <c r="L4" s="36"/>
      <c r="M4" s="40" t="s">
        <v>148</v>
      </c>
      <c r="N4" s="41"/>
      <c r="O4" s="37" t="str">
        <f aca="false">IF(N4="","",N4+Leyenda!$B$15)</f>
        <v/>
      </c>
      <c r="P4" s="42" t="n">
        <v>0</v>
      </c>
      <c r="Q4" s="38" t="n">
        <v>0</v>
      </c>
      <c r="R4" s="42" t="n">
        <v>0</v>
      </c>
      <c r="S4" s="38" t="n">
        <v>0</v>
      </c>
      <c r="T4" s="42" t="str">
        <f aca="false">IF(OR(E4="",N4=""),"",IFERROR(INDEX(Segmentación!$G$4:$G$13,MATCH(C4&amp;" | "&amp;E4&amp;" | "&amp;F4,Segmentación!$X$4:$X$13,0))-P4,""))</f>
        <v/>
      </c>
      <c r="U4" s="38" t="str">
        <f aca="false">IF(OR(E4="",N4=""),"",IFERROR(INDEX(Segmentación!$I$4:$I$13,MATCH(C4&amp;" | "&amp;E4&amp;" | "&amp;F4,Segmentación!$X$4:$X$13,0))-Q4,""))</f>
        <v/>
      </c>
      <c r="V4" s="42" t="str">
        <f aca="false">IF(OR(E4="",N4=""),"",IFERROR(INDEX(Segmentación!$K$4:$K$13,MATCH(C4&amp;" | "&amp;E4&amp;" | "&amp;F4,Segmentación!$X$4:$X$13,0))-R4,""))</f>
        <v/>
      </c>
      <c r="W4" s="38" t="str">
        <f aca="false">IF(OR(E4="",N4=""),"",IFERROR(INDEX(Segmentación!$L$4:$L$13,MATCH(C4&amp;" | "&amp;E4&amp;" | "&amp;F4,Segmentación!$X$4:$X$13,0))-S4,""))</f>
        <v/>
      </c>
      <c r="X4" s="39" t="str">
        <f aca="false">IF(OR(T4="",W4=""),"",IF(W4=0,"",U4/W4))</f>
        <v/>
      </c>
      <c r="Y4" s="6" t="str">
        <f aca="true">IF(D4="","",IF(OR(E4="",ISNUMBER(SEARCH("negativa",D4))),IF(N4="","Pendiente de aplicar","Aplicado (no se evalúa)"),IF(N4="","Pendiente de aplicar",IF(T4="","Sin datos",IF(T4&lt;Leyenda!$B$14,"Esperando datos ("&amp;T4&amp;" de 10 clics)",IF(V4=0,"Empeora: "&amp;T4&amp;" clics sin venta",IF(TODAY()&lt;O4,"Esperando atribución (7 días)",IF(X4&lt;=K4,"Mejora (ACOS "&amp;TEXT(X4,"0%")&amp;")","Empeora (ACOS "&amp;TEXT(X4,"0%")&amp;")"))))))))</f>
        <v>Pendiente de aplicar</v>
      </c>
      <c r="Z4" s="36" t="s">
        <v>149</v>
      </c>
      <c r="AA4" s="43"/>
    </row>
    <row r="5" customFormat="false" ht="48" hidden="false" customHeight="true" outlineLevel="0" collapsed="false">
      <c r="A5" s="36" t="s">
        <v>150</v>
      </c>
      <c r="B5" s="37" t="n">
        <v>46291</v>
      </c>
      <c r="C5" s="36" t="s">
        <v>59</v>
      </c>
      <c r="D5" s="36" t="s">
        <v>151</v>
      </c>
      <c r="E5" s="6"/>
      <c r="F5" s="36"/>
      <c r="G5" s="38"/>
      <c r="H5" s="38" t="n">
        <v>7</v>
      </c>
      <c r="I5" s="39" t="str">
        <f aca="false">IF(OR(G5="",H5="",G5=0),"",H5/G5-1)</f>
        <v/>
      </c>
      <c r="J5" s="6" t="s">
        <v>152</v>
      </c>
      <c r="K5" s="39"/>
      <c r="L5" s="36"/>
      <c r="M5" s="40" t="s">
        <v>148</v>
      </c>
      <c r="N5" s="41"/>
      <c r="O5" s="37" t="str">
        <f aca="false">IF(N5="","",N5+Leyenda!$B$15)</f>
        <v/>
      </c>
      <c r="P5" s="42" t="n">
        <v>0</v>
      </c>
      <c r="Q5" s="38" t="n">
        <v>0</v>
      </c>
      <c r="R5" s="42" t="n">
        <v>0</v>
      </c>
      <c r="S5" s="38" t="n">
        <v>0</v>
      </c>
      <c r="T5" s="42" t="str">
        <f aca="false">IF(OR(E5="",N5=""),"",IFERROR(INDEX(Segmentación!$G$4:$G$13,MATCH(C5&amp;" | "&amp;E5&amp;" | "&amp;F5,Segmentación!$X$4:$X$13,0))-P5,""))</f>
        <v/>
      </c>
      <c r="U5" s="38" t="str">
        <f aca="false">IF(OR(E5="",N5=""),"",IFERROR(INDEX(Segmentación!$I$4:$I$13,MATCH(C5&amp;" | "&amp;E5&amp;" | "&amp;F5,Segmentación!$X$4:$X$13,0))-Q5,""))</f>
        <v/>
      </c>
      <c r="V5" s="42" t="str">
        <f aca="false">IF(OR(E5="",N5=""),"",IFERROR(INDEX(Segmentación!$K$4:$K$13,MATCH(C5&amp;" | "&amp;E5&amp;" | "&amp;F5,Segmentación!$X$4:$X$13,0))-R5,""))</f>
        <v/>
      </c>
      <c r="W5" s="38" t="str">
        <f aca="false">IF(OR(E5="",N5=""),"",IFERROR(INDEX(Segmentación!$L$4:$L$13,MATCH(C5&amp;" | "&amp;E5&amp;" | "&amp;F5,Segmentación!$X$4:$X$13,0))-S5,""))</f>
        <v/>
      </c>
      <c r="X5" s="39" t="str">
        <f aca="false">IF(OR(T5="",W5=""),"",IF(W5=0,"",U5/W5))</f>
        <v/>
      </c>
      <c r="Y5" s="6" t="str">
        <f aca="true">IF(D5="","",IF(OR(E5="",ISNUMBER(SEARCH("negativa",D5))),IF(N5="","Pendiente de aplicar","Aplicado (no se evalúa)"),IF(N5="","Pendiente de aplicar",IF(T5="","Sin datos",IF(T5&lt;Leyenda!$B$14,"Esperando datos ("&amp;T5&amp;" de 10 clics)",IF(V5=0,"Empeora: "&amp;T5&amp;" clics sin venta",IF(TODAY()&lt;O5,"Esperando atribución (7 días)",IF(X5&lt;=K5,"Mejora (ACOS "&amp;TEXT(X5,"0%")&amp;")","Empeora (ACOS "&amp;TEXT(X5,"0%")&amp;")"))))))))</f>
        <v>Pendiente de aplicar</v>
      </c>
      <c r="Z5" s="36" t="s">
        <v>153</v>
      </c>
      <c r="AA5" s="43"/>
    </row>
    <row r="6" customFormat="false" ht="48" hidden="false" customHeight="true" outlineLevel="0" collapsed="false">
      <c r="A6" s="36" t="s">
        <v>93</v>
      </c>
      <c r="B6" s="37" t="n">
        <v>46291</v>
      </c>
      <c r="C6" s="36" t="s">
        <v>59</v>
      </c>
      <c r="D6" s="36" t="s">
        <v>154</v>
      </c>
      <c r="E6" s="6" t="s">
        <v>90</v>
      </c>
      <c r="F6" s="36" t="s">
        <v>91</v>
      </c>
      <c r="G6" s="38" t="n">
        <v>0.1</v>
      </c>
      <c r="H6" s="38" t="n">
        <v>0.12</v>
      </c>
      <c r="I6" s="39" t="n">
        <f aca="false">IF(OR(G6="",H6="",G6=0),"",H6/G6-1)</f>
        <v>0.2</v>
      </c>
      <c r="J6" s="6" t="s">
        <v>155</v>
      </c>
      <c r="K6" s="39" t="n">
        <v>0.0167</v>
      </c>
      <c r="L6" s="36" t="s">
        <v>156</v>
      </c>
      <c r="M6" s="40" t="s">
        <v>148</v>
      </c>
      <c r="N6" s="41"/>
      <c r="O6" s="37" t="str">
        <f aca="false">IF(N6="","",N6+Leyenda!$B$15)</f>
        <v/>
      </c>
      <c r="P6" s="42" t="n">
        <v>0</v>
      </c>
      <c r="Q6" s="38" t="n">
        <v>0</v>
      </c>
      <c r="R6" s="42" t="n">
        <v>0</v>
      </c>
      <c r="S6" s="38" t="n">
        <v>0</v>
      </c>
      <c r="T6" s="42" t="str">
        <f aca="false">IF(OR(E6="",N6=""),"",IFERROR(INDEX(Segmentación!$G$4:$G$13,MATCH(C6&amp;" | "&amp;E6&amp;" | "&amp;F6,Segmentación!$X$4:$X$13,0))-P6,""))</f>
        <v/>
      </c>
      <c r="U6" s="38" t="str">
        <f aca="false">IF(OR(E6="",N6=""),"",IFERROR(INDEX(Segmentación!$I$4:$I$13,MATCH(C6&amp;" | "&amp;E6&amp;" | "&amp;F6,Segmentación!$X$4:$X$13,0))-Q6,""))</f>
        <v/>
      </c>
      <c r="V6" s="42" t="str">
        <f aca="false">IF(OR(E6="",N6=""),"",IFERROR(INDEX(Segmentación!$K$4:$K$13,MATCH(C6&amp;" | "&amp;E6&amp;" | "&amp;F6,Segmentación!$X$4:$X$13,0))-R6,""))</f>
        <v/>
      </c>
      <c r="W6" s="38" t="str">
        <f aca="false">IF(OR(E6="",N6=""),"",IFERROR(INDEX(Segmentación!$L$4:$L$13,MATCH(C6&amp;" | "&amp;E6&amp;" | "&amp;F6,Segmentación!$X$4:$X$13,0))-S6,""))</f>
        <v/>
      </c>
      <c r="X6" s="39" t="str">
        <f aca="false">IF(OR(T6="",W6=""),"",IF(W6=0,"",U6/W6))</f>
        <v/>
      </c>
      <c r="Y6" s="6" t="str">
        <f aca="true">IF(D6="","",IF(OR(E6="",ISNUMBER(SEARCH("negativa",D6))),IF(N6="","Pendiente de aplicar","Aplicado (no se evalúa)"),IF(N6="","Pendiente de aplicar",IF(T6="","Sin datos",IF(T6&lt;Leyenda!$B$14,"Esperando datos ("&amp;T6&amp;" de 10 clics)",IF(V6=0,"Empeora: "&amp;T6&amp;" clics sin venta",IF(TODAY()&lt;O6,"Esperando atribución (7 días)",IF(X6&lt;=K6,"Mejora (ACOS "&amp;TEXT(X6,"0%")&amp;")","Empeora (ACOS "&amp;TEXT(X6,"0%")&amp;")"))))))))</f>
        <v>Pendiente de aplicar</v>
      </c>
      <c r="Z6" s="36" t="s">
        <v>153</v>
      </c>
      <c r="AA6" s="43"/>
    </row>
    <row r="7" customFormat="false" ht="48" hidden="false" customHeight="true" outlineLevel="0" collapsed="false">
      <c r="A7" s="36" t="s">
        <v>97</v>
      </c>
      <c r="B7" s="37" t="n">
        <v>46291</v>
      </c>
      <c r="C7" s="36" t="s">
        <v>59</v>
      </c>
      <c r="D7" s="36" t="s">
        <v>157</v>
      </c>
      <c r="E7" s="6" t="s">
        <v>94</v>
      </c>
      <c r="F7" s="36" t="s">
        <v>95</v>
      </c>
      <c r="G7" s="38"/>
      <c r="H7" s="38" t="n">
        <v>0.24</v>
      </c>
      <c r="I7" s="39" t="str">
        <f aca="false">IF(OR(G7="",H7="",G7=0),"",H7/G7-1)</f>
        <v/>
      </c>
      <c r="J7" s="6" t="s">
        <v>158</v>
      </c>
      <c r="K7" s="39" t="n">
        <f aca="false">Leyenda!$B$5</f>
        <v>0.35</v>
      </c>
      <c r="L7" s="36" t="s">
        <v>3</v>
      </c>
      <c r="M7" s="40" t="s">
        <v>148</v>
      </c>
      <c r="N7" s="41"/>
      <c r="O7" s="37" t="str">
        <f aca="false">IF(N7="","",N7+Leyenda!$B$15)</f>
        <v/>
      </c>
      <c r="P7" s="42" t="n">
        <v>0</v>
      </c>
      <c r="Q7" s="38" t="n">
        <v>0</v>
      </c>
      <c r="R7" s="42" t="n">
        <v>0</v>
      </c>
      <c r="S7" s="38" t="n">
        <v>0</v>
      </c>
      <c r="T7" s="42" t="str">
        <f aca="false">IF(OR(E7="",N7=""),"",IFERROR(INDEX(Segmentación!$G$4:$G$13,MATCH(C7&amp;" | "&amp;E7&amp;" | "&amp;F7,Segmentación!$X$4:$X$13,0))-P7,""))</f>
        <v/>
      </c>
      <c r="U7" s="38" t="str">
        <f aca="false">IF(OR(E7="",N7=""),"",IFERROR(INDEX(Segmentación!$I$4:$I$13,MATCH(C7&amp;" | "&amp;E7&amp;" | "&amp;F7,Segmentación!$X$4:$X$13,0))-Q7,""))</f>
        <v/>
      </c>
      <c r="V7" s="42" t="str">
        <f aca="false">IF(OR(E7="",N7=""),"",IFERROR(INDEX(Segmentación!$K$4:$K$13,MATCH(C7&amp;" | "&amp;E7&amp;" | "&amp;F7,Segmentación!$X$4:$X$13,0))-R7,""))</f>
        <v/>
      </c>
      <c r="W7" s="38" t="str">
        <f aca="false">IF(OR(E7="",N7=""),"",IFERROR(INDEX(Segmentación!$L$4:$L$13,MATCH(C7&amp;" | "&amp;E7&amp;" | "&amp;F7,Segmentación!$X$4:$X$13,0))-S7,""))</f>
        <v/>
      </c>
      <c r="X7" s="39" t="str">
        <f aca="false">IF(OR(T7="",W7=""),"",IF(W7=0,"",U7/W7))</f>
        <v/>
      </c>
      <c r="Y7" s="6" t="str">
        <f aca="true">IF(D7="","",IF(OR(E7="",ISNUMBER(SEARCH("negativa",D7))),IF(N7="","Pendiente de aplicar","Aplicado (no se evalúa)"),IF(N7="","Pendiente de aplicar",IF(T7="","Sin datos",IF(T7&lt;Leyenda!$B$14,"Esperando datos ("&amp;T7&amp;" de 10 clics)",IF(V7=0,"Empeora: "&amp;T7&amp;" clics sin venta",IF(TODAY()&lt;O7,"Esperando atribución (7 días)",IF(X7&lt;=K7,"Mejora (ACOS "&amp;TEXT(X7,"0%")&amp;")","Empeora (ACOS "&amp;TEXT(X7,"0%")&amp;")"))))))))</f>
        <v>Pendiente de aplicar</v>
      </c>
      <c r="Z7" s="36" t="s">
        <v>153</v>
      </c>
      <c r="AA7" s="43"/>
    </row>
    <row r="8" customFormat="false" ht="48" hidden="false" customHeight="true" outlineLevel="0" collapsed="false">
      <c r="A8" s="36" t="s">
        <v>99</v>
      </c>
      <c r="B8" s="37" t="n">
        <v>46291</v>
      </c>
      <c r="C8" s="36" t="s">
        <v>59</v>
      </c>
      <c r="D8" s="36" t="s">
        <v>157</v>
      </c>
      <c r="E8" s="6" t="s">
        <v>98</v>
      </c>
      <c r="F8" s="36" t="s">
        <v>95</v>
      </c>
      <c r="G8" s="38"/>
      <c r="H8" s="38" t="n">
        <v>0.29</v>
      </c>
      <c r="I8" s="39" t="str">
        <f aca="false">IF(OR(G8="",H8="",G8=0),"",H8/G8-1)</f>
        <v/>
      </c>
      <c r="J8" s="6" t="s">
        <v>159</v>
      </c>
      <c r="K8" s="39" t="n">
        <f aca="false">Leyenda!$B$5</f>
        <v>0.35</v>
      </c>
      <c r="L8" s="36" t="s">
        <v>3</v>
      </c>
      <c r="M8" s="40" t="s">
        <v>148</v>
      </c>
      <c r="N8" s="41"/>
      <c r="O8" s="37" t="str">
        <f aca="false">IF(N8="","",N8+Leyenda!$B$15)</f>
        <v/>
      </c>
      <c r="P8" s="42" t="n">
        <v>0</v>
      </c>
      <c r="Q8" s="38" t="n">
        <v>0</v>
      </c>
      <c r="R8" s="42" t="n">
        <v>0</v>
      </c>
      <c r="S8" s="38" t="n">
        <v>0</v>
      </c>
      <c r="T8" s="42" t="str">
        <f aca="false">IF(OR(E8="",N8=""),"",IFERROR(INDEX(Segmentación!$G$4:$G$13,MATCH(C8&amp;" | "&amp;E8&amp;" | "&amp;F8,Segmentación!$X$4:$X$13,0))-P8,""))</f>
        <v/>
      </c>
      <c r="U8" s="38" t="str">
        <f aca="false">IF(OR(E8="",N8=""),"",IFERROR(INDEX(Segmentación!$I$4:$I$13,MATCH(C8&amp;" | "&amp;E8&amp;" | "&amp;F8,Segmentación!$X$4:$X$13,0))-Q8,""))</f>
        <v/>
      </c>
      <c r="V8" s="42" t="str">
        <f aca="false">IF(OR(E8="",N8=""),"",IFERROR(INDEX(Segmentación!$K$4:$K$13,MATCH(C8&amp;" | "&amp;E8&amp;" | "&amp;F8,Segmentación!$X$4:$X$13,0))-R8,""))</f>
        <v/>
      </c>
      <c r="W8" s="38" t="str">
        <f aca="false">IF(OR(E8="",N8=""),"",IFERROR(INDEX(Segmentación!$L$4:$L$13,MATCH(C8&amp;" | "&amp;E8&amp;" | "&amp;F8,Segmentación!$X$4:$X$13,0))-S8,""))</f>
        <v/>
      </c>
      <c r="X8" s="39" t="str">
        <f aca="false">IF(OR(T8="",W8=""),"",IF(W8=0,"",U8/W8))</f>
        <v/>
      </c>
      <c r="Y8" s="6" t="str">
        <f aca="true">IF(D8="","",IF(OR(E8="",ISNUMBER(SEARCH("negativa",D8))),IF(N8="","Pendiente de aplicar","Aplicado (no se evalúa)"),IF(N8="","Pendiente de aplicar",IF(T8="","Sin datos",IF(T8&lt;Leyenda!$B$14,"Esperando datos ("&amp;T8&amp;" de 10 clics)",IF(V8=0,"Empeora: "&amp;T8&amp;" clics sin venta",IF(TODAY()&lt;O8,"Esperando atribución (7 días)",IF(X8&lt;=K8,"Mejora (ACOS "&amp;TEXT(X8,"0%")&amp;")","Empeora (ACOS "&amp;TEXT(X8,"0%")&amp;")"))))))))</f>
        <v>Pendiente de aplicar</v>
      </c>
      <c r="Z8" s="36" t="s">
        <v>153</v>
      </c>
      <c r="AA8" s="43"/>
    </row>
    <row r="9" customFormat="false" ht="48" hidden="false" customHeight="true" outlineLevel="0" collapsed="false">
      <c r="A9" s="36" t="s">
        <v>101</v>
      </c>
      <c r="B9" s="37" t="n">
        <v>46291</v>
      </c>
      <c r="C9" s="36" t="s">
        <v>59</v>
      </c>
      <c r="D9" s="36" t="s">
        <v>157</v>
      </c>
      <c r="E9" s="6" t="s">
        <v>100</v>
      </c>
      <c r="F9" s="36" t="s">
        <v>95</v>
      </c>
      <c r="G9" s="38"/>
      <c r="H9" s="38" t="n">
        <v>0.24</v>
      </c>
      <c r="I9" s="39" t="str">
        <f aca="false">IF(OR(G9="",H9="",G9=0),"",H9/G9-1)</f>
        <v/>
      </c>
      <c r="J9" s="6" t="s">
        <v>160</v>
      </c>
      <c r="K9" s="39" t="n">
        <f aca="false">Leyenda!$B$5</f>
        <v>0.35</v>
      </c>
      <c r="L9" s="36" t="s">
        <v>3</v>
      </c>
      <c r="M9" s="40" t="s">
        <v>148</v>
      </c>
      <c r="N9" s="41"/>
      <c r="O9" s="37" t="str">
        <f aca="false">IF(N9="","",N9+Leyenda!$B$15)</f>
        <v/>
      </c>
      <c r="P9" s="42" t="n">
        <v>0</v>
      </c>
      <c r="Q9" s="38" t="n">
        <v>0</v>
      </c>
      <c r="R9" s="42" t="n">
        <v>0</v>
      </c>
      <c r="S9" s="38" t="n">
        <v>0</v>
      </c>
      <c r="T9" s="42" t="str">
        <f aca="false">IF(OR(E9="",N9=""),"",IFERROR(INDEX(Segmentación!$G$4:$G$13,MATCH(C9&amp;" | "&amp;E9&amp;" | "&amp;F9,Segmentación!$X$4:$X$13,0))-P9,""))</f>
        <v/>
      </c>
      <c r="U9" s="38" t="str">
        <f aca="false">IF(OR(E9="",N9=""),"",IFERROR(INDEX(Segmentación!$I$4:$I$13,MATCH(C9&amp;" | "&amp;E9&amp;" | "&amp;F9,Segmentación!$X$4:$X$13,0))-Q9,""))</f>
        <v/>
      </c>
      <c r="V9" s="42" t="str">
        <f aca="false">IF(OR(E9="",N9=""),"",IFERROR(INDEX(Segmentación!$K$4:$K$13,MATCH(C9&amp;" | "&amp;E9&amp;" | "&amp;F9,Segmentación!$X$4:$X$13,0))-R9,""))</f>
        <v/>
      </c>
      <c r="W9" s="38" t="str">
        <f aca="false">IF(OR(E9="",N9=""),"",IFERROR(INDEX(Segmentación!$L$4:$L$13,MATCH(C9&amp;" | "&amp;E9&amp;" | "&amp;F9,Segmentación!$X$4:$X$13,0))-S9,""))</f>
        <v/>
      </c>
      <c r="X9" s="39" t="str">
        <f aca="false">IF(OR(T9="",W9=""),"",IF(W9=0,"",U9/W9))</f>
        <v/>
      </c>
      <c r="Y9" s="6" t="str">
        <f aca="true">IF(D9="","",IF(OR(E9="",ISNUMBER(SEARCH("negativa",D9))),IF(N9="","Pendiente de aplicar","Aplicado (no se evalúa)"),IF(N9="","Pendiente de aplicar",IF(T9="","Sin datos",IF(T9&lt;Leyenda!$B$14,"Esperando datos ("&amp;T9&amp;" de 10 clics)",IF(V9=0,"Empeora: "&amp;T9&amp;" clics sin venta",IF(TODAY()&lt;O9,"Esperando atribución (7 días)",IF(X9&lt;=K9,"Mejora (ACOS "&amp;TEXT(X9,"0%")&amp;")","Empeora (ACOS "&amp;TEXT(X9,"0%")&amp;")"))))))))</f>
        <v>Pendiente de aplicar</v>
      </c>
      <c r="Z9" s="36" t="s">
        <v>153</v>
      </c>
      <c r="AA9" s="43"/>
    </row>
    <row r="10" customFormat="false" ht="48" hidden="false" customHeight="true" outlineLevel="0" collapsed="false">
      <c r="A10" s="36" t="s">
        <v>103</v>
      </c>
      <c r="B10" s="37" t="n">
        <v>46291</v>
      </c>
      <c r="C10" s="36" t="s">
        <v>59</v>
      </c>
      <c r="D10" s="36" t="s">
        <v>157</v>
      </c>
      <c r="E10" s="6" t="s">
        <v>102</v>
      </c>
      <c r="F10" s="36" t="s">
        <v>95</v>
      </c>
      <c r="G10" s="38"/>
      <c r="H10" s="38" t="n">
        <v>0.29</v>
      </c>
      <c r="I10" s="39" t="str">
        <f aca="false">IF(OR(G10="",H10="",G10=0),"",H10/G10-1)</f>
        <v/>
      </c>
      <c r="J10" s="6" t="s">
        <v>161</v>
      </c>
      <c r="K10" s="39" t="n">
        <f aca="false">Leyenda!$B$5</f>
        <v>0.35</v>
      </c>
      <c r="L10" s="36" t="s">
        <v>3</v>
      </c>
      <c r="M10" s="40" t="s">
        <v>148</v>
      </c>
      <c r="N10" s="41"/>
      <c r="O10" s="37" t="str">
        <f aca="false">IF(N10="","",N10+Leyenda!$B$15)</f>
        <v/>
      </c>
      <c r="P10" s="42" t="n">
        <v>0</v>
      </c>
      <c r="Q10" s="38" t="n">
        <v>0</v>
      </c>
      <c r="R10" s="42" t="n">
        <v>0</v>
      </c>
      <c r="S10" s="38" t="n">
        <v>0</v>
      </c>
      <c r="T10" s="42" t="str">
        <f aca="false">IF(OR(E10="",N10=""),"",IFERROR(INDEX(Segmentación!$G$4:$G$13,MATCH(C10&amp;" | "&amp;E10&amp;" | "&amp;F10,Segmentación!$X$4:$X$13,0))-P10,""))</f>
        <v/>
      </c>
      <c r="U10" s="38" t="str">
        <f aca="false">IF(OR(E10="",N10=""),"",IFERROR(INDEX(Segmentación!$I$4:$I$13,MATCH(C10&amp;" | "&amp;E10&amp;" | "&amp;F10,Segmentación!$X$4:$X$13,0))-Q10,""))</f>
        <v/>
      </c>
      <c r="V10" s="42" t="str">
        <f aca="false">IF(OR(E10="",N10=""),"",IFERROR(INDEX(Segmentación!$K$4:$K$13,MATCH(C10&amp;" | "&amp;E10&amp;" | "&amp;F10,Segmentación!$X$4:$X$13,0))-R10,""))</f>
        <v/>
      </c>
      <c r="W10" s="38" t="str">
        <f aca="false">IF(OR(E10="",N10=""),"",IFERROR(INDEX(Segmentación!$L$4:$L$13,MATCH(C10&amp;" | "&amp;E10&amp;" | "&amp;F10,Segmentación!$X$4:$X$13,0))-S10,""))</f>
        <v/>
      </c>
      <c r="X10" s="39" t="str">
        <f aca="false">IF(OR(T10="",W10=""),"",IF(W10=0,"",U10/W10))</f>
        <v/>
      </c>
      <c r="Y10" s="6" t="str">
        <f aca="true">IF(D10="","",IF(OR(E10="",ISNUMBER(SEARCH("negativa",D10))),IF(N10="","Pendiente de aplicar","Aplicado (no se evalúa)"),IF(N10="","Pendiente de aplicar",IF(T10="","Sin datos",IF(T10&lt;Leyenda!$B$14,"Esperando datos ("&amp;T10&amp;" de 10 clics)",IF(V10=0,"Empeora: "&amp;T10&amp;" clics sin venta",IF(TODAY()&lt;O10,"Esperando atribución (7 días)",IF(X10&lt;=K10,"Mejora (ACOS "&amp;TEXT(X10,"0%")&amp;")","Empeora (ACOS "&amp;TEXT(X10,"0%")&amp;")"))))))))</f>
        <v>Pendiente de aplicar</v>
      </c>
      <c r="Z10" s="36" t="s">
        <v>153</v>
      </c>
      <c r="AA10" s="43"/>
    </row>
    <row r="11" customFormat="false" ht="48" hidden="false" customHeight="true" outlineLevel="0" collapsed="false">
      <c r="A11" s="36" t="s">
        <v>105</v>
      </c>
      <c r="B11" s="37" t="n">
        <v>46291</v>
      </c>
      <c r="C11" s="36" t="s">
        <v>59</v>
      </c>
      <c r="D11" s="36" t="s">
        <v>157</v>
      </c>
      <c r="E11" s="6" t="s">
        <v>104</v>
      </c>
      <c r="F11" s="36" t="s">
        <v>95</v>
      </c>
      <c r="G11" s="38"/>
      <c r="H11" s="38" t="n">
        <v>0.24</v>
      </c>
      <c r="I11" s="39" t="str">
        <f aca="false">IF(OR(G11="",H11="",G11=0),"",H11/G11-1)</f>
        <v/>
      </c>
      <c r="J11" s="6" t="s">
        <v>162</v>
      </c>
      <c r="K11" s="39" t="n">
        <f aca="false">Leyenda!$B$5</f>
        <v>0.35</v>
      </c>
      <c r="L11" s="36" t="s">
        <v>3</v>
      </c>
      <c r="M11" s="40" t="s">
        <v>148</v>
      </c>
      <c r="N11" s="41"/>
      <c r="O11" s="37" t="str">
        <f aca="false">IF(N11="","",N11+Leyenda!$B$15)</f>
        <v/>
      </c>
      <c r="P11" s="42" t="n">
        <v>0</v>
      </c>
      <c r="Q11" s="38" t="n">
        <v>0</v>
      </c>
      <c r="R11" s="42" t="n">
        <v>0</v>
      </c>
      <c r="S11" s="38" t="n">
        <v>0</v>
      </c>
      <c r="T11" s="42" t="str">
        <f aca="false">IF(OR(E11="",N11=""),"",IFERROR(INDEX(Segmentación!$G$4:$G$13,MATCH(C11&amp;" | "&amp;E11&amp;" | "&amp;F11,Segmentación!$X$4:$X$13,0))-P11,""))</f>
        <v/>
      </c>
      <c r="U11" s="38" t="str">
        <f aca="false">IF(OR(E11="",N11=""),"",IFERROR(INDEX(Segmentación!$I$4:$I$13,MATCH(C11&amp;" | "&amp;E11&amp;" | "&amp;F11,Segmentación!$X$4:$X$13,0))-Q11,""))</f>
        <v/>
      </c>
      <c r="V11" s="42" t="str">
        <f aca="false">IF(OR(E11="",N11=""),"",IFERROR(INDEX(Segmentación!$K$4:$K$13,MATCH(C11&amp;" | "&amp;E11&amp;" | "&amp;F11,Segmentación!$X$4:$X$13,0))-R11,""))</f>
        <v/>
      </c>
      <c r="W11" s="38" t="str">
        <f aca="false">IF(OR(E11="",N11=""),"",IFERROR(INDEX(Segmentación!$L$4:$L$13,MATCH(C11&amp;" | "&amp;E11&amp;" | "&amp;F11,Segmentación!$X$4:$X$13,0))-S11,""))</f>
        <v/>
      </c>
      <c r="X11" s="39" t="str">
        <f aca="false">IF(OR(T11="",W11=""),"",IF(W11=0,"",U11/W11))</f>
        <v/>
      </c>
      <c r="Y11" s="6" t="str">
        <f aca="true">IF(D11="","",IF(OR(E11="",ISNUMBER(SEARCH("negativa",D11))),IF(N11="","Pendiente de aplicar","Aplicado (no se evalúa)"),IF(N11="","Pendiente de aplicar",IF(T11="","Sin datos",IF(T11&lt;Leyenda!$B$14,"Esperando datos ("&amp;T11&amp;" de 10 clics)",IF(V11=0,"Empeora: "&amp;T11&amp;" clics sin venta",IF(TODAY()&lt;O11,"Esperando atribución (7 días)",IF(X11&lt;=K11,"Mejora (ACOS "&amp;TEXT(X11,"0%")&amp;")","Empeora (ACOS "&amp;TEXT(X11,"0%")&amp;")"))))))))</f>
        <v>Pendiente de aplicar</v>
      </c>
      <c r="Z11" s="36" t="s">
        <v>153</v>
      </c>
      <c r="AA11" s="43"/>
    </row>
    <row r="12" customFormat="false" ht="48" hidden="false" customHeight="true" outlineLevel="0" collapsed="false">
      <c r="A12" s="36" t="s">
        <v>107</v>
      </c>
      <c r="B12" s="37" t="n">
        <v>46291</v>
      </c>
      <c r="C12" s="36" t="s">
        <v>59</v>
      </c>
      <c r="D12" s="36" t="s">
        <v>157</v>
      </c>
      <c r="E12" s="6" t="s">
        <v>106</v>
      </c>
      <c r="F12" s="36" t="s">
        <v>95</v>
      </c>
      <c r="G12" s="38"/>
      <c r="H12" s="38" t="n">
        <v>0.25</v>
      </c>
      <c r="I12" s="39" t="str">
        <f aca="false">IF(OR(G12="",H12="",G12=0),"",H12/G12-1)</f>
        <v/>
      </c>
      <c r="J12" s="6" t="s">
        <v>163</v>
      </c>
      <c r="K12" s="39" t="n">
        <f aca="false">Leyenda!$B$5</f>
        <v>0.35</v>
      </c>
      <c r="L12" s="36" t="s">
        <v>3</v>
      </c>
      <c r="M12" s="40" t="s">
        <v>148</v>
      </c>
      <c r="N12" s="41"/>
      <c r="O12" s="37" t="str">
        <f aca="false">IF(N12="","",N12+Leyenda!$B$15)</f>
        <v/>
      </c>
      <c r="P12" s="42" t="n">
        <v>0</v>
      </c>
      <c r="Q12" s="38" t="n">
        <v>0</v>
      </c>
      <c r="R12" s="42" t="n">
        <v>0</v>
      </c>
      <c r="S12" s="38" t="n">
        <v>0</v>
      </c>
      <c r="T12" s="42" t="str">
        <f aca="false">IF(OR(E12="",N12=""),"",IFERROR(INDEX(Segmentación!$G$4:$G$13,MATCH(C12&amp;" | "&amp;E12&amp;" | "&amp;F12,Segmentación!$X$4:$X$13,0))-P12,""))</f>
        <v/>
      </c>
      <c r="U12" s="38" t="str">
        <f aca="false">IF(OR(E12="",N12=""),"",IFERROR(INDEX(Segmentación!$I$4:$I$13,MATCH(C12&amp;" | "&amp;E12&amp;" | "&amp;F12,Segmentación!$X$4:$X$13,0))-Q12,""))</f>
        <v/>
      </c>
      <c r="V12" s="42" t="str">
        <f aca="false">IF(OR(E12="",N12=""),"",IFERROR(INDEX(Segmentación!$K$4:$K$13,MATCH(C12&amp;" | "&amp;E12&amp;" | "&amp;F12,Segmentación!$X$4:$X$13,0))-R12,""))</f>
        <v/>
      </c>
      <c r="W12" s="38" t="str">
        <f aca="false">IF(OR(E12="",N12=""),"",IFERROR(INDEX(Segmentación!$L$4:$L$13,MATCH(C12&amp;" | "&amp;E12&amp;" | "&amp;F12,Segmentación!$X$4:$X$13,0))-S12,""))</f>
        <v/>
      </c>
      <c r="X12" s="39" t="str">
        <f aca="false">IF(OR(T12="",W12=""),"",IF(W12=0,"",U12/W12))</f>
        <v/>
      </c>
      <c r="Y12" s="6" t="str">
        <f aca="true">IF(D12="","",IF(OR(E12="",ISNUMBER(SEARCH("negativa",D12))),IF(N12="","Pendiente de aplicar","Aplicado (no se evalúa)"),IF(N12="","Pendiente de aplicar",IF(T12="","Sin datos",IF(T12&lt;Leyenda!$B$14,"Esperando datos ("&amp;T12&amp;" de 10 clics)",IF(V12=0,"Empeora: "&amp;T12&amp;" clics sin venta",IF(TODAY()&lt;O12,"Esperando atribución (7 días)",IF(X12&lt;=K12,"Mejora (ACOS "&amp;TEXT(X12,"0%")&amp;")","Empeora (ACOS "&amp;TEXT(X12,"0%")&amp;")"))))))))</f>
        <v>Pendiente de aplicar</v>
      </c>
      <c r="Z12" s="36" t="s">
        <v>153</v>
      </c>
      <c r="AA12" s="43"/>
    </row>
    <row r="13" customFormat="false" ht="48" hidden="false" customHeight="true" outlineLevel="0" collapsed="false">
      <c r="A13" s="36" t="s">
        <v>109</v>
      </c>
      <c r="B13" s="37" t="n">
        <v>46291</v>
      </c>
      <c r="C13" s="36" t="s">
        <v>59</v>
      </c>
      <c r="D13" s="36" t="s">
        <v>157</v>
      </c>
      <c r="E13" s="6" t="s">
        <v>108</v>
      </c>
      <c r="F13" s="36" t="s">
        <v>95</v>
      </c>
      <c r="G13" s="38"/>
      <c r="H13" s="38" t="n">
        <v>0.24</v>
      </c>
      <c r="I13" s="39" t="str">
        <f aca="false">IF(OR(G13="",H13="",G13=0),"",H13/G13-1)</f>
        <v/>
      </c>
      <c r="J13" s="6" t="s">
        <v>164</v>
      </c>
      <c r="K13" s="39" t="n">
        <f aca="false">Leyenda!$B$5</f>
        <v>0.35</v>
      </c>
      <c r="L13" s="36" t="s">
        <v>3</v>
      </c>
      <c r="M13" s="40" t="s">
        <v>148</v>
      </c>
      <c r="N13" s="41"/>
      <c r="O13" s="37" t="str">
        <f aca="false">IF(N13="","",N13+Leyenda!$B$15)</f>
        <v/>
      </c>
      <c r="P13" s="42" t="n">
        <v>0</v>
      </c>
      <c r="Q13" s="38" t="n">
        <v>0</v>
      </c>
      <c r="R13" s="42" t="n">
        <v>0</v>
      </c>
      <c r="S13" s="38" t="n">
        <v>0</v>
      </c>
      <c r="T13" s="42" t="str">
        <f aca="false">IF(OR(E13="",N13=""),"",IFERROR(INDEX(Segmentación!$G$4:$G$13,MATCH(C13&amp;" | "&amp;E13&amp;" | "&amp;F13,Segmentación!$X$4:$X$13,0))-P13,""))</f>
        <v/>
      </c>
      <c r="U13" s="38" t="str">
        <f aca="false">IF(OR(E13="",N13=""),"",IFERROR(INDEX(Segmentación!$I$4:$I$13,MATCH(C13&amp;" | "&amp;E13&amp;" | "&amp;F13,Segmentación!$X$4:$X$13,0))-Q13,""))</f>
        <v/>
      </c>
      <c r="V13" s="42" t="str">
        <f aca="false">IF(OR(E13="",N13=""),"",IFERROR(INDEX(Segmentación!$K$4:$K$13,MATCH(C13&amp;" | "&amp;E13&amp;" | "&amp;F13,Segmentación!$X$4:$X$13,0))-R13,""))</f>
        <v/>
      </c>
      <c r="W13" s="38" t="str">
        <f aca="false">IF(OR(E13="",N13=""),"",IFERROR(INDEX(Segmentación!$L$4:$L$13,MATCH(C13&amp;" | "&amp;E13&amp;" | "&amp;F13,Segmentación!$X$4:$X$13,0))-S13,""))</f>
        <v/>
      </c>
      <c r="X13" s="39" t="str">
        <f aca="false">IF(OR(T13="",W13=""),"",IF(W13=0,"",U13/W13))</f>
        <v/>
      </c>
      <c r="Y13" s="6" t="str">
        <f aca="true">IF(D13="","",IF(OR(E13="",ISNUMBER(SEARCH("negativa",D13))),IF(N13="","Pendiente de aplicar","Aplicado (no se evalúa)"),IF(N13="","Pendiente de aplicar",IF(T13="","Sin datos",IF(T13&lt;Leyenda!$B$14,"Esperando datos ("&amp;T13&amp;" de 10 clics)",IF(V13=0,"Empeora: "&amp;T13&amp;" clics sin venta",IF(TODAY()&lt;O13,"Esperando atribución (7 días)",IF(X13&lt;=K13,"Mejora (ACOS "&amp;TEXT(X13,"0%")&amp;")","Empeora (ACOS "&amp;TEXT(X13,"0%")&amp;")"))))))))</f>
        <v>Pendiente de aplicar</v>
      </c>
      <c r="Z13" s="36" t="s">
        <v>153</v>
      </c>
      <c r="AA13" s="43"/>
    </row>
    <row r="14" customFormat="false" ht="48" hidden="false" customHeight="true" outlineLevel="0" collapsed="false">
      <c r="A14" s="36" t="s">
        <v>111</v>
      </c>
      <c r="B14" s="37" t="n">
        <v>46291</v>
      </c>
      <c r="C14" s="36" t="s">
        <v>59</v>
      </c>
      <c r="D14" s="36" t="s">
        <v>157</v>
      </c>
      <c r="E14" s="6" t="s">
        <v>110</v>
      </c>
      <c r="F14" s="36" t="s">
        <v>95</v>
      </c>
      <c r="G14" s="38"/>
      <c r="H14" s="38" t="n">
        <v>0.3</v>
      </c>
      <c r="I14" s="39" t="str">
        <f aca="false">IF(OR(G14="",H14="",G14=0),"",H14/G14-1)</f>
        <v/>
      </c>
      <c r="J14" s="6" t="s">
        <v>165</v>
      </c>
      <c r="K14" s="39" t="n">
        <f aca="false">Leyenda!$B$5</f>
        <v>0.35</v>
      </c>
      <c r="L14" s="36" t="s">
        <v>3</v>
      </c>
      <c r="M14" s="40" t="s">
        <v>148</v>
      </c>
      <c r="N14" s="41"/>
      <c r="O14" s="37" t="str">
        <f aca="false">IF(N14="","",N14+Leyenda!$B$15)</f>
        <v/>
      </c>
      <c r="P14" s="42" t="n">
        <v>0</v>
      </c>
      <c r="Q14" s="38" t="n">
        <v>0</v>
      </c>
      <c r="R14" s="42" t="n">
        <v>0</v>
      </c>
      <c r="S14" s="38" t="n">
        <v>0</v>
      </c>
      <c r="T14" s="42" t="str">
        <f aca="false">IF(OR(E14="",N14=""),"",IFERROR(INDEX(Segmentación!$G$4:$G$13,MATCH(C14&amp;" | "&amp;E14&amp;" | "&amp;F14,Segmentación!$X$4:$X$13,0))-P14,""))</f>
        <v/>
      </c>
      <c r="U14" s="38" t="str">
        <f aca="false">IF(OR(E14="",N14=""),"",IFERROR(INDEX(Segmentación!$I$4:$I$13,MATCH(C14&amp;" | "&amp;E14&amp;" | "&amp;F14,Segmentación!$X$4:$X$13,0))-Q14,""))</f>
        <v/>
      </c>
      <c r="V14" s="42" t="str">
        <f aca="false">IF(OR(E14="",N14=""),"",IFERROR(INDEX(Segmentación!$K$4:$K$13,MATCH(C14&amp;" | "&amp;E14&amp;" | "&amp;F14,Segmentación!$X$4:$X$13,0))-R14,""))</f>
        <v/>
      </c>
      <c r="W14" s="38" t="str">
        <f aca="false">IF(OR(E14="",N14=""),"",IFERROR(INDEX(Segmentación!$L$4:$L$13,MATCH(C14&amp;" | "&amp;E14&amp;" | "&amp;F14,Segmentación!$X$4:$X$13,0))-S14,""))</f>
        <v/>
      </c>
      <c r="X14" s="39" t="str">
        <f aca="false">IF(OR(T14="",W14=""),"",IF(W14=0,"",U14/W14))</f>
        <v/>
      </c>
      <c r="Y14" s="6" t="str">
        <f aca="true">IF(D14="","",IF(OR(E14="",ISNUMBER(SEARCH("negativa",D14))),IF(N14="","Pendiente de aplicar","Aplicado (no se evalúa)"),IF(N14="","Pendiente de aplicar",IF(T14="","Sin datos",IF(T14&lt;Leyenda!$B$14,"Esperando datos ("&amp;T14&amp;" de 10 clics)",IF(V14=0,"Empeora: "&amp;T14&amp;" clics sin venta",IF(TODAY()&lt;O14,"Esperando atribución (7 días)",IF(X14&lt;=K14,"Mejora (ACOS "&amp;TEXT(X14,"0%")&amp;")","Empeora (ACOS "&amp;TEXT(X14,"0%")&amp;")"))))))))</f>
        <v>Pendiente de aplicar</v>
      </c>
      <c r="Z14" s="36" t="s">
        <v>153</v>
      </c>
      <c r="AA14" s="43"/>
    </row>
    <row r="15" customFormat="false" ht="48" hidden="false" customHeight="true" outlineLevel="0" collapsed="false">
      <c r="A15" s="36" t="s">
        <v>113</v>
      </c>
      <c r="B15" s="37" t="n">
        <v>46291</v>
      </c>
      <c r="C15" s="36" t="s">
        <v>59</v>
      </c>
      <c r="D15" s="36" t="s">
        <v>157</v>
      </c>
      <c r="E15" s="6" t="s">
        <v>112</v>
      </c>
      <c r="F15" s="36" t="s">
        <v>95</v>
      </c>
      <c r="G15" s="38"/>
      <c r="H15" s="38" t="n">
        <v>0.24</v>
      </c>
      <c r="I15" s="39" t="str">
        <f aca="false">IF(OR(G15="",H15="",G15=0),"",H15/G15-1)</f>
        <v/>
      </c>
      <c r="J15" s="6" t="s">
        <v>166</v>
      </c>
      <c r="K15" s="39" t="n">
        <f aca="false">Leyenda!$B$5</f>
        <v>0.35</v>
      </c>
      <c r="L15" s="36" t="s">
        <v>3</v>
      </c>
      <c r="M15" s="40" t="s">
        <v>148</v>
      </c>
      <c r="N15" s="41"/>
      <c r="O15" s="37" t="str">
        <f aca="false">IF(N15="","",N15+Leyenda!$B$15)</f>
        <v/>
      </c>
      <c r="P15" s="42" t="n">
        <v>0</v>
      </c>
      <c r="Q15" s="38" t="n">
        <v>0</v>
      </c>
      <c r="R15" s="42" t="n">
        <v>0</v>
      </c>
      <c r="S15" s="38" t="n">
        <v>0</v>
      </c>
      <c r="T15" s="42" t="str">
        <f aca="false">IF(OR(E15="",N15=""),"",IFERROR(INDEX(Segmentación!$G$4:$G$13,MATCH(C15&amp;" | "&amp;E15&amp;" | "&amp;F15,Segmentación!$X$4:$X$13,0))-P15,""))</f>
        <v/>
      </c>
      <c r="U15" s="38" t="str">
        <f aca="false">IF(OR(E15="",N15=""),"",IFERROR(INDEX(Segmentación!$I$4:$I$13,MATCH(C15&amp;" | "&amp;E15&amp;" | "&amp;F15,Segmentación!$X$4:$X$13,0))-Q15,""))</f>
        <v/>
      </c>
      <c r="V15" s="42" t="str">
        <f aca="false">IF(OR(E15="",N15=""),"",IFERROR(INDEX(Segmentación!$K$4:$K$13,MATCH(C15&amp;" | "&amp;E15&amp;" | "&amp;F15,Segmentación!$X$4:$X$13,0))-R15,""))</f>
        <v/>
      </c>
      <c r="W15" s="38" t="str">
        <f aca="false">IF(OR(E15="",N15=""),"",IFERROR(INDEX(Segmentación!$L$4:$L$13,MATCH(C15&amp;" | "&amp;E15&amp;" | "&amp;F15,Segmentación!$X$4:$X$13,0))-S15,""))</f>
        <v/>
      </c>
      <c r="X15" s="39" t="str">
        <f aca="false">IF(OR(T15="",W15=""),"",IF(W15=0,"",U15/W15))</f>
        <v/>
      </c>
      <c r="Y15" s="6" t="str">
        <f aca="true">IF(D15="","",IF(OR(E15="",ISNUMBER(SEARCH("negativa",D15))),IF(N15="","Pendiente de aplicar","Aplicado (no se evalúa)"),IF(N15="","Pendiente de aplicar",IF(T15="","Sin datos",IF(T15&lt;Leyenda!$B$14,"Esperando datos ("&amp;T15&amp;" de 10 clics)",IF(V15=0,"Empeora: "&amp;T15&amp;" clics sin venta",IF(TODAY()&lt;O15,"Esperando atribución (7 días)",IF(X15&lt;=K15,"Mejora (ACOS "&amp;TEXT(X15,"0%")&amp;")","Empeora (ACOS "&amp;TEXT(X15,"0%")&amp;")"))))))))</f>
        <v>Pendiente de aplicar</v>
      </c>
      <c r="Z15" s="36" t="s">
        <v>153</v>
      </c>
      <c r="AA15" s="43"/>
    </row>
    <row r="16" customFormat="false" ht="48" hidden="false" customHeight="true" outlineLevel="0" collapsed="false">
      <c r="A16" s="36" t="s">
        <v>167</v>
      </c>
      <c r="B16" s="37" t="n">
        <v>46291</v>
      </c>
      <c r="C16" s="36" t="s">
        <v>59</v>
      </c>
      <c r="D16" s="36" t="s">
        <v>168</v>
      </c>
      <c r="E16" s="6" t="s">
        <v>169</v>
      </c>
      <c r="F16" s="36" t="s">
        <v>170</v>
      </c>
      <c r="G16" s="38"/>
      <c r="H16" s="38"/>
      <c r="I16" s="39" t="str">
        <f aca="false">IF(OR(G16="",H16="",G16=0),"",H16/G16-1)</f>
        <v/>
      </c>
      <c r="J16" s="6" t="s">
        <v>171</v>
      </c>
      <c r="K16" s="39"/>
      <c r="L16" s="36"/>
      <c r="M16" s="40" t="s">
        <v>148</v>
      </c>
      <c r="N16" s="41"/>
      <c r="O16" s="37" t="str">
        <f aca="false">IF(N16="","",N16+Leyenda!$B$15)</f>
        <v/>
      </c>
      <c r="P16" s="42" t="n">
        <v>0</v>
      </c>
      <c r="Q16" s="38" t="n">
        <v>0</v>
      </c>
      <c r="R16" s="42" t="n">
        <v>0</v>
      </c>
      <c r="S16" s="38" t="n">
        <v>0</v>
      </c>
      <c r="T16" s="42" t="str">
        <f aca="false">IF(OR(E16="",N16=""),"",IFERROR(INDEX(Segmentación!$G$4:$G$13,MATCH(C16&amp;" | "&amp;E16&amp;" | "&amp;F16,Segmentación!$X$4:$X$13,0))-P16,""))</f>
        <v/>
      </c>
      <c r="U16" s="38" t="str">
        <f aca="false">IF(OR(E16="",N16=""),"",IFERROR(INDEX(Segmentación!$I$4:$I$13,MATCH(C16&amp;" | "&amp;E16&amp;" | "&amp;F16,Segmentación!$X$4:$X$13,0))-Q16,""))</f>
        <v/>
      </c>
      <c r="V16" s="42" t="str">
        <f aca="false">IF(OR(E16="",N16=""),"",IFERROR(INDEX(Segmentación!$K$4:$K$13,MATCH(C16&amp;" | "&amp;E16&amp;" | "&amp;F16,Segmentación!$X$4:$X$13,0))-R16,""))</f>
        <v/>
      </c>
      <c r="W16" s="38" t="str">
        <f aca="false">IF(OR(E16="",N16=""),"",IFERROR(INDEX(Segmentación!$L$4:$L$13,MATCH(C16&amp;" | "&amp;E16&amp;" | "&amp;F16,Segmentación!$X$4:$X$13,0))-S16,""))</f>
        <v/>
      </c>
      <c r="X16" s="39" t="str">
        <f aca="false">IF(OR(T16="",W16=""),"",IF(W16=0,"",U16/W16))</f>
        <v/>
      </c>
      <c r="Y16" s="6" t="str">
        <f aca="true">IF(D16="","",IF(OR(E16="",ISNUMBER(SEARCH("negativa",D16))),IF(N16="","Pendiente de aplicar","Aplicado (no se evalúa)"),IF(N16="","Pendiente de aplicar",IF(T16="","Sin datos",IF(T16&lt;Leyenda!$B$14,"Esperando datos ("&amp;T16&amp;" de 10 clics)",IF(V16=0,"Empeora: "&amp;T16&amp;" clics sin venta",IF(TODAY()&lt;O16,"Esperando atribución (7 días)",IF(X16&lt;=K16,"Mejora (ACOS "&amp;TEXT(X16,"0%")&amp;")","Empeora (ACOS "&amp;TEXT(X16,"0%")&amp;")"))))))))</f>
        <v>Pendiente de aplicar</v>
      </c>
      <c r="Z16" s="36" t="s">
        <v>149</v>
      </c>
      <c r="AA16" s="43"/>
    </row>
    <row r="17" customFormat="false" ht="48" hidden="false" customHeight="true" outlineLevel="0" collapsed="false">
      <c r="A17" s="36" t="s">
        <v>172</v>
      </c>
      <c r="B17" s="37" t="n">
        <v>46291</v>
      </c>
      <c r="C17" s="36" t="s">
        <v>59</v>
      </c>
      <c r="D17" s="36" t="s">
        <v>168</v>
      </c>
      <c r="E17" s="6" t="s">
        <v>173</v>
      </c>
      <c r="F17" s="36" t="s">
        <v>170</v>
      </c>
      <c r="G17" s="38"/>
      <c r="H17" s="38"/>
      <c r="I17" s="39" t="str">
        <f aca="false">IF(OR(G17="",H17="",G17=0),"",H17/G17-1)</f>
        <v/>
      </c>
      <c r="J17" s="6" t="s">
        <v>174</v>
      </c>
      <c r="K17" s="39"/>
      <c r="L17" s="36"/>
      <c r="M17" s="40" t="s">
        <v>148</v>
      </c>
      <c r="N17" s="41"/>
      <c r="O17" s="37" t="str">
        <f aca="false">IF(N17="","",N17+Leyenda!$B$15)</f>
        <v/>
      </c>
      <c r="P17" s="42" t="n">
        <v>0</v>
      </c>
      <c r="Q17" s="38" t="n">
        <v>0</v>
      </c>
      <c r="R17" s="42" t="n">
        <v>0</v>
      </c>
      <c r="S17" s="38" t="n">
        <v>0</v>
      </c>
      <c r="T17" s="42" t="str">
        <f aca="false">IF(OR(E17="",N17=""),"",IFERROR(INDEX(Segmentación!$G$4:$G$13,MATCH(C17&amp;" | "&amp;E17&amp;" | "&amp;F17,Segmentación!$X$4:$X$13,0))-P17,""))</f>
        <v/>
      </c>
      <c r="U17" s="38" t="str">
        <f aca="false">IF(OR(E17="",N17=""),"",IFERROR(INDEX(Segmentación!$I$4:$I$13,MATCH(C17&amp;" | "&amp;E17&amp;" | "&amp;F17,Segmentación!$X$4:$X$13,0))-Q17,""))</f>
        <v/>
      </c>
      <c r="V17" s="42" t="str">
        <f aca="false">IF(OR(E17="",N17=""),"",IFERROR(INDEX(Segmentación!$K$4:$K$13,MATCH(C17&amp;" | "&amp;E17&amp;" | "&amp;F17,Segmentación!$X$4:$X$13,0))-R17,""))</f>
        <v/>
      </c>
      <c r="W17" s="38" t="str">
        <f aca="false">IF(OR(E17="",N17=""),"",IFERROR(INDEX(Segmentación!$L$4:$L$13,MATCH(C17&amp;" | "&amp;E17&amp;" | "&amp;F17,Segmentación!$X$4:$X$13,0))-S17,""))</f>
        <v/>
      </c>
      <c r="X17" s="39" t="str">
        <f aca="false">IF(OR(T17="",W17=""),"",IF(W17=0,"",U17/W17))</f>
        <v/>
      </c>
      <c r="Y17" s="6" t="str">
        <f aca="true">IF(D17="","",IF(OR(E17="",ISNUMBER(SEARCH("negativa",D17))),IF(N17="","Pendiente de aplicar","Aplicado (no se evalúa)"),IF(N17="","Pendiente de aplicar",IF(T17="","Sin datos",IF(T17&lt;Leyenda!$B$14,"Esperando datos ("&amp;T17&amp;" de 10 clics)",IF(V17=0,"Empeora: "&amp;T17&amp;" clics sin venta",IF(TODAY()&lt;O17,"Esperando atribución (7 días)",IF(X17&lt;=K17,"Mejora (ACOS "&amp;TEXT(X17,"0%")&amp;")","Empeora (ACOS "&amp;TEXT(X17,"0%")&amp;")"))))))))</f>
        <v>Pendiente de aplicar</v>
      </c>
      <c r="Z17" s="36" t="s">
        <v>149</v>
      </c>
      <c r="AA17" s="43"/>
    </row>
    <row r="18" customFormat="false" ht="15" hidden="false" customHeight="false" outlineLevel="0" collapsed="false">
      <c r="A18" s="36" t="s">
        <v>175</v>
      </c>
      <c r="B18" s="41"/>
      <c r="C18" s="40"/>
      <c r="D18" s="40"/>
      <c r="E18" s="43"/>
      <c r="F18" s="40"/>
      <c r="G18" s="44"/>
      <c r="H18" s="44"/>
      <c r="I18" s="39" t="str">
        <f aca="false">IF(OR(G18="",H18="",G18=0),"",H18/G18-1)</f>
        <v/>
      </c>
      <c r="J18" s="43"/>
      <c r="K18" s="45"/>
      <c r="L18" s="40"/>
      <c r="M18" s="40"/>
      <c r="N18" s="41"/>
      <c r="O18" s="37" t="str">
        <f aca="false">IF(N18="","",N18+Leyenda!$B$15)</f>
        <v/>
      </c>
      <c r="P18" s="46"/>
      <c r="Q18" s="44"/>
      <c r="R18" s="46"/>
      <c r="S18" s="44"/>
      <c r="T18" s="42" t="str">
        <f aca="false">IF(OR(E18="",N18=""),"",IFERROR(INDEX(Segmentación!$G$4:$G$13,MATCH(C18&amp;" | "&amp;E18&amp;" | "&amp;F18,Segmentación!$X$4:$X$13,0))-P18,""))</f>
        <v/>
      </c>
      <c r="U18" s="38" t="str">
        <f aca="false">IF(OR(E18="",N18=""),"",IFERROR(INDEX(Segmentación!$I$4:$I$13,MATCH(C18&amp;" | "&amp;E18&amp;" | "&amp;F18,Segmentación!$X$4:$X$13,0))-Q18,""))</f>
        <v/>
      </c>
      <c r="V18" s="42" t="str">
        <f aca="false">IF(OR(E18="",N18=""),"",IFERROR(INDEX(Segmentación!$K$4:$K$13,MATCH(C18&amp;" | "&amp;E18&amp;" | "&amp;F18,Segmentación!$X$4:$X$13,0))-R18,""))</f>
        <v/>
      </c>
      <c r="W18" s="38" t="str">
        <f aca="false">IF(OR(E18="",N18=""),"",IFERROR(INDEX(Segmentación!$L$4:$L$13,MATCH(C18&amp;" | "&amp;E18&amp;" | "&amp;F18,Segmentación!$X$4:$X$13,0))-S18,""))</f>
        <v/>
      </c>
      <c r="X18" s="39" t="str">
        <f aca="false">IF(OR(T18="",W18=""),"",IF(W18=0,"",U18/W18))</f>
        <v/>
      </c>
      <c r="Y18" s="6" t="str">
        <f aca="true">IF(D18="","",IF(OR(E18="",ISNUMBER(SEARCH("negativa",D18))),IF(N18="","Pendiente de aplicar","Aplicado (no se evalúa)"),IF(N18="","Pendiente de aplicar",IF(T18="","Sin datos",IF(T18&lt;Leyenda!$B$14,"Esperando datos ("&amp;T18&amp;" de 10 clics)",IF(V18=0,"Empeora: "&amp;T18&amp;" clics sin venta",IF(TODAY()&lt;O18,"Esperando atribución (7 días)",IF(X18&lt;=K18,"Mejora (ACOS "&amp;TEXT(X18,"0%")&amp;")","Empeora (ACOS "&amp;TEXT(X18,"0%")&amp;")"))))))))</f>
        <v/>
      </c>
      <c r="Z18" s="40"/>
      <c r="AA18" s="43"/>
    </row>
    <row r="19" customFormat="false" ht="15" hidden="false" customHeight="false" outlineLevel="0" collapsed="false">
      <c r="A19" s="36" t="s">
        <v>176</v>
      </c>
      <c r="B19" s="41"/>
      <c r="C19" s="40"/>
      <c r="D19" s="40"/>
      <c r="E19" s="43"/>
      <c r="F19" s="40"/>
      <c r="G19" s="44"/>
      <c r="H19" s="44"/>
      <c r="I19" s="39" t="str">
        <f aca="false">IF(OR(G19="",H19="",G19=0),"",H19/G19-1)</f>
        <v/>
      </c>
      <c r="J19" s="43"/>
      <c r="K19" s="45"/>
      <c r="L19" s="40"/>
      <c r="M19" s="40"/>
      <c r="N19" s="41"/>
      <c r="O19" s="37" t="str">
        <f aca="false">IF(N19="","",N19+Leyenda!$B$15)</f>
        <v/>
      </c>
      <c r="P19" s="46"/>
      <c r="Q19" s="44"/>
      <c r="R19" s="46"/>
      <c r="S19" s="44"/>
      <c r="T19" s="42" t="str">
        <f aca="false">IF(OR(E19="",N19=""),"",IFERROR(INDEX(Segmentación!$G$4:$G$13,MATCH(C19&amp;" | "&amp;E19&amp;" | "&amp;F19,Segmentación!$X$4:$X$13,0))-P19,""))</f>
        <v/>
      </c>
      <c r="U19" s="38" t="str">
        <f aca="false">IF(OR(E19="",N19=""),"",IFERROR(INDEX(Segmentación!$I$4:$I$13,MATCH(C19&amp;" | "&amp;E19&amp;" | "&amp;F19,Segmentación!$X$4:$X$13,0))-Q19,""))</f>
        <v/>
      </c>
      <c r="V19" s="42" t="str">
        <f aca="false">IF(OR(E19="",N19=""),"",IFERROR(INDEX(Segmentación!$K$4:$K$13,MATCH(C19&amp;" | "&amp;E19&amp;" | "&amp;F19,Segmentación!$X$4:$X$13,0))-R19,""))</f>
        <v/>
      </c>
      <c r="W19" s="38" t="str">
        <f aca="false">IF(OR(E19="",N19=""),"",IFERROR(INDEX(Segmentación!$L$4:$L$13,MATCH(C19&amp;" | "&amp;E19&amp;" | "&amp;F19,Segmentación!$X$4:$X$13,0))-S19,""))</f>
        <v/>
      </c>
      <c r="X19" s="39" t="str">
        <f aca="false">IF(OR(T19="",W19=""),"",IF(W19=0,"",U19/W19))</f>
        <v/>
      </c>
      <c r="Y19" s="6" t="str">
        <f aca="true">IF(D19="","",IF(OR(E19="",ISNUMBER(SEARCH("negativa",D19))),IF(N19="","Pendiente de aplicar","Aplicado (no se evalúa)"),IF(N19="","Pendiente de aplicar",IF(T19="","Sin datos",IF(T19&lt;Leyenda!$B$14,"Esperando datos ("&amp;T19&amp;" de 10 clics)",IF(V19=0,"Empeora: "&amp;T19&amp;" clics sin venta",IF(TODAY()&lt;O19,"Esperando atribución (7 días)",IF(X19&lt;=K19,"Mejora (ACOS "&amp;TEXT(X19,"0%")&amp;")","Empeora (ACOS "&amp;TEXT(X19,"0%")&amp;")"))))))))</f>
        <v/>
      </c>
      <c r="Z19" s="40"/>
      <c r="AA19" s="43"/>
    </row>
    <row r="20" customFormat="false" ht="15" hidden="false" customHeight="false" outlineLevel="0" collapsed="false">
      <c r="A20" s="36" t="s">
        <v>177</v>
      </c>
      <c r="B20" s="41"/>
      <c r="C20" s="40"/>
      <c r="D20" s="40"/>
      <c r="E20" s="43"/>
      <c r="F20" s="40"/>
      <c r="G20" s="44"/>
      <c r="H20" s="44"/>
      <c r="I20" s="39" t="str">
        <f aca="false">IF(OR(G20="",H20="",G20=0),"",H20/G20-1)</f>
        <v/>
      </c>
      <c r="J20" s="43"/>
      <c r="K20" s="45"/>
      <c r="L20" s="40"/>
      <c r="M20" s="40"/>
      <c r="N20" s="41"/>
      <c r="O20" s="37" t="str">
        <f aca="false">IF(N20="","",N20+Leyenda!$B$15)</f>
        <v/>
      </c>
      <c r="P20" s="46"/>
      <c r="Q20" s="44"/>
      <c r="R20" s="46"/>
      <c r="S20" s="44"/>
      <c r="T20" s="42" t="str">
        <f aca="false">IF(OR(E20="",N20=""),"",IFERROR(INDEX(Segmentación!$G$4:$G$13,MATCH(C20&amp;" | "&amp;E20&amp;" | "&amp;F20,Segmentación!$X$4:$X$13,0))-P20,""))</f>
        <v/>
      </c>
      <c r="U20" s="38" t="str">
        <f aca="false">IF(OR(E20="",N20=""),"",IFERROR(INDEX(Segmentación!$I$4:$I$13,MATCH(C20&amp;" | "&amp;E20&amp;" | "&amp;F20,Segmentación!$X$4:$X$13,0))-Q20,""))</f>
        <v/>
      </c>
      <c r="V20" s="42" t="str">
        <f aca="false">IF(OR(E20="",N20=""),"",IFERROR(INDEX(Segmentación!$K$4:$K$13,MATCH(C20&amp;" | "&amp;E20&amp;" | "&amp;F20,Segmentación!$X$4:$X$13,0))-R20,""))</f>
        <v/>
      </c>
      <c r="W20" s="38" t="str">
        <f aca="false">IF(OR(E20="",N20=""),"",IFERROR(INDEX(Segmentación!$L$4:$L$13,MATCH(C20&amp;" | "&amp;E20&amp;" | "&amp;F20,Segmentación!$X$4:$X$13,0))-S20,""))</f>
        <v/>
      </c>
      <c r="X20" s="39" t="str">
        <f aca="false">IF(OR(T20="",W20=""),"",IF(W20=0,"",U20/W20))</f>
        <v/>
      </c>
      <c r="Y20" s="6" t="str">
        <f aca="true">IF(D20="","",IF(OR(E20="",ISNUMBER(SEARCH("negativa",D20))),IF(N20="","Pendiente de aplicar","Aplicado (no se evalúa)"),IF(N20="","Pendiente de aplicar",IF(T20="","Sin datos",IF(T20&lt;Leyenda!$B$14,"Esperando datos ("&amp;T20&amp;" de 10 clics)",IF(V20=0,"Empeora: "&amp;T20&amp;" clics sin venta",IF(TODAY()&lt;O20,"Esperando atribución (7 días)",IF(X20&lt;=K20,"Mejora (ACOS "&amp;TEXT(X20,"0%")&amp;")","Empeora (ACOS "&amp;TEXT(X20,"0%")&amp;")"))))))))</f>
        <v/>
      </c>
      <c r="Z20" s="40"/>
      <c r="AA20" s="43"/>
    </row>
    <row r="21" customFormat="false" ht="15" hidden="false" customHeight="false" outlineLevel="0" collapsed="false">
      <c r="A21" s="36" t="s">
        <v>178</v>
      </c>
      <c r="B21" s="41"/>
      <c r="C21" s="40"/>
      <c r="D21" s="40"/>
      <c r="E21" s="43"/>
      <c r="F21" s="40"/>
      <c r="G21" s="44"/>
      <c r="H21" s="44"/>
      <c r="I21" s="39" t="str">
        <f aca="false">IF(OR(G21="",H21="",G21=0),"",H21/G21-1)</f>
        <v/>
      </c>
      <c r="J21" s="43"/>
      <c r="K21" s="45"/>
      <c r="L21" s="40"/>
      <c r="M21" s="40"/>
      <c r="N21" s="41"/>
      <c r="O21" s="37" t="str">
        <f aca="false">IF(N21="","",N21+Leyenda!$B$15)</f>
        <v/>
      </c>
      <c r="P21" s="46"/>
      <c r="Q21" s="44"/>
      <c r="R21" s="46"/>
      <c r="S21" s="44"/>
      <c r="T21" s="42" t="str">
        <f aca="false">IF(OR(E21="",N21=""),"",IFERROR(INDEX(Segmentación!$G$4:$G$13,MATCH(C21&amp;" | "&amp;E21&amp;" | "&amp;F21,Segmentación!$X$4:$X$13,0))-P21,""))</f>
        <v/>
      </c>
      <c r="U21" s="38" t="str">
        <f aca="false">IF(OR(E21="",N21=""),"",IFERROR(INDEX(Segmentación!$I$4:$I$13,MATCH(C21&amp;" | "&amp;E21&amp;" | "&amp;F21,Segmentación!$X$4:$X$13,0))-Q21,""))</f>
        <v/>
      </c>
      <c r="V21" s="42" t="str">
        <f aca="false">IF(OR(E21="",N21=""),"",IFERROR(INDEX(Segmentación!$K$4:$K$13,MATCH(C21&amp;" | "&amp;E21&amp;" | "&amp;F21,Segmentación!$X$4:$X$13,0))-R21,""))</f>
        <v/>
      </c>
      <c r="W21" s="38" t="str">
        <f aca="false">IF(OR(E21="",N21=""),"",IFERROR(INDEX(Segmentación!$L$4:$L$13,MATCH(C21&amp;" | "&amp;E21&amp;" | "&amp;F21,Segmentación!$X$4:$X$13,0))-S21,""))</f>
        <v/>
      </c>
      <c r="X21" s="39" t="str">
        <f aca="false">IF(OR(T21="",W21=""),"",IF(W21=0,"",U21/W21))</f>
        <v/>
      </c>
      <c r="Y21" s="6" t="str">
        <f aca="true">IF(D21="","",IF(OR(E21="",ISNUMBER(SEARCH("negativa",D21))),IF(N21="","Pendiente de aplicar","Aplicado (no se evalúa)"),IF(N21="","Pendiente de aplicar",IF(T21="","Sin datos",IF(T21&lt;Leyenda!$B$14,"Esperando datos ("&amp;T21&amp;" de 10 clics)",IF(V21=0,"Empeora: "&amp;T21&amp;" clics sin venta",IF(TODAY()&lt;O21,"Esperando atribución (7 días)",IF(X21&lt;=K21,"Mejora (ACOS "&amp;TEXT(X21,"0%")&amp;")","Empeora (ACOS "&amp;TEXT(X21,"0%")&amp;")"))))))))</f>
        <v/>
      </c>
      <c r="Z21" s="40"/>
      <c r="AA21" s="43"/>
    </row>
    <row r="22" customFormat="false" ht="15" hidden="false" customHeight="false" outlineLevel="0" collapsed="false">
      <c r="A22" s="36" t="s">
        <v>179</v>
      </c>
      <c r="B22" s="41"/>
      <c r="C22" s="40"/>
      <c r="D22" s="40"/>
      <c r="E22" s="43"/>
      <c r="F22" s="40"/>
      <c r="G22" s="44"/>
      <c r="H22" s="44"/>
      <c r="I22" s="39" t="str">
        <f aca="false">IF(OR(G22="",H22="",G22=0),"",H22/G22-1)</f>
        <v/>
      </c>
      <c r="J22" s="43"/>
      <c r="K22" s="45"/>
      <c r="L22" s="40"/>
      <c r="M22" s="40"/>
      <c r="N22" s="41"/>
      <c r="O22" s="37" t="str">
        <f aca="false">IF(N22="","",N22+Leyenda!$B$15)</f>
        <v/>
      </c>
      <c r="P22" s="46"/>
      <c r="Q22" s="44"/>
      <c r="R22" s="46"/>
      <c r="S22" s="44"/>
      <c r="T22" s="42" t="str">
        <f aca="false">IF(OR(E22="",N22=""),"",IFERROR(INDEX(Segmentación!$G$4:$G$13,MATCH(C22&amp;" | "&amp;E22&amp;" | "&amp;F22,Segmentación!$X$4:$X$13,0))-P22,""))</f>
        <v/>
      </c>
      <c r="U22" s="38" t="str">
        <f aca="false">IF(OR(E22="",N22=""),"",IFERROR(INDEX(Segmentación!$I$4:$I$13,MATCH(C22&amp;" | "&amp;E22&amp;" | "&amp;F22,Segmentación!$X$4:$X$13,0))-Q22,""))</f>
        <v/>
      </c>
      <c r="V22" s="42" t="str">
        <f aca="false">IF(OR(E22="",N22=""),"",IFERROR(INDEX(Segmentación!$K$4:$K$13,MATCH(C22&amp;" | "&amp;E22&amp;" | "&amp;F22,Segmentación!$X$4:$X$13,0))-R22,""))</f>
        <v/>
      </c>
      <c r="W22" s="38" t="str">
        <f aca="false">IF(OR(E22="",N22=""),"",IFERROR(INDEX(Segmentación!$L$4:$L$13,MATCH(C22&amp;" | "&amp;E22&amp;" | "&amp;F22,Segmentación!$X$4:$X$13,0))-S22,""))</f>
        <v/>
      </c>
      <c r="X22" s="39" t="str">
        <f aca="false">IF(OR(T22="",W22=""),"",IF(W22=0,"",U22/W22))</f>
        <v/>
      </c>
      <c r="Y22" s="6" t="str">
        <f aca="true">IF(D22="","",IF(OR(E22="",ISNUMBER(SEARCH("negativa",D22))),IF(N22="","Pendiente de aplicar","Aplicado (no se evalúa)"),IF(N22="","Pendiente de aplicar",IF(T22="","Sin datos",IF(T22&lt;Leyenda!$B$14,"Esperando datos ("&amp;T22&amp;" de 10 clics)",IF(V22=0,"Empeora: "&amp;T22&amp;" clics sin venta",IF(TODAY()&lt;O22,"Esperando atribución (7 días)",IF(X22&lt;=K22,"Mejora (ACOS "&amp;TEXT(X22,"0%")&amp;")","Empeora (ACOS "&amp;TEXT(X22,"0%")&amp;")"))))))))</f>
        <v/>
      </c>
      <c r="Z22" s="40"/>
      <c r="AA22" s="43"/>
    </row>
    <row r="23" customFormat="false" ht="15" hidden="false" customHeight="false" outlineLevel="0" collapsed="false">
      <c r="A23" s="36" t="s">
        <v>180</v>
      </c>
      <c r="B23" s="41"/>
      <c r="C23" s="40"/>
      <c r="D23" s="40"/>
      <c r="E23" s="43"/>
      <c r="F23" s="40"/>
      <c r="G23" s="44"/>
      <c r="H23" s="44"/>
      <c r="I23" s="39" t="str">
        <f aca="false">IF(OR(G23="",H23="",G23=0),"",H23/G23-1)</f>
        <v/>
      </c>
      <c r="J23" s="43"/>
      <c r="K23" s="45"/>
      <c r="L23" s="40"/>
      <c r="M23" s="40"/>
      <c r="N23" s="41"/>
      <c r="O23" s="37" t="str">
        <f aca="false">IF(N23="","",N23+Leyenda!$B$15)</f>
        <v/>
      </c>
      <c r="P23" s="46"/>
      <c r="Q23" s="44"/>
      <c r="R23" s="46"/>
      <c r="S23" s="44"/>
      <c r="T23" s="42" t="str">
        <f aca="false">IF(OR(E23="",N23=""),"",IFERROR(INDEX(Segmentación!$G$4:$G$13,MATCH(C23&amp;" | "&amp;E23&amp;" | "&amp;F23,Segmentación!$X$4:$X$13,0))-P23,""))</f>
        <v/>
      </c>
      <c r="U23" s="38" t="str">
        <f aca="false">IF(OR(E23="",N23=""),"",IFERROR(INDEX(Segmentación!$I$4:$I$13,MATCH(C23&amp;" | "&amp;E23&amp;" | "&amp;F23,Segmentación!$X$4:$X$13,0))-Q23,""))</f>
        <v/>
      </c>
      <c r="V23" s="42" t="str">
        <f aca="false">IF(OR(E23="",N23=""),"",IFERROR(INDEX(Segmentación!$K$4:$K$13,MATCH(C23&amp;" | "&amp;E23&amp;" | "&amp;F23,Segmentación!$X$4:$X$13,0))-R23,""))</f>
        <v/>
      </c>
      <c r="W23" s="38" t="str">
        <f aca="false">IF(OR(E23="",N23=""),"",IFERROR(INDEX(Segmentación!$L$4:$L$13,MATCH(C23&amp;" | "&amp;E23&amp;" | "&amp;F23,Segmentación!$X$4:$X$13,0))-S23,""))</f>
        <v/>
      </c>
      <c r="X23" s="39" t="str">
        <f aca="false">IF(OR(T23="",W23=""),"",IF(W23=0,"",U23/W23))</f>
        <v/>
      </c>
      <c r="Y23" s="6" t="str">
        <f aca="true">IF(D23="","",IF(OR(E23="",ISNUMBER(SEARCH("negativa",D23))),IF(N23="","Pendiente de aplicar","Aplicado (no se evalúa)"),IF(N23="","Pendiente de aplicar",IF(T23="","Sin datos",IF(T23&lt;Leyenda!$B$14,"Esperando datos ("&amp;T23&amp;" de 10 clics)",IF(V23=0,"Empeora: "&amp;T23&amp;" clics sin venta",IF(TODAY()&lt;O23,"Esperando atribución (7 días)",IF(X23&lt;=K23,"Mejora (ACOS "&amp;TEXT(X23,"0%")&amp;")","Empeora (ACOS "&amp;TEXT(X23,"0%")&amp;")"))))))))</f>
        <v/>
      </c>
      <c r="Z23" s="40"/>
      <c r="AA23" s="43"/>
    </row>
    <row r="24" customFormat="false" ht="15" hidden="false" customHeight="false" outlineLevel="0" collapsed="false">
      <c r="A24" s="36" t="s">
        <v>181</v>
      </c>
      <c r="B24" s="41"/>
      <c r="C24" s="40"/>
      <c r="D24" s="40"/>
      <c r="E24" s="43"/>
      <c r="F24" s="40"/>
      <c r="G24" s="44"/>
      <c r="H24" s="44"/>
      <c r="I24" s="39" t="str">
        <f aca="false">IF(OR(G24="",H24="",G24=0),"",H24/G24-1)</f>
        <v/>
      </c>
      <c r="J24" s="43"/>
      <c r="K24" s="45"/>
      <c r="L24" s="40"/>
      <c r="M24" s="40"/>
      <c r="N24" s="41"/>
      <c r="O24" s="37" t="str">
        <f aca="false">IF(N24="","",N24+Leyenda!$B$15)</f>
        <v/>
      </c>
      <c r="P24" s="46"/>
      <c r="Q24" s="44"/>
      <c r="R24" s="46"/>
      <c r="S24" s="44"/>
      <c r="T24" s="42" t="str">
        <f aca="false">IF(OR(E24="",N24=""),"",IFERROR(INDEX(Segmentación!$G$4:$G$13,MATCH(C24&amp;" | "&amp;E24&amp;" | "&amp;F24,Segmentación!$X$4:$X$13,0))-P24,""))</f>
        <v/>
      </c>
      <c r="U24" s="38" t="str">
        <f aca="false">IF(OR(E24="",N24=""),"",IFERROR(INDEX(Segmentación!$I$4:$I$13,MATCH(C24&amp;" | "&amp;E24&amp;" | "&amp;F24,Segmentación!$X$4:$X$13,0))-Q24,""))</f>
        <v/>
      </c>
      <c r="V24" s="42" t="str">
        <f aca="false">IF(OR(E24="",N24=""),"",IFERROR(INDEX(Segmentación!$K$4:$K$13,MATCH(C24&amp;" | "&amp;E24&amp;" | "&amp;F24,Segmentación!$X$4:$X$13,0))-R24,""))</f>
        <v/>
      </c>
      <c r="W24" s="38" t="str">
        <f aca="false">IF(OR(E24="",N24=""),"",IFERROR(INDEX(Segmentación!$L$4:$L$13,MATCH(C24&amp;" | "&amp;E24&amp;" | "&amp;F24,Segmentación!$X$4:$X$13,0))-S24,""))</f>
        <v/>
      </c>
      <c r="X24" s="39" t="str">
        <f aca="false">IF(OR(T24="",W24=""),"",IF(W24=0,"",U24/W24))</f>
        <v/>
      </c>
      <c r="Y24" s="6" t="str">
        <f aca="true">IF(D24="","",IF(OR(E24="",ISNUMBER(SEARCH("negativa",D24))),IF(N24="","Pendiente de aplicar","Aplicado (no se evalúa)"),IF(N24="","Pendiente de aplicar",IF(T24="","Sin datos",IF(T24&lt;Leyenda!$B$14,"Esperando datos ("&amp;T24&amp;" de 10 clics)",IF(V24=0,"Empeora: "&amp;T24&amp;" clics sin venta",IF(TODAY()&lt;O24,"Esperando atribución (7 días)",IF(X24&lt;=K24,"Mejora (ACOS "&amp;TEXT(X24,"0%")&amp;")","Empeora (ACOS "&amp;TEXT(X24,"0%")&amp;")"))))))))</f>
        <v/>
      </c>
      <c r="Z24" s="40"/>
      <c r="AA24" s="43"/>
    </row>
    <row r="25" customFormat="false" ht="15" hidden="false" customHeight="false" outlineLevel="0" collapsed="false">
      <c r="A25" s="36" t="s">
        <v>182</v>
      </c>
      <c r="B25" s="41"/>
      <c r="C25" s="40"/>
      <c r="D25" s="40"/>
      <c r="E25" s="43"/>
      <c r="F25" s="40"/>
      <c r="G25" s="44"/>
      <c r="H25" s="44"/>
      <c r="I25" s="39" t="str">
        <f aca="false">IF(OR(G25="",H25="",G25=0),"",H25/G25-1)</f>
        <v/>
      </c>
      <c r="J25" s="43"/>
      <c r="K25" s="45"/>
      <c r="L25" s="40"/>
      <c r="M25" s="40"/>
      <c r="N25" s="41"/>
      <c r="O25" s="37" t="str">
        <f aca="false">IF(N25="","",N25+Leyenda!$B$15)</f>
        <v/>
      </c>
      <c r="P25" s="46"/>
      <c r="Q25" s="44"/>
      <c r="R25" s="46"/>
      <c r="S25" s="44"/>
      <c r="T25" s="42" t="str">
        <f aca="false">IF(OR(E25="",N25=""),"",IFERROR(INDEX(Segmentación!$G$4:$G$13,MATCH(C25&amp;" | "&amp;E25&amp;" | "&amp;F25,Segmentación!$X$4:$X$13,0))-P25,""))</f>
        <v/>
      </c>
      <c r="U25" s="38" t="str">
        <f aca="false">IF(OR(E25="",N25=""),"",IFERROR(INDEX(Segmentación!$I$4:$I$13,MATCH(C25&amp;" | "&amp;E25&amp;" | "&amp;F25,Segmentación!$X$4:$X$13,0))-Q25,""))</f>
        <v/>
      </c>
      <c r="V25" s="42" t="str">
        <f aca="false">IF(OR(E25="",N25=""),"",IFERROR(INDEX(Segmentación!$K$4:$K$13,MATCH(C25&amp;" | "&amp;E25&amp;" | "&amp;F25,Segmentación!$X$4:$X$13,0))-R25,""))</f>
        <v/>
      </c>
      <c r="W25" s="38" t="str">
        <f aca="false">IF(OR(E25="",N25=""),"",IFERROR(INDEX(Segmentación!$L$4:$L$13,MATCH(C25&amp;" | "&amp;E25&amp;" | "&amp;F25,Segmentación!$X$4:$X$13,0))-S25,""))</f>
        <v/>
      </c>
      <c r="X25" s="39" t="str">
        <f aca="false">IF(OR(T25="",W25=""),"",IF(W25=0,"",U25/W25))</f>
        <v/>
      </c>
      <c r="Y25" s="6" t="str">
        <f aca="true">IF(D25="","",IF(OR(E25="",ISNUMBER(SEARCH("negativa",D25))),IF(N25="","Pendiente de aplicar","Aplicado (no se evalúa)"),IF(N25="","Pendiente de aplicar",IF(T25="","Sin datos",IF(T25&lt;Leyenda!$B$14,"Esperando datos ("&amp;T25&amp;" de 10 clics)",IF(V25=0,"Empeora: "&amp;T25&amp;" clics sin venta",IF(TODAY()&lt;O25,"Esperando atribución (7 días)",IF(X25&lt;=K25,"Mejora (ACOS "&amp;TEXT(X25,"0%")&amp;")","Empeora (ACOS "&amp;TEXT(X25,"0%")&amp;")"))))))))</f>
        <v/>
      </c>
      <c r="Z25" s="40"/>
      <c r="AA25" s="43"/>
    </row>
    <row r="26" customFormat="false" ht="15" hidden="false" customHeight="false" outlineLevel="0" collapsed="false">
      <c r="A26" s="36" t="s">
        <v>183</v>
      </c>
      <c r="B26" s="41"/>
      <c r="C26" s="40"/>
      <c r="D26" s="40"/>
      <c r="E26" s="43"/>
      <c r="F26" s="40"/>
      <c r="G26" s="44"/>
      <c r="H26" s="44"/>
      <c r="I26" s="39" t="str">
        <f aca="false">IF(OR(G26="",H26="",G26=0),"",H26/G26-1)</f>
        <v/>
      </c>
      <c r="J26" s="43"/>
      <c r="K26" s="45"/>
      <c r="L26" s="40"/>
      <c r="M26" s="40"/>
      <c r="N26" s="41"/>
      <c r="O26" s="37" t="str">
        <f aca="false">IF(N26="","",N26+Leyenda!$B$15)</f>
        <v/>
      </c>
      <c r="P26" s="46"/>
      <c r="Q26" s="44"/>
      <c r="R26" s="46"/>
      <c r="S26" s="44"/>
      <c r="T26" s="42" t="str">
        <f aca="false">IF(OR(E26="",N26=""),"",IFERROR(INDEX(Segmentación!$G$4:$G$13,MATCH(C26&amp;" | "&amp;E26&amp;" | "&amp;F26,Segmentación!$X$4:$X$13,0))-P26,""))</f>
        <v/>
      </c>
      <c r="U26" s="38" t="str">
        <f aca="false">IF(OR(E26="",N26=""),"",IFERROR(INDEX(Segmentación!$I$4:$I$13,MATCH(C26&amp;" | "&amp;E26&amp;" | "&amp;F26,Segmentación!$X$4:$X$13,0))-Q26,""))</f>
        <v/>
      </c>
      <c r="V26" s="42" t="str">
        <f aca="false">IF(OR(E26="",N26=""),"",IFERROR(INDEX(Segmentación!$K$4:$K$13,MATCH(C26&amp;" | "&amp;E26&amp;" | "&amp;F26,Segmentación!$X$4:$X$13,0))-R26,""))</f>
        <v/>
      </c>
      <c r="W26" s="38" t="str">
        <f aca="false">IF(OR(E26="",N26=""),"",IFERROR(INDEX(Segmentación!$L$4:$L$13,MATCH(C26&amp;" | "&amp;E26&amp;" | "&amp;F26,Segmentación!$X$4:$X$13,0))-S26,""))</f>
        <v/>
      </c>
      <c r="X26" s="39" t="str">
        <f aca="false">IF(OR(T26="",W26=""),"",IF(W26=0,"",U26/W26))</f>
        <v/>
      </c>
      <c r="Y26" s="6" t="str">
        <f aca="true">IF(D26="","",IF(OR(E26="",ISNUMBER(SEARCH("negativa",D26))),IF(N26="","Pendiente de aplicar","Aplicado (no se evalúa)"),IF(N26="","Pendiente de aplicar",IF(T26="","Sin datos",IF(T26&lt;Leyenda!$B$14,"Esperando datos ("&amp;T26&amp;" de 10 clics)",IF(V26=0,"Empeora: "&amp;T26&amp;" clics sin venta",IF(TODAY()&lt;O26,"Esperando atribución (7 días)",IF(X26&lt;=K26,"Mejora (ACOS "&amp;TEXT(X26,"0%")&amp;")","Empeora (ACOS "&amp;TEXT(X26,"0%")&amp;")"))))))))</f>
        <v/>
      </c>
      <c r="Z26" s="40"/>
      <c r="AA26" s="43"/>
    </row>
    <row r="27" customFormat="false" ht="15" hidden="false" customHeight="false" outlineLevel="0" collapsed="false">
      <c r="A27" s="36" t="s">
        <v>184</v>
      </c>
      <c r="B27" s="41"/>
      <c r="C27" s="40"/>
      <c r="D27" s="40"/>
      <c r="E27" s="43"/>
      <c r="F27" s="40"/>
      <c r="G27" s="44"/>
      <c r="H27" s="44"/>
      <c r="I27" s="39" t="str">
        <f aca="false">IF(OR(G27="",H27="",G27=0),"",H27/G27-1)</f>
        <v/>
      </c>
      <c r="J27" s="43"/>
      <c r="K27" s="45"/>
      <c r="L27" s="40"/>
      <c r="M27" s="40"/>
      <c r="N27" s="41"/>
      <c r="O27" s="37" t="str">
        <f aca="false">IF(N27="","",N27+Leyenda!$B$15)</f>
        <v/>
      </c>
      <c r="P27" s="46"/>
      <c r="Q27" s="44"/>
      <c r="R27" s="46"/>
      <c r="S27" s="44"/>
      <c r="T27" s="42" t="str">
        <f aca="false">IF(OR(E27="",N27=""),"",IFERROR(INDEX(Segmentación!$G$4:$G$13,MATCH(C27&amp;" | "&amp;E27&amp;" | "&amp;F27,Segmentación!$X$4:$X$13,0))-P27,""))</f>
        <v/>
      </c>
      <c r="U27" s="38" t="str">
        <f aca="false">IF(OR(E27="",N27=""),"",IFERROR(INDEX(Segmentación!$I$4:$I$13,MATCH(C27&amp;" | "&amp;E27&amp;" | "&amp;F27,Segmentación!$X$4:$X$13,0))-Q27,""))</f>
        <v/>
      </c>
      <c r="V27" s="42" t="str">
        <f aca="false">IF(OR(E27="",N27=""),"",IFERROR(INDEX(Segmentación!$K$4:$K$13,MATCH(C27&amp;" | "&amp;E27&amp;" | "&amp;F27,Segmentación!$X$4:$X$13,0))-R27,""))</f>
        <v/>
      </c>
      <c r="W27" s="38" t="str">
        <f aca="false">IF(OR(E27="",N27=""),"",IFERROR(INDEX(Segmentación!$L$4:$L$13,MATCH(C27&amp;" | "&amp;E27&amp;" | "&amp;F27,Segmentación!$X$4:$X$13,0))-S27,""))</f>
        <v/>
      </c>
      <c r="X27" s="39" t="str">
        <f aca="false">IF(OR(T27="",W27=""),"",IF(W27=0,"",U27/W27))</f>
        <v/>
      </c>
      <c r="Y27" s="6" t="str">
        <f aca="true">IF(D27="","",IF(OR(E27="",ISNUMBER(SEARCH("negativa",D27))),IF(N27="","Pendiente de aplicar","Aplicado (no se evalúa)"),IF(N27="","Pendiente de aplicar",IF(T27="","Sin datos",IF(T27&lt;Leyenda!$B$14,"Esperando datos ("&amp;T27&amp;" de 10 clics)",IF(V27=0,"Empeora: "&amp;T27&amp;" clics sin venta",IF(TODAY()&lt;O27,"Esperando atribución (7 días)",IF(X27&lt;=K27,"Mejora (ACOS "&amp;TEXT(X27,"0%")&amp;")","Empeora (ACOS "&amp;TEXT(X27,"0%")&amp;")"))))))))</f>
        <v/>
      </c>
      <c r="Z27" s="40"/>
      <c r="AA27" s="43"/>
    </row>
    <row r="28" customFormat="false" ht="15" hidden="false" customHeight="false" outlineLevel="0" collapsed="false">
      <c r="A28" s="36" t="s">
        <v>185</v>
      </c>
      <c r="B28" s="41"/>
      <c r="C28" s="40"/>
      <c r="D28" s="40"/>
      <c r="E28" s="43"/>
      <c r="F28" s="40"/>
      <c r="G28" s="44"/>
      <c r="H28" s="44"/>
      <c r="I28" s="39" t="str">
        <f aca="false">IF(OR(G28="",H28="",G28=0),"",H28/G28-1)</f>
        <v/>
      </c>
      <c r="J28" s="43"/>
      <c r="K28" s="45"/>
      <c r="L28" s="40"/>
      <c r="M28" s="40"/>
      <c r="N28" s="41"/>
      <c r="O28" s="37" t="str">
        <f aca="false">IF(N28="","",N28+Leyenda!$B$15)</f>
        <v/>
      </c>
      <c r="P28" s="46"/>
      <c r="Q28" s="44"/>
      <c r="R28" s="46"/>
      <c r="S28" s="44"/>
      <c r="T28" s="42" t="str">
        <f aca="false">IF(OR(E28="",N28=""),"",IFERROR(INDEX(Segmentación!$G$4:$G$13,MATCH(C28&amp;" | "&amp;E28&amp;" | "&amp;F28,Segmentación!$X$4:$X$13,0))-P28,""))</f>
        <v/>
      </c>
      <c r="U28" s="38" t="str">
        <f aca="false">IF(OR(E28="",N28=""),"",IFERROR(INDEX(Segmentación!$I$4:$I$13,MATCH(C28&amp;" | "&amp;E28&amp;" | "&amp;F28,Segmentación!$X$4:$X$13,0))-Q28,""))</f>
        <v/>
      </c>
      <c r="V28" s="42" t="str">
        <f aca="false">IF(OR(E28="",N28=""),"",IFERROR(INDEX(Segmentación!$K$4:$K$13,MATCH(C28&amp;" | "&amp;E28&amp;" | "&amp;F28,Segmentación!$X$4:$X$13,0))-R28,""))</f>
        <v/>
      </c>
      <c r="W28" s="38" t="str">
        <f aca="false">IF(OR(E28="",N28=""),"",IFERROR(INDEX(Segmentación!$L$4:$L$13,MATCH(C28&amp;" | "&amp;E28&amp;" | "&amp;F28,Segmentación!$X$4:$X$13,0))-S28,""))</f>
        <v/>
      </c>
      <c r="X28" s="39" t="str">
        <f aca="false">IF(OR(T28="",W28=""),"",IF(W28=0,"",U28/W28))</f>
        <v/>
      </c>
      <c r="Y28" s="6" t="str">
        <f aca="true">IF(D28="","",IF(OR(E28="",ISNUMBER(SEARCH("negativa",D28))),IF(N28="","Pendiente de aplicar","Aplicado (no se evalúa)"),IF(N28="","Pendiente de aplicar",IF(T28="","Sin datos",IF(T28&lt;Leyenda!$B$14,"Esperando datos ("&amp;T28&amp;" de 10 clics)",IF(V28=0,"Empeora: "&amp;T28&amp;" clics sin venta",IF(TODAY()&lt;O28,"Esperando atribución (7 días)",IF(X28&lt;=K28,"Mejora (ACOS "&amp;TEXT(X28,"0%")&amp;")","Empeora (ACOS "&amp;TEXT(X28,"0%")&amp;")"))))))))</f>
        <v/>
      </c>
      <c r="Z28" s="40"/>
      <c r="AA28" s="43"/>
    </row>
    <row r="29" customFormat="false" ht="15" hidden="false" customHeight="false" outlineLevel="0" collapsed="false">
      <c r="A29" s="36" t="s">
        <v>186</v>
      </c>
      <c r="B29" s="41"/>
      <c r="C29" s="40"/>
      <c r="D29" s="40"/>
      <c r="E29" s="43"/>
      <c r="F29" s="40"/>
      <c r="G29" s="44"/>
      <c r="H29" s="44"/>
      <c r="I29" s="39" t="str">
        <f aca="false">IF(OR(G29="",H29="",G29=0),"",H29/G29-1)</f>
        <v/>
      </c>
      <c r="J29" s="43"/>
      <c r="K29" s="45"/>
      <c r="L29" s="40"/>
      <c r="M29" s="40"/>
      <c r="N29" s="41"/>
      <c r="O29" s="37" t="str">
        <f aca="false">IF(N29="","",N29+Leyenda!$B$15)</f>
        <v/>
      </c>
      <c r="P29" s="46"/>
      <c r="Q29" s="44"/>
      <c r="R29" s="46"/>
      <c r="S29" s="44"/>
      <c r="T29" s="42" t="str">
        <f aca="false">IF(OR(E29="",N29=""),"",IFERROR(INDEX(Segmentación!$G$4:$G$13,MATCH(C29&amp;" | "&amp;E29&amp;" | "&amp;F29,Segmentación!$X$4:$X$13,0))-P29,""))</f>
        <v/>
      </c>
      <c r="U29" s="38" t="str">
        <f aca="false">IF(OR(E29="",N29=""),"",IFERROR(INDEX(Segmentación!$I$4:$I$13,MATCH(C29&amp;" | "&amp;E29&amp;" | "&amp;F29,Segmentación!$X$4:$X$13,0))-Q29,""))</f>
        <v/>
      </c>
      <c r="V29" s="42" t="str">
        <f aca="false">IF(OR(E29="",N29=""),"",IFERROR(INDEX(Segmentación!$K$4:$K$13,MATCH(C29&amp;" | "&amp;E29&amp;" | "&amp;F29,Segmentación!$X$4:$X$13,0))-R29,""))</f>
        <v/>
      </c>
      <c r="W29" s="38" t="str">
        <f aca="false">IF(OR(E29="",N29=""),"",IFERROR(INDEX(Segmentación!$L$4:$L$13,MATCH(C29&amp;" | "&amp;E29&amp;" | "&amp;F29,Segmentación!$X$4:$X$13,0))-S29,""))</f>
        <v/>
      </c>
      <c r="X29" s="39" t="str">
        <f aca="false">IF(OR(T29="",W29=""),"",IF(W29=0,"",U29/W29))</f>
        <v/>
      </c>
      <c r="Y29" s="6" t="str">
        <f aca="true">IF(D29="","",IF(OR(E29="",ISNUMBER(SEARCH("negativa",D29))),IF(N29="","Pendiente de aplicar","Aplicado (no se evalúa)"),IF(N29="","Pendiente de aplicar",IF(T29="","Sin datos",IF(T29&lt;Leyenda!$B$14,"Esperando datos ("&amp;T29&amp;" de 10 clics)",IF(V29=0,"Empeora: "&amp;T29&amp;" clics sin venta",IF(TODAY()&lt;O29,"Esperando atribución (7 días)",IF(X29&lt;=K29,"Mejora (ACOS "&amp;TEXT(X29,"0%")&amp;")","Empeora (ACOS "&amp;TEXT(X29,"0%")&amp;")"))))))))</f>
        <v/>
      </c>
      <c r="Z29" s="40"/>
      <c r="AA29" s="43"/>
    </row>
    <row r="30" customFormat="false" ht="15" hidden="false" customHeight="false" outlineLevel="0" collapsed="false">
      <c r="A30" s="36" t="s">
        <v>187</v>
      </c>
      <c r="B30" s="41"/>
      <c r="C30" s="40"/>
      <c r="D30" s="40"/>
      <c r="E30" s="43"/>
      <c r="F30" s="40"/>
      <c r="G30" s="44"/>
      <c r="H30" s="44"/>
      <c r="I30" s="39" t="str">
        <f aca="false">IF(OR(G30="",H30="",G30=0),"",H30/G30-1)</f>
        <v/>
      </c>
      <c r="J30" s="43"/>
      <c r="K30" s="45"/>
      <c r="L30" s="40"/>
      <c r="M30" s="40"/>
      <c r="N30" s="41"/>
      <c r="O30" s="37" t="str">
        <f aca="false">IF(N30="","",N30+Leyenda!$B$15)</f>
        <v/>
      </c>
      <c r="P30" s="46"/>
      <c r="Q30" s="44"/>
      <c r="R30" s="46"/>
      <c r="S30" s="44"/>
      <c r="T30" s="42" t="str">
        <f aca="false">IF(OR(E30="",N30=""),"",IFERROR(INDEX(Segmentación!$G$4:$G$13,MATCH(C30&amp;" | "&amp;E30&amp;" | "&amp;F30,Segmentación!$X$4:$X$13,0))-P30,""))</f>
        <v/>
      </c>
      <c r="U30" s="38" t="str">
        <f aca="false">IF(OR(E30="",N30=""),"",IFERROR(INDEX(Segmentación!$I$4:$I$13,MATCH(C30&amp;" | "&amp;E30&amp;" | "&amp;F30,Segmentación!$X$4:$X$13,0))-Q30,""))</f>
        <v/>
      </c>
      <c r="V30" s="42" t="str">
        <f aca="false">IF(OR(E30="",N30=""),"",IFERROR(INDEX(Segmentación!$K$4:$K$13,MATCH(C30&amp;" | "&amp;E30&amp;" | "&amp;F30,Segmentación!$X$4:$X$13,0))-R30,""))</f>
        <v/>
      </c>
      <c r="W30" s="38" t="str">
        <f aca="false">IF(OR(E30="",N30=""),"",IFERROR(INDEX(Segmentación!$L$4:$L$13,MATCH(C30&amp;" | "&amp;E30&amp;" | "&amp;F30,Segmentación!$X$4:$X$13,0))-S30,""))</f>
        <v/>
      </c>
      <c r="X30" s="39" t="str">
        <f aca="false">IF(OR(T30="",W30=""),"",IF(W30=0,"",U30/W30))</f>
        <v/>
      </c>
      <c r="Y30" s="6" t="str">
        <f aca="true">IF(D30="","",IF(OR(E30="",ISNUMBER(SEARCH("negativa",D30))),IF(N30="","Pendiente de aplicar","Aplicado (no se evalúa)"),IF(N30="","Pendiente de aplicar",IF(T30="","Sin datos",IF(T30&lt;Leyenda!$B$14,"Esperando datos ("&amp;T30&amp;" de 10 clics)",IF(V30=0,"Empeora: "&amp;T30&amp;" clics sin venta",IF(TODAY()&lt;O30,"Esperando atribución (7 días)",IF(X30&lt;=K30,"Mejora (ACOS "&amp;TEXT(X30,"0%")&amp;")","Empeora (ACOS "&amp;TEXT(X30,"0%")&amp;")"))))))))</f>
        <v/>
      </c>
      <c r="Z30" s="40"/>
      <c r="AA30" s="43"/>
    </row>
    <row r="31" customFormat="false" ht="15" hidden="false" customHeight="false" outlineLevel="0" collapsed="false">
      <c r="A31" s="36" t="s">
        <v>188</v>
      </c>
      <c r="B31" s="41"/>
      <c r="C31" s="40"/>
      <c r="D31" s="40"/>
      <c r="E31" s="43"/>
      <c r="F31" s="40"/>
      <c r="G31" s="44"/>
      <c r="H31" s="44"/>
      <c r="I31" s="39" t="str">
        <f aca="false">IF(OR(G31="",H31="",G31=0),"",H31/G31-1)</f>
        <v/>
      </c>
      <c r="J31" s="43"/>
      <c r="K31" s="45"/>
      <c r="L31" s="40"/>
      <c r="M31" s="40"/>
      <c r="N31" s="41"/>
      <c r="O31" s="37" t="str">
        <f aca="false">IF(N31="","",N31+Leyenda!$B$15)</f>
        <v/>
      </c>
      <c r="P31" s="46"/>
      <c r="Q31" s="44"/>
      <c r="R31" s="46"/>
      <c r="S31" s="44"/>
      <c r="T31" s="42" t="str">
        <f aca="false">IF(OR(E31="",N31=""),"",IFERROR(INDEX(Segmentación!$G$4:$G$13,MATCH(C31&amp;" | "&amp;E31&amp;" | "&amp;F31,Segmentación!$X$4:$X$13,0))-P31,""))</f>
        <v/>
      </c>
      <c r="U31" s="38" t="str">
        <f aca="false">IF(OR(E31="",N31=""),"",IFERROR(INDEX(Segmentación!$I$4:$I$13,MATCH(C31&amp;" | "&amp;E31&amp;" | "&amp;F31,Segmentación!$X$4:$X$13,0))-Q31,""))</f>
        <v/>
      </c>
      <c r="V31" s="42" t="str">
        <f aca="false">IF(OR(E31="",N31=""),"",IFERROR(INDEX(Segmentación!$K$4:$K$13,MATCH(C31&amp;" | "&amp;E31&amp;" | "&amp;F31,Segmentación!$X$4:$X$13,0))-R31,""))</f>
        <v/>
      </c>
      <c r="W31" s="38" t="str">
        <f aca="false">IF(OR(E31="",N31=""),"",IFERROR(INDEX(Segmentación!$L$4:$L$13,MATCH(C31&amp;" | "&amp;E31&amp;" | "&amp;F31,Segmentación!$X$4:$X$13,0))-S31,""))</f>
        <v/>
      </c>
      <c r="X31" s="39" t="str">
        <f aca="false">IF(OR(T31="",W31=""),"",IF(W31=0,"",U31/W31))</f>
        <v/>
      </c>
      <c r="Y31" s="6" t="str">
        <f aca="true">IF(D31="","",IF(OR(E31="",ISNUMBER(SEARCH("negativa",D31))),IF(N31="","Pendiente de aplicar","Aplicado (no se evalúa)"),IF(N31="","Pendiente de aplicar",IF(T31="","Sin datos",IF(T31&lt;Leyenda!$B$14,"Esperando datos ("&amp;T31&amp;" de 10 clics)",IF(V31=0,"Empeora: "&amp;T31&amp;" clics sin venta",IF(TODAY()&lt;O31,"Esperando atribución (7 días)",IF(X31&lt;=K31,"Mejora (ACOS "&amp;TEXT(X31,"0%")&amp;")","Empeora (ACOS "&amp;TEXT(X31,"0%")&amp;")"))))))))</f>
        <v/>
      </c>
      <c r="Z31" s="40"/>
      <c r="AA31" s="43"/>
    </row>
    <row r="32" customFormat="false" ht="15" hidden="false" customHeight="false" outlineLevel="0" collapsed="false">
      <c r="A32" s="36" t="s">
        <v>189</v>
      </c>
      <c r="B32" s="41"/>
      <c r="C32" s="40"/>
      <c r="D32" s="40"/>
      <c r="E32" s="43"/>
      <c r="F32" s="40"/>
      <c r="G32" s="44"/>
      <c r="H32" s="44"/>
      <c r="I32" s="39" t="str">
        <f aca="false">IF(OR(G32="",H32="",G32=0),"",H32/G32-1)</f>
        <v/>
      </c>
      <c r="J32" s="43"/>
      <c r="K32" s="45"/>
      <c r="L32" s="40"/>
      <c r="M32" s="40"/>
      <c r="N32" s="41"/>
      <c r="O32" s="37" t="str">
        <f aca="false">IF(N32="","",N32+Leyenda!$B$15)</f>
        <v/>
      </c>
      <c r="P32" s="46"/>
      <c r="Q32" s="44"/>
      <c r="R32" s="46"/>
      <c r="S32" s="44"/>
      <c r="T32" s="42" t="str">
        <f aca="false">IF(OR(E32="",N32=""),"",IFERROR(INDEX(Segmentación!$G$4:$G$13,MATCH(C32&amp;" | "&amp;E32&amp;" | "&amp;F32,Segmentación!$X$4:$X$13,0))-P32,""))</f>
        <v/>
      </c>
      <c r="U32" s="38" t="str">
        <f aca="false">IF(OR(E32="",N32=""),"",IFERROR(INDEX(Segmentación!$I$4:$I$13,MATCH(C32&amp;" | "&amp;E32&amp;" | "&amp;F32,Segmentación!$X$4:$X$13,0))-Q32,""))</f>
        <v/>
      </c>
      <c r="V32" s="42" t="str">
        <f aca="false">IF(OR(E32="",N32=""),"",IFERROR(INDEX(Segmentación!$K$4:$K$13,MATCH(C32&amp;" | "&amp;E32&amp;" | "&amp;F32,Segmentación!$X$4:$X$13,0))-R32,""))</f>
        <v/>
      </c>
      <c r="W32" s="38" t="str">
        <f aca="false">IF(OR(E32="",N32=""),"",IFERROR(INDEX(Segmentación!$L$4:$L$13,MATCH(C32&amp;" | "&amp;E32&amp;" | "&amp;F32,Segmentación!$X$4:$X$13,0))-S32,""))</f>
        <v/>
      </c>
      <c r="X32" s="39" t="str">
        <f aca="false">IF(OR(T32="",W32=""),"",IF(W32=0,"",U32/W32))</f>
        <v/>
      </c>
      <c r="Y32" s="6" t="str">
        <f aca="true">IF(D32="","",IF(OR(E32="",ISNUMBER(SEARCH("negativa",D32))),IF(N32="","Pendiente de aplicar","Aplicado (no se evalúa)"),IF(N32="","Pendiente de aplicar",IF(T32="","Sin datos",IF(T32&lt;Leyenda!$B$14,"Esperando datos ("&amp;T32&amp;" de 10 clics)",IF(V32=0,"Empeora: "&amp;T32&amp;" clics sin venta",IF(TODAY()&lt;O32,"Esperando atribución (7 días)",IF(X32&lt;=K32,"Mejora (ACOS "&amp;TEXT(X32,"0%")&amp;")","Empeora (ACOS "&amp;TEXT(X32,"0%")&amp;")"))))))))</f>
        <v/>
      </c>
      <c r="Z32" s="40"/>
      <c r="AA32" s="43"/>
    </row>
    <row r="33" customFormat="false" ht="15" hidden="false" customHeight="false" outlineLevel="0" collapsed="false">
      <c r="A33" s="36" t="s">
        <v>190</v>
      </c>
      <c r="B33" s="41"/>
      <c r="C33" s="40"/>
      <c r="D33" s="40"/>
      <c r="E33" s="43"/>
      <c r="F33" s="40"/>
      <c r="G33" s="44"/>
      <c r="H33" s="44"/>
      <c r="I33" s="39" t="str">
        <f aca="false">IF(OR(G33="",H33="",G33=0),"",H33/G33-1)</f>
        <v/>
      </c>
      <c r="J33" s="43"/>
      <c r="K33" s="45"/>
      <c r="L33" s="40"/>
      <c r="M33" s="40"/>
      <c r="N33" s="41"/>
      <c r="O33" s="37" t="str">
        <f aca="false">IF(N33="","",N33+Leyenda!$B$15)</f>
        <v/>
      </c>
      <c r="P33" s="46"/>
      <c r="Q33" s="44"/>
      <c r="R33" s="46"/>
      <c r="S33" s="44"/>
      <c r="T33" s="42" t="str">
        <f aca="false">IF(OR(E33="",N33=""),"",IFERROR(INDEX(Segmentación!$G$4:$G$13,MATCH(C33&amp;" | "&amp;E33&amp;" | "&amp;F33,Segmentación!$X$4:$X$13,0))-P33,""))</f>
        <v/>
      </c>
      <c r="U33" s="38" t="str">
        <f aca="false">IF(OR(E33="",N33=""),"",IFERROR(INDEX(Segmentación!$I$4:$I$13,MATCH(C33&amp;" | "&amp;E33&amp;" | "&amp;F33,Segmentación!$X$4:$X$13,0))-Q33,""))</f>
        <v/>
      </c>
      <c r="V33" s="42" t="str">
        <f aca="false">IF(OR(E33="",N33=""),"",IFERROR(INDEX(Segmentación!$K$4:$K$13,MATCH(C33&amp;" | "&amp;E33&amp;" | "&amp;F33,Segmentación!$X$4:$X$13,0))-R33,""))</f>
        <v/>
      </c>
      <c r="W33" s="38" t="str">
        <f aca="false">IF(OR(E33="",N33=""),"",IFERROR(INDEX(Segmentación!$L$4:$L$13,MATCH(C33&amp;" | "&amp;E33&amp;" | "&amp;F33,Segmentación!$X$4:$X$13,0))-S33,""))</f>
        <v/>
      </c>
      <c r="X33" s="39" t="str">
        <f aca="false">IF(OR(T33="",W33=""),"",IF(W33=0,"",U33/W33))</f>
        <v/>
      </c>
      <c r="Y33" s="6" t="str">
        <f aca="true">IF(D33="","",IF(OR(E33="",ISNUMBER(SEARCH("negativa",D33))),IF(N33="","Pendiente de aplicar","Aplicado (no se evalúa)"),IF(N33="","Pendiente de aplicar",IF(T33="","Sin datos",IF(T33&lt;Leyenda!$B$14,"Esperando datos ("&amp;T33&amp;" de 10 clics)",IF(V33=0,"Empeora: "&amp;T33&amp;" clics sin venta",IF(TODAY()&lt;O33,"Esperando atribución (7 días)",IF(X33&lt;=K33,"Mejora (ACOS "&amp;TEXT(X33,"0%")&amp;")","Empeora (ACOS "&amp;TEXT(X33,"0%")&amp;")"))))))))</f>
        <v/>
      </c>
      <c r="Z33" s="40"/>
      <c r="AA33" s="43"/>
    </row>
    <row r="34" customFormat="false" ht="15" hidden="false" customHeight="false" outlineLevel="0" collapsed="false">
      <c r="A34" s="36" t="s">
        <v>191</v>
      </c>
      <c r="B34" s="41"/>
      <c r="C34" s="40"/>
      <c r="D34" s="40"/>
      <c r="E34" s="43"/>
      <c r="F34" s="40"/>
      <c r="G34" s="44"/>
      <c r="H34" s="44"/>
      <c r="I34" s="39" t="str">
        <f aca="false">IF(OR(G34="",H34="",G34=0),"",H34/G34-1)</f>
        <v/>
      </c>
      <c r="J34" s="43"/>
      <c r="K34" s="45"/>
      <c r="L34" s="40"/>
      <c r="M34" s="40"/>
      <c r="N34" s="41"/>
      <c r="O34" s="37" t="str">
        <f aca="false">IF(N34="","",N34+Leyenda!$B$15)</f>
        <v/>
      </c>
      <c r="P34" s="46"/>
      <c r="Q34" s="44"/>
      <c r="R34" s="46"/>
      <c r="S34" s="44"/>
      <c r="T34" s="42" t="str">
        <f aca="false">IF(OR(E34="",N34=""),"",IFERROR(INDEX(Segmentación!$G$4:$G$13,MATCH(C34&amp;" | "&amp;E34&amp;" | "&amp;F34,Segmentación!$X$4:$X$13,0))-P34,""))</f>
        <v/>
      </c>
      <c r="U34" s="38" t="str">
        <f aca="false">IF(OR(E34="",N34=""),"",IFERROR(INDEX(Segmentación!$I$4:$I$13,MATCH(C34&amp;" | "&amp;E34&amp;" | "&amp;F34,Segmentación!$X$4:$X$13,0))-Q34,""))</f>
        <v/>
      </c>
      <c r="V34" s="42" t="str">
        <f aca="false">IF(OR(E34="",N34=""),"",IFERROR(INDEX(Segmentación!$K$4:$K$13,MATCH(C34&amp;" | "&amp;E34&amp;" | "&amp;F34,Segmentación!$X$4:$X$13,0))-R34,""))</f>
        <v/>
      </c>
      <c r="W34" s="38" t="str">
        <f aca="false">IF(OR(E34="",N34=""),"",IFERROR(INDEX(Segmentación!$L$4:$L$13,MATCH(C34&amp;" | "&amp;E34&amp;" | "&amp;F34,Segmentación!$X$4:$X$13,0))-S34,""))</f>
        <v/>
      </c>
      <c r="X34" s="39" t="str">
        <f aca="false">IF(OR(T34="",W34=""),"",IF(W34=0,"",U34/W34))</f>
        <v/>
      </c>
      <c r="Y34" s="6" t="str">
        <f aca="true">IF(D34="","",IF(OR(E34="",ISNUMBER(SEARCH("negativa",D34))),IF(N34="","Pendiente de aplicar","Aplicado (no se evalúa)"),IF(N34="","Pendiente de aplicar",IF(T34="","Sin datos",IF(T34&lt;Leyenda!$B$14,"Esperando datos ("&amp;T34&amp;" de 10 clics)",IF(V34=0,"Empeora: "&amp;T34&amp;" clics sin venta",IF(TODAY()&lt;O34,"Esperando atribución (7 días)",IF(X34&lt;=K34,"Mejora (ACOS "&amp;TEXT(X34,"0%")&amp;")","Empeora (ACOS "&amp;TEXT(X34,"0%")&amp;")"))))))))</f>
        <v/>
      </c>
      <c r="Z34" s="40"/>
      <c r="AA34" s="43"/>
    </row>
    <row r="35" customFormat="false" ht="15" hidden="false" customHeight="false" outlineLevel="0" collapsed="false">
      <c r="A35" s="36" t="s">
        <v>192</v>
      </c>
      <c r="B35" s="41"/>
      <c r="C35" s="40"/>
      <c r="D35" s="40"/>
      <c r="E35" s="43"/>
      <c r="F35" s="40"/>
      <c r="G35" s="44"/>
      <c r="H35" s="44"/>
      <c r="I35" s="39" t="str">
        <f aca="false">IF(OR(G35="",H35="",G35=0),"",H35/G35-1)</f>
        <v/>
      </c>
      <c r="J35" s="43"/>
      <c r="K35" s="45"/>
      <c r="L35" s="40"/>
      <c r="M35" s="40"/>
      <c r="N35" s="41"/>
      <c r="O35" s="37" t="str">
        <f aca="false">IF(N35="","",N35+Leyenda!$B$15)</f>
        <v/>
      </c>
      <c r="P35" s="46"/>
      <c r="Q35" s="44"/>
      <c r="R35" s="46"/>
      <c r="S35" s="44"/>
      <c r="T35" s="42" t="str">
        <f aca="false">IF(OR(E35="",N35=""),"",IFERROR(INDEX(Segmentación!$G$4:$G$13,MATCH(C35&amp;" | "&amp;E35&amp;" | "&amp;F35,Segmentación!$X$4:$X$13,0))-P35,""))</f>
        <v/>
      </c>
      <c r="U35" s="38" t="str">
        <f aca="false">IF(OR(E35="",N35=""),"",IFERROR(INDEX(Segmentación!$I$4:$I$13,MATCH(C35&amp;" | "&amp;E35&amp;" | "&amp;F35,Segmentación!$X$4:$X$13,0))-Q35,""))</f>
        <v/>
      </c>
      <c r="V35" s="42" t="str">
        <f aca="false">IF(OR(E35="",N35=""),"",IFERROR(INDEX(Segmentación!$K$4:$K$13,MATCH(C35&amp;" | "&amp;E35&amp;" | "&amp;F35,Segmentación!$X$4:$X$13,0))-R35,""))</f>
        <v/>
      </c>
      <c r="W35" s="38" t="str">
        <f aca="false">IF(OR(E35="",N35=""),"",IFERROR(INDEX(Segmentación!$L$4:$L$13,MATCH(C35&amp;" | "&amp;E35&amp;" | "&amp;F35,Segmentación!$X$4:$X$13,0))-S35,""))</f>
        <v/>
      </c>
      <c r="X35" s="39" t="str">
        <f aca="false">IF(OR(T35="",W35=""),"",IF(W35=0,"",U35/W35))</f>
        <v/>
      </c>
      <c r="Y35" s="6" t="str">
        <f aca="true">IF(D35="","",IF(OR(E35="",ISNUMBER(SEARCH("negativa",D35))),IF(N35="","Pendiente de aplicar","Aplicado (no se evalúa)"),IF(N35="","Pendiente de aplicar",IF(T35="","Sin datos",IF(T35&lt;Leyenda!$B$14,"Esperando datos ("&amp;T35&amp;" de 10 clics)",IF(V35=0,"Empeora: "&amp;T35&amp;" clics sin venta",IF(TODAY()&lt;O35,"Esperando atribución (7 días)",IF(X35&lt;=K35,"Mejora (ACOS "&amp;TEXT(X35,"0%")&amp;")","Empeora (ACOS "&amp;TEXT(X35,"0%")&amp;")"))))))))</f>
        <v/>
      </c>
      <c r="Z35" s="40"/>
      <c r="AA35" s="43"/>
    </row>
    <row r="36" customFormat="false" ht="15" hidden="false" customHeight="false" outlineLevel="0" collapsed="false">
      <c r="A36" s="36" t="s">
        <v>193</v>
      </c>
      <c r="B36" s="41"/>
      <c r="C36" s="40"/>
      <c r="D36" s="40"/>
      <c r="E36" s="43"/>
      <c r="F36" s="40"/>
      <c r="G36" s="44"/>
      <c r="H36" s="44"/>
      <c r="I36" s="39" t="str">
        <f aca="false">IF(OR(G36="",H36="",G36=0),"",H36/G36-1)</f>
        <v/>
      </c>
      <c r="J36" s="43"/>
      <c r="K36" s="45"/>
      <c r="L36" s="40"/>
      <c r="M36" s="40"/>
      <c r="N36" s="41"/>
      <c r="O36" s="37" t="str">
        <f aca="false">IF(N36="","",N36+Leyenda!$B$15)</f>
        <v/>
      </c>
      <c r="P36" s="46"/>
      <c r="Q36" s="44"/>
      <c r="R36" s="46"/>
      <c r="S36" s="44"/>
      <c r="T36" s="42" t="str">
        <f aca="false">IF(OR(E36="",N36=""),"",IFERROR(INDEX(Segmentación!$G$4:$G$13,MATCH(C36&amp;" | "&amp;E36&amp;" | "&amp;F36,Segmentación!$X$4:$X$13,0))-P36,""))</f>
        <v/>
      </c>
      <c r="U36" s="38" t="str">
        <f aca="false">IF(OR(E36="",N36=""),"",IFERROR(INDEX(Segmentación!$I$4:$I$13,MATCH(C36&amp;" | "&amp;E36&amp;" | "&amp;F36,Segmentación!$X$4:$X$13,0))-Q36,""))</f>
        <v/>
      </c>
      <c r="V36" s="42" t="str">
        <f aca="false">IF(OR(E36="",N36=""),"",IFERROR(INDEX(Segmentación!$K$4:$K$13,MATCH(C36&amp;" | "&amp;E36&amp;" | "&amp;F36,Segmentación!$X$4:$X$13,0))-R36,""))</f>
        <v/>
      </c>
      <c r="W36" s="38" t="str">
        <f aca="false">IF(OR(E36="",N36=""),"",IFERROR(INDEX(Segmentación!$L$4:$L$13,MATCH(C36&amp;" | "&amp;E36&amp;" | "&amp;F36,Segmentación!$X$4:$X$13,0))-S36,""))</f>
        <v/>
      </c>
      <c r="X36" s="39" t="str">
        <f aca="false">IF(OR(T36="",W36=""),"",IF(W36=0,"",U36/W36))</f>
        <v/>
      </c>
      <c r="Y36" s="6" t="str">
        <f aca="true">IF(D36="","",IF(OR(E36="",ISNUMBER(SEARCH("negativa",D36))),IF(N36="","Pendiente de aplicar","Aplicado (no se evalúa)"),IF(N36="","Pendiente de aplicar",IF(T36="","Sin datos",IF(T36&lt;Leyenda!$B$14,"Esperando datos ("&amp;T36&amp;" de 10 clics)",IF(V36=0,"Empeora: "&amp;T36&amp;" clics sin venta",IF(TODAY()&lt;O36,"Esperando atribución (7 días)",IF(X36&lt;=K36,"Mejora (ACOS "&amp;TEXT(X36,"0%")&amp;")","Empeora (ACOS "&amp;TEXT(X36,"0%")&amp;")"))))))))</f>
        <v/>
      </c>
      <c r="Z36" s="40"/>
      <c r="AA36" s="43"/>
    </row>
    <row r="37" customFormat="false" ht="15" hidden="false" customHeight="false" outlineLevel="0" collapsed="false">
      <c r="A37" s="36" t="s">
        <v>194</v>
      </c>
      <c r="B37" s="41"/>
      <c r="C37" s="40"/>
      <c r="D37" s="40"/>
      <c r="E37" s="43"/>
      <c r="F37" s="40"/>
      <c r="G37" s="44"/>
      <c r="H37" s="44"/>
      <c r="I37" s="39" t="str">
        <f aca="false">IF(OR(G37="",H37="",G37=0),"",H37/G37-1)</f>
        <v/>
      </c>
      <c r="J37" s="43"/>
      <c r="K37" s="45"/>
      <c r="L37" s="40"/>
      <c r="M37" s="40"/>
      <c r="N37" s="41"/>
      <c r="O37" s="37" t="str">
        <f aca="false">IF(N37="","",N37+Leyenda!$B$15)</f>
        <v/>
      </c>
      <c r="P37" s="46"/>
      <c r="Q37" s="44"/>
      <c r="R37" s="46"/>
      <c r="S37" s="44"/>
      <c r="T37" s="42" t="str">
        <f aca="false">IF(OR(E37="",N37=""),"",IFERROR(INDEX(Segmentación!$G$4:$G$13,MATCH(C37&amp;" | "&amp;E37&amp;" | "&amp;F37,Segmentación!$X$4:$X$13,0))-P37,""))</f>
        <v/>
      </c>
      <c r="U37" s="38" t="str">
        <f aca="false">IF(OR(E37="",N37=""),"",IFERROR(INDEX(Segmentación!$I$4:$I$13,MATCH(C37&amp;" | "&amp;E37&amp;" | "&amp;F37,Segmentación!$X$4:$X$13,0))-Q37,""))</f>
        <v/>
      </c>
      <c r="V37" s="42" t="str">
        <f aca="false">IF(OR(E37="",N37=""),"",IFERROR(INDEX(Segmentación!$K$4:$K$13,MATCH(C37&amp;" | "&amp;E37&amp;" | "&amp;F37,Segmentación!$X$4:$X$13,0))-R37,""))</f>
        <v/>
      </c>
      <c r="W37" s="38" t="str">
        <f aca="false">IF(OR(E37="",N37=""),"",IFERROR(INDEX(Segmentación!$L$4:$L$13,MATCH(C37&amp;" | "&amp;E37&amp;" | "&amp;F37,Segmentación!$X$4:$X$13,0))-S37,""))</f>
        <v/>
      </c>
      <c r="X37" s="39" t="str">
        <f aca="false">IF(OR(T37="",W37=""),"",IF(W37=0,"",U37/W37))</f>
        <v/>
      </c>
      <c r="Y37" s="6" t="str">
        <f aca="true">IF(D37="","",IF(OR(E37="",ISNUMBER(SEARCH("negativa",D37))),IF(N37="","Pendiente de aplicar","Aplicado (no se evalúa)"),IF(N37="","Pendiente de aplicar",IF(T37="","Sin datos",IF(T37&lt;Leyenda!$B$14,"Esperando datos ("&amp;T37&amp;" de 10 clics)",IF(V37=0,"Empeora: "&amp;T37&amp;" clics sin venta",IF(TODAY()&lt;O37,"Esperando atribución (7 días)",IF(X37&lt;=K37,"Mejora (ACOS "&amp;TEXT(X37,"0%")&amp;")","Empeora (ACOS "&amp;TEXT(X37,"0%")&amp;")"))))))))</f>
        <v/>
      </c>
      <c r="Z37" s="40"/>
      <c r="AA37" s="43"/>
    </row>
    <row r="38" customFormat="false" ht="15" hidden="false" customHeight="false" outlineLevel="0" collapsed="false">
      <c r="A38" s="36" t="s">
        <v>195</v>
      </c>
      <c r="B38" s="41"/>
      <c r="C38" s="40"/>
      <c r="D38" s="40"/>
      <c r="E38" s="43"/>
      <c r="F38" s="40"/>
      <c r="G38" s="44"/>
      <c r="H38" s="44"/>
      <c r="I38" s="39" t="str">
        <f aca="false">IF(OR(G38="",H38="",G38=0),"",H38/G38-1)</f>
        <v/>
      </c>
      <c r="J38" s="43"/>
      <c r="K38" s="45"/>
      <c r="L38" s="40"/>
      <c r="M38" s="40"/>
      <c r="N38" s="41"/>
      <c r="O38" s="37" t="str">
        <f aca="false">IF(N38="","",N38+Leyenda!$B$15)</f>
        <v/>
      </c>
      <c r="P38" s="46"/>
      <c r="Q38" s="44"/>
      <c r="R38" s="46"/>
      <c r="S38" s="44"/>
      <c r="T38" s="42" t="str">
        <f aca="false">IF(OR(E38="",N38=""),"",IFERROR(INDEX(Segmentación!$G$4:$G$13,MATCH(C38&amp;" | "&amp;E38&amp;" | "&amp;F38,Segmentación!$X$4:$X$13,0))-P38,""))</f>
        <v/>
      </c>
      <c r="U38" s="38" t="str">
        <f aca="false">IF(OR(E38="",N38=""),"",IFERROR(INDEX(Segmentación!$I$4:$I$13,MATCH(C38&amp;" | "&amp;E38&amp;" | "&amp;F38,Segmentación!$X$4:$X$13,0))-Q38,""))</f>
        <v/>
      </c>
      <c r="V38" s="42" t="str">
        <f aca="false">IF(OR(E38="",N38=""),"",IFERROR(INDEX(Segmentación!$K$4:$K$13,MATCH(C38&amp;" | "&amp;E38&amp;" | "&amp;F38,Segmentación!$X$4:$X$13,0))-R38,""))</f>
        <v/>
      </c>
      <c r="W38" s="38" t="str">
        <f aca="false">IF(OR(E38="",N38=""),"",IFERROR(INDEX(Segmentación!$L$4:$L$13,MATCH(C38&amp;" | "&amp;E38&amp;" | "&amp;F38,Segmentación!$X$4:$X$13,0))-S38,""))</f>
        <v/>
      </c>
      <c r="X38" s="39" t="str">
        <f aca="false">IF(OR(T38="",W38=""),"",IF(W38=0,"",U38/W38))</f>
        <v/>
      </c>
      <c r="Y38" s="6" t="str">
        <f aca="true">IF(D38="","",IF(OR(E38="",ISNUMBER(SEARCH("negativa",D38))),IF(N38="","Pendiente de aplicar","Aplicado (no se evalúa)"),IF(N38="","Pendiente de aplicar",IF(T38="","Sin datos",IF(T38&lt;Leyenda!$B$14,"Esperando datos ("&amp;T38&amp;" de 10 clics)",IF(V38=0,"Empeora: "&amp;T38&amp;" clics sin venta",IF(TODAY()&lt;O38,"Esperando atribución (7 días)",IF(X38&lt;=K38,"Mejora (ACOS "&amp;TEXT(X38,"0%")&amp;")","Empeora (ACOS "&amp;TEXT(X38,"0%")&amp;")"))))))))</f>
        <v/>
      </c>
      <c r="Z38" s="40"/>
      <c r="AA38" s="43"/>
    </row>
    <row r="39" customFormat="false" ht="15" hidden="false" customHeight="false" outlineLevel="0" collapsed="false">
      <c r="A39" s="36" t="s">
        <v>196</v>
      </c>
      <c r="B39" s="41"/>
      <c r="C39" s="40"/>
      <c r="D39" s="40"/>
      <c r="E39" s="43"/>
      <c r="F39" s="40"/>
      <c r="G39" s="44"/>
      <c r="H39" s="44"/>
      <c r="I39" s="39" t="str">
        <f aca="false">IF(OR(G39="",H39="",G39=0),"",H39/G39-1)</f>
        <v/>
      </c>
      <c r="J39" s="43"/>
      <c r="K39" s="45"/>
      <c r="L39" s="40"/>
      <c r="M39" s="40"/>
      <c r="N39" s="41"/>
      <c r="O39" s="37" t="str">
        <f aca="false">IF(N39="","",N39+Leyenda!$B$15)</f>
        <v/>
      </c>
      <c r="P39" s="46"/>
      <c r="Q39" s="44"/>
      <c r="R39" s="46"/>
      <c r="S39" s="44"/>
      <c r="T39" s="42" t="str">
        <f aca="false">IF(OR(E39="",N39=""),"",IFERROR(INDEX(Segmentación!$G$4:$G$13,MATCH(C39&amp;" | "&amp;E39&amp;" | "&amp;F39,Segmentación!$X$4:$X$13,0))-P39,""))</f>
        <v/>
      </c>
      <c r="U39" s="38" t="str">
        <f aca="false">IF(OR(E39="",N39=""),"",IFERROR(INDEX(Segmentación!$I$4:$I$13,MATCH(C39&amp;" | "&amp;E39&amp;" | "&amp;F39,Segmentación!$X$4:$X$13,0))-Q39,""))</f>
        <v/>
      </c>
      <c r="V39" s="42" t="str">
        <f aca="false">IF(OR(E39="",N39=""),"",IFERROR(INDEX(Segmentación!$K$4:$K$13,MATCH(C39&amp;" | "&amp;E39&amp;" | "&amp;F39,Segmentación!$X$4:$X$13,0))-R39,""))</f>
        <v/>
      </c>
      <c r="W39" s="38" t="str">
        <f aca="false">IF(OR(E39="",N39=""),"",IFERROR(INDEX(Segmentación!$L$4:$L$13,MATCH(C39&amp;" | "&amp;E39&amp;" | "&amp;F39,Segmentación!$X$4:$X$13,0))-S39,""))</f>
        <v/>
      </c>
      <c r="X39" s="39" t="str">
        <f aca="false">IF(OR(T39="",W39=""),"",IF(W39=0,"",U39/W39))</f>
        <v/>
      </c>
      <c r="Y39" s="6" t="str">
        <f aca="true">IF(D39="","",IF(OR(E39="",ISNUMBER(SEARCH("negativa",D39))),IF(N39="","Pendiente de aplicar","Aplicado (no se evalúa)"),IF(N39="","Pendiente de aplicar",IF(T39="","Sin datos",IF(T39&lt;Leyenda!$B$14,"Esperando datos ("&amp;T39&amp;" de 10 clics)",IF(V39=0,"Empeora: "&amp;T39&amp;" clics sin venta",IF(TODAY()&lt;O39,"Esperando atribución (7 días)",IF(X39&lt;=K39,"Mejora (ACOS "&amp;TEXT(X39,"0%")&amp;")","Empeora (ACOS "&amp;TEXT(X39,"0%")&amp;")"))))))))</f>
        <v/>
      </c>
      <c r="Z39" s="40"/>
      <c r="AA39" s="43"/>
    </row>
    <row r="40" customFormat="false" ht="15" hidden="false" customHeight="false" outlineLevel="0" collapsed="false">
      <c r="A40" s="36" t="s">
        <v>197</v>
      </c>
      <c r="B40" s="41"/>
      <c r="C40" s="40"/>
      <c r="D40" s="40"/>
      <c r="E40" s="43"/>
      <c r="F40" s="40"/>
      <c r="G40" s="44"/>
      <c r="H40" s="44"/>
      <c r="I40" s="39" t="str">
        <f aca="false">IF(OR(G40="",H40="",G40=0),"",H40/G40-1)</f>
        <v/>
      </c>
      <c r="J40" s="43"/>
      <c r="K40" s="45"/>
      <c r="L40" s="40"/>
      <c r="M40" s="40"/>
      <c r="N40" s="41"/>
      <c r="O40" s="37" t="str">
        <f aca="false">IF(N40="","",N40+Leyenda!$B$15)</f>
        <v/>
      </c>
      <c r="P40" s="46"/>
      <c r="Q40" s="44"/>
      <c r="R40" s="46"/>
      <c r="S40" s="44"/>
      <c r="T40" s="42" t="str">
        <f aca="false">IF(OR(E40="",N40=""),"",IFERROR(INDEX(Segmentación!$G$4:$G$13,MATCH(C40&amp;" | "&amp;E40&amp;" | "&amp;F40,Segmentación!$X$4:$X$13,0))-P40,""))</f>
        <v/>
      </c>
      <c r="U40" s="38" t="str">
        <f aca="false">IF(OR(E40="",N40=""),"",IFERROR(INDEX(Segmentación!$I$4:$I$13,MATCH(C40&amp;" | "&amp;E40&amp;" | "&amp;F40,Segmentación!$X$4:$X$13,0))-Q40,""))</f>
        <v/>
      </c>
      <c r="V40" s="42" t="str">
        <f aca="false">IF(OR(E40="",N40=""),"",IFERROR(INDEX(Segmentación!$K$4:$K$13,MATCH(C40&amp;" | "&amp;E40&amp;" | "&amp;F40,Segmentación!$X$4:$X$13,0))-R40,""))</f>
        <v/>
      </c>
      <c r="W40" s="38" t="str">
        <f aca="false">IF(OR(E40="",N40=""),"",IFERROR(INDEX(Segmentación!$L$4:$L$13,MATCH(C40&amp;" | "&amp;E40&amp;" | "&amp;F40,Segmentación!$X$4:$X$13,0))-S40,""))</f>
        <v/>
      </c>
      <c r="X40" s="39" t="str">
        <f aca="false">IF(OR(T40="",W40=""),"",IF(W40=0,"",U40/W40))</f>
        <v/>
      </c>
      <c r="Y40" s="6" t="str">
        <f aca="true">IF(D40="","",IF(OR(E40="",ISNUMBER(SEARCH("negativa",D40))),IF(N40="","Pendiente de aplicar","Aplicado (no se evalúa)"),IF(N40="","Pendiente de aplicar",IF(T40="","Sin datos",IF(T40&lt;Leyenda!$B$14,"Esperando datos ("&amp;T40&amp;" de 10 clics)",IF(V40=0,"Empeora: "&amp;T40&amp;" clics sin venta",IF(TODAY()&lt;O40,"Esperando atribución (7 días)",IF(X40&lt;=K40,"Mejora (ACOS "&amp;TEXT(X40,"0%")&amp;")","Empeora (ACOS "&amp;TEXT(X40,"0%")&amp;")"))))))))</f>
        <v/>
      </c>
      <c r="Z40" s="40"/>
      <c r="AA40" s="43"/>
    </row>
    <row r="41" customFormat="false" ht="15" hidden="false" customHeight="false" outlineLevel="0" collapsed="false">
      <c r="A41" s="36" t="s">
        <v>198</v>
      </c>
      <c r="B41" s="41"/>
      <c r="C41" s="40"/>
      <c r="D41" s="40"/>
      <c r="E41" s="43"/>
      <c r="F41" s="40"/>
      <c r="G41" s="44"/>
      <c r="H41" s="44"/>
      <c r="I41" s="39" t="str">
        <f aca="false">IF(OR(G41="",H41="",G41=0),"",H41/G41-1)</f>
        <v/>
      </c>
      <c r="J41" s="43"/>
      <c r="K41" s="45"/>
      <c r="L41" s="40"/>
      <c r="M41" s="40"/>
      <c r="N41" s="41"/>
      <c r="O41" s="37" t="str">
        <f aca="false">IF(N41="","",N41+Leyenda!$B$15)</f>
        <v/>
      </c>
      <c r="P41" s="46"/>
      <c r="Q41" s="44"/>
      <c r="R41" s="46"/>
      <c r="S41" s="44"/>
      <c r="T41" s="42" t="str">
        <f aca="false">IF(OR(E41="",N41=""),"",IFERROR(INDEX(Segmentación!$G$4:$G$13,MATCH(C41&amp;" | "&amp;E41&amp;" | "&amp;F41,Segmentación!$X$4:$X$13,0))-P41,""))</f>
        <v/>
      </c>
      <c r="U41" s="38" t="str">
        <f aca="false">IF(OR(E41="",N41=""),"",IFERROR(INDEX(Segmentación!$I$4:$I$13,MATCH(C41&amp;" | "&amp;E41&amp;" | "&amp;F41,Segmentación!$X$4:$X$13,0))-Q41,""))</f>
        <v/>
      </c>
      <c r="V41" s="42" t="str">
        <f aca="false">IF(OR(E41="",N41=""),"",IFERROR(INDEX(Segmentación!$K$4:$K$13,MATCH(C41&amp;" | "&amp;E41&amp;" | "&amp;F41,Segmentación!$X$4:$X$13,0))-R41,""))</f>
        <v/>
      </c>
      <c r="W41" s="38" t="str">
        <f aca="false">IF(OR(E41="",N41=""),"",IFERROR(INDEX(Segmentación!$L$4:$L$13,MATCH(C41&amp;" | "&amp;E41&amp;" | "&amp;F41,Segmentación!$X$4:$X$13,0))-S41,""))</f>
        <v/>
      </c>
      <c r="X41" s="39" t="str">
        <f aca="false">IF(OR(T41="",W41=""),"",IF(W41=0,"",U41/W41))</f>
        <v/>
      </c>
      <c r="Y41" s="6" t="str">
        <f aca="true">IF(D41="","",IF(OR(E41="",ISNUMBER(SEARCH("negativa",D41))),IF(N41="","Pendiente de aplicar","Aplicado (no se evalúa)"),IF(N41="","Pendiente de aplicar",IF(T41="","Sin datos",IF(T41&lt;Leyenda!$B$14,"Esperando datos ("&amp;T41&amp;" de 10 clics)",IF(V41=0,"Empeora: "&amp;T41&amp;" clics sin venta",IF(TODAY()&lt;O41,"Esperando atribución (7 días)",IF(X41&lt;=K41,"Mejora (ACOS "&amp;TEXT(X41,"0%")&amp;")","Empeora (ACOS "&amp;TEXT(X41,"0%")&amp;")"))))))))</f>
        <v/>
      </c>
      <c r="Z41" s="40"/>
      <c r="AA41" s="43"/>
    </row>
    <row r="42" customFormat="false" ht="15" hidden="false" customHeight="false" outlineLevel="0" collapsed="false">
      <c r="A42" s="36" t="s">
        <v>199</v>
      </c>
      <c r="B42" s="41"/>
      <c r="C42" s="40"/>
      <c r="D42" s="40"/>
      <c r="E42" s="43"/>
      <c r="F42" s="40"/>
      <c r="G42" s="44"/>
      <c r="H42" s="44"/>
      <c r="I42" s="39" t="str">
        <f aca="false">IF(OR(G42="",H42="",G42=0),"",H42/G42-1)</f>
        <v/>
      </c>
      <c r="J42" s="43"/>
      <c r="K42" s="45"/>
      <c r="L42" s="40"/>
      <c r="M42" s="40"/>
      <c r="N42" s="41"/>
      <c r="O42" s="37" t="str">
        <f aca="false">IF(N42="","",N42+Leyenda!$B$15)</f>
        <v/>
      </c>
      <c r="P42" s="46"/>
      <c r="Q42" s="44"/>
      <c r="R42" s="46"/>
      <c r="S42" s="44"/>
      <c r="T42" s="42" t="str">
        <f aca="false">IF(OR(E42="",N42=""),"",IFERROR(INDEX(Segmentación!$G$4:$G$13,MATCH(C42&amp;" | "&amp;E42&amp;" | "&amp;F42,Segmentación!$X$4:$X$13,0))-P42,""))</f>
        <v/>
      </c>
      <c r="U42" s="38" t="str">
        <f aca="false">IF(OR(E42="",N42=""),"",IFERROR(INDEX(Segmentación!$I$4:$I$13,MATCH(C42&amp;" | "&amp;E42&amp;" | "&amp;F42,Segmentación!$X$4:$X$13,0))-Q42,""))</f>
        <v/>
      </c>
      <c r="V42" s="42" t="str">
        <f aca="false">IF(OR(E42="",N42=""),"",IFERROR(INDEX(Segmentación!$K$4:$K$13,MATCH(C42&amp;" | "&amp;E42&amp;" | "&amp;F42,Segmentación!$X$4:$X$13,0))-R42,""))</f>
        <v/>
      </c>
      <c r="W42" s="38" t="str">
        <f aca="false">IF(OR(E42="",N42=""),"",IFERROR(INDEX(Segmentación!$L$4:$L$13,MATCH(C42&amp;" | "&amp;E42&amp;" | "&amp;F42,Segmentación!$X$4:$X$13,0))-S42,""))</f>
        <v/>
      </c>
      <c r="X42" s="39" t="str">
        <f aca="false">IF(OR(T42="",W42=""),"",IF(W42=0,"",U42/W42))</f>
        <v/>
      </c>
      <c r="Y42" s="6" t="str">
        <f aca="true">IF(D42="","",IF(OR(E42="",ISNUMBER(SEARCH("negativa",D42))),IF(N42="","Pendiente de aplicar","Aplicado (no se evalúa)"),IF(N42="","Pendiente de aplicar",IF(T42="","Sin datos",IF(T42&lt;Leyenda!$B$14,"Esperando datos ("&amp;T42&amp;" de 10 clics)",IF(V42=0,"Empeora: "&amp;T42&amp;" clics sin venta",IF(TODAY()&lt;O42,"Esperando atribución (7 días)",IF(X42&lt;=K42,"Mejora (ACOS "&amp;TEXT(X42,"0%")&amp;")","Empeora (ACOS "&amp;TEXT(X42,"0%")&amp;")"))))))))</f>
        <v/>
      </c>
      <c r="Z42" s="40"/>
      <c r="AA42" s="43"/>
    </row>
    <row r="43" customFormat="false" ht="15" hidden="false" customHeight="false" outlineLevel="0" collapsed="false">
      <c r="A43" s="36" t="s">
        <v>200</v>
      </c>
      <c r="B43" s="41"/>
      <c r="C43" s="40"/>
      <c r="D43" s="40"/>
      <c r="E43" s="43"/>
      <c r="F43" s="40"/>
      <c r="G43" s="44"/>
      <c r="H43" s="44"/>
      <c r="I43" s="39" t="str">
        <f aca="false">IF(OR(G43="",H43="",G43=0),"",H43/G43-1)</f>
        <v/>
      </c>
      <c r="J43" s="43"/>
      <c r="K43" s="45"/>
      <c r="L43" s="40"/>
      <c r="M43" s="40"/>
      <c r="N43" s="41"/>
      <c r="O43" s="37" t="str">
        <f aca="false">IF(N43="","",N43+Leyenda!$B$15)</f>
        <v/>
      </c>
      <c r="P43" s="46"/>
      <c r="Q43" s="44"/>
      <c r="R43" s="46"/>
      <c r="S43" s="44"/>
      <c r="T43" s="42" t="str">
        <f aca="false">IF(OR(E43="",N43=""),"",IFERROR(INDEX(Segmentación!$G$4:$G$13,MATCH(C43&amp;" | "&amp;E43&amp;" | "&amp;F43,Segmentación!$X$4:$X$13,0))-P43,""))</f>
        <v/>
      </c>
      <c r="U43" s="38" t="str">
        <f aca="false">IF(OR(E43="",N43=""),"",IFERROR(INDEX(Segmentación!$I$4:$I$13,MATCH(C43&amp;" | "&amp;E43&amp;" | "&amp;F43,Segmentación!$X$4:$X$13,0))-Q43,""))</f>
        <v/>
      </c>
      <c r="V43" s="42" t="str">
        <f aca="false">IF(OR(E43="",N43=""),"",IFERROR(INDEX(Segmentación!$K$4:$K$13,MATCH(C43&amp;" | "&amp;E43&amp;" | "&amp;F43,Segmentación!$X$4:$X$13,0))-R43,""))</f>
        <v/>
      </c>
      <c r="W43" s="38" t="str">
        <f aca="false">IF(OR(E43="",N43=""),"",IFERROR(INDEX(Segmentación!$L$4:$L$13,MATCH(C43&amp;" | "&amp;E43&amp;" | "&amp;F43,Segmentación!$X$4:$X$13,0))-S43,""))</f>
        <v/>
      </c>
      <c r="X43" s="39" t="str">
        <f aca="false">IF(OR(T43="",W43=""),"",IF(W43=0,"",U43/W43))</f>
        <v/>
      </c>
      <c r="Y43" s="6" t="str">
        <f aca="true">IF(D43="","",IF(OR(E43="",ISNUMBER(SEARCH("negativa",D43))),IF(N43="","Pendiente de aplicar","Aplicado (no se evalúa)"),IF(N43="","Pendiente de aplicar",IF(T43="","Sin datos",IF(T43&lt;Leyenda!$B$14,"Esperando datos ("&amp;T43&amp;" de 10 clics)",IF(V43=0,"Empeora: "&amp;T43&amp;" clics sin venta",IF(TODAY()&lt;O43,"Esperando atribución (7 días)",IF(X43&lt;=K43,"Mejora (ACOS "&amp;TEXT(X43,"0%")&amp;")","Empeora (ACOS "&amp;TEXT(X43,"0%")&amp;")"))))))))</f>
        <v/>
      </c>
      <c r="Z43" s="40"/>
      <c r="AA43" s="43"/>
    </row>
    <row r="44" customFormat="false" ht="15" hidden="false" customHeight="false" outlineLevel="0" collapsed="false">
      <c r="A44" s="36" t="s">
        <v>201</v>
      </c>
      <c r="B44" s="41"/>
      <c r="C44" s="40"/>
      <c r="D44" s="40"/>
      <c r="E44" s="43"/>
      <c r="F44" s="40"/>
      <c r="G44" s="44"/>
      <c r="H44" s="44"/>
      <c r="I44" s="39" t="str">
        <f aca="false">IF(OR(G44="",H44="",G44=0),"",H44/G44-1)</f>
        <v/>
      </c>
      <c r="J44" s="43"/>
      <c r="K44" s="45"/>
      <c r="L44" s="40"/>
      <c r="M44" s="40"/>
      <c r="N44" s="41"/>
      <c r="O44" s="37" t="str">
        <f aca="false">IF(N44="","",N44+Leyenda!$B$15)</f>
        <v/>
      </c>
      <c r="P44" s="46"/>
      <c r="Q44" s="44"/>
      <c r="R44" s="46"/>
      <c r="S44" s="44"/>
      <c r="T44" s="42" t="str">
        <f aca="false">IF(OR(E44="",N44=""),"",IFERROR(INDEX(Segmentación!$G$4:$G$13,MATCH(C44&amp;" | "&amp;E44&amp;" | "&amp;F44,Segmentación!$X$4:$X$13,0))-P44,""))</f>
        <v/>
      </c>
      <c r="U44" s="38" t="str">
        <f aca="false">IF(OR(E44="",N44=""),"",IFERROR(INDEX(Segmentación!$I$4:$I$13,MATCH(C44&amp;" | "&amp;E44&amp;" | "&amp;F44,Segmentación!$X$4:$X$13,0))-Q44,""))</f>
        <v/>
      </c>
      <c r="V44" s="42" t="str">
        <f aca="false">IF(OR(E44="",N44=""),"",IFERROR(INDEX(Segmentación!$K$4:$K$13,MATCH(C44&amp;" | "&amp;E44&amp;" | "&amp;F44,Segmentación!$X$4:$X$13,0))-R44,""))</f>
        <v/>
      </c>
      <c r="W44" s="38" t="str">
        <f aca="false">IF(OR(E44="",N44=""),"",IFERROR(INDEX(Segmentación!$L$4:$L$13,MATCH(C44&amp;" | "&amp;E44&amp;" | "&amp;F44,Segmentación!$X$4:$X$13,0))-S44,""))</f>
        <v/>
      </c>
      <c r="X44" s="39" t="str">
        <f aca="false">IF(OR(T44="",W44=""),"",IF(W44=0,"",U44/W44))</f>
        <v/>
      </c>
      <c r="Y44" s="6" t="str">
        <f aca="true">IF(D44="","",IF(OR(E44="",ISNUMBER(SEARCH("negativa",D44))),IF(N44="","Pendiente de aplicar","Aplicado (no se evalúa)"),IF(N44="","Pendiente de aplicar",IF(T44="","Sin datos",IF(T44&lt;Leyenda!$B$14,"Esperando datos ("&amp;T44&amp;" de 10 clics)",IF(V44=0,"Empeora: "&amp;T44&amp;" clics sin venta",IF(TODAY()&lt;O44,"Esperando atribución (7 días)",IF(X44&lt;=K44,"Mejora (ACOS "&amp;TEXT(X44,"0%")&amp;")","Empeora (ACOS "&amp;TEXT(X44,"0%")&amp;")"))))))))</f>
        <v/>
      </c>
      <c r="Z44" s="40"/>
      <c r="AA44" s="43"/>
    </row>
    <row r="45" customFormat="false" ht="15" hidden="false" customHeight="false" outlineLevel="0" collapsed="false">
      <c r="A45" s="36" t="s">
        <v>202</v>
      </c>
      <c r="B45" s="41"/>
      <c r="C45" s="40"/>
      <c r="D45" s="40"/>
      <c r="E45" s="43"/>
      <c r="F45" s="40"/>
      <c r="G45" s="44"/>
      <c r="H45" s="44"/>
      <c r="I45" s="39" t="str">
        <f aca="false">IF(OR(G45="",H45="",G45=0),"",H45/G45-1)</f>
        <v/>
      </c>
      <c r="J45" s="43"/>
      <c r="K45" s="45"/>
      <c r="L45" s="40"/>
      <c r="M45" s="40"/>
      <c r="N45" s="41"/>
      <c r="O45" s="37" t="str">
        <f aca="false">IF(N45="","",N45+Leyenda!$B$15)</f>
        <v/>
      </c>
      <c r="P45" s="46"/>
      <c r="Q45" s="44"/>
      <c r="R45" s="46"/>
      <c r="S45" s="44"/>
      <c r="T45" s="42" t="str">
        <f aca="false">IF(OR(E45="",N45=""),"",IFERROR(INDEX(Segmentación!$G$4:$G$13,MATCH(C45&amp;" | "&amp;E45&amp;" | "&amp;F45,Segmentación!$X$4:$X$13,0))-P45,""))</f>
        <v/>
      </c>
      <c r="U45" s="38" t="str">
        <f aca="false">IF(OR(E45="",N45=""),"",IFERROR(INDEX(Segmentación!$I$4:$I$13,MATCH(C45&amp;" | "&amp;E45&amp;" | "&amp;F45,Segmentación!$X$4:$X$13,0))-Q45,""))</f>
        <v/>
      </c>
      <c r="V45" s="42" t="str">
        <f aca="false">IF(OR(E45="",N45=""),"",IFERROR(INDEX(Segmentación!$K$4:$K$13,MATCH(C45&amp;" | "&amp;E45&amp;" | "&amp;F45,Segmentación!$X$4:$X$13,0))-R45,""))</f>
        <v/>
      </c>
      <c r="W45" s="38" t="str">
        <f aca="false">IF(OR(E45="",N45=""),"",IFERROR(INDEX(Segmentación!$L$4:$L$13,MATCH(C45&amp;" | "&amp;E45&amp;" | "&amp;F45,Segmentación!$X$4:$X$13,0))-S45,""))</f>
        <v/>
      </c>
      <c r="X45" s="39" t="str">
        <f aca="false">IF(OR(T45="",W45=""),"",IF(W45=0,"",U45/W45))</f>
        <v/>
      </c>
      <c r="Y45" s="6" t="str">
        <f aca="true">IF(D45="","",IF(OR(E45="",ISNUMBER(SEARCH("negativa",D45))),IF(N45="","Pendiente de aplicar","Aplicado (no se evalúa)"),IF(N45="","Pendiente de aplicar",IF(T45="","Sin datos",IF(T45&lt;Leyenda!$B$14,"Esperando datos ("&amp;T45&amp;" de 10 clics)",IF(V45=0,"Empeora: "&amp;T45&amp;" clics sin venta",IF(TODAY()&lt;O45,"Esperando atribución (7 días)",IF(X45&lt;=K45,"Mejora (ACOS "&amp;TEXT(X45,"0%")&amp;")","Empeora (ACOS "&amp;TEXT(X45,"0%")&amp;")"))))))))</f>
        <v/>
      </c>
      <c r="Z45" s="40"/>
      <c r="AA45" s="43"/>
    </row>
    <row r="46" customFormat="false" ht="15" hidden="false" customHeight="false" outlineLevel="0" collapsed="false">
      <c r="A46" s="36" t="s">
        <v>203</v>
      </c>
      <c r="B46" s="41"/>
      <c r="C46" s="40"/>
      <c r="D46" s="40"/>
      <c r="E46" s="43"/>
      <c r="F46" s="40"/>
      <c r="G46" s="44"/>
      <c r="H46" s="44"/>
      <c r="I46" s="39" t="str">
        <f aca="false">IF(OR(G46="",H46="",G46=0),"",H46/G46-1)</f>
        <v/>
      </c>
      <c r="J46" s="43"/>
      <c r="K46" s="45"/>
      <c r="L46" s="40"/>
      <c r="M46" s="40"/>
      <c r="N46" s="41"/>
      <c r="O46" s="37" t="str">
        <f aca="false">IF(N46="","",N46+Leyenda!$B$15)</f>
        <v/>
      </c>
      <c r="P46" s="46"/>
      <c r="Q46" s="44"/>
      <c r="R46" s="46"/>
      <c r="S46" s="44"/>
      <c r="T46" s="42" t="str">
        <f aca="false">IF(OR(E46="",N46=""),"",IFERROR(INDEX(Segmentación!$G$4:$G$13,MATCH(C46&amp;" | "&amp;E46&amp;" | "&amp;F46,Segmentación!$X$4:$X$13,0))-P46,""))</f>
        <v/>
      </c>
      <c r="U46" s="38" t="str">
        <f aca="false">IF(OR(E46="",N46=""),"",IFERROR(INDEX(Segmentación!$I$4:$I$13,MATCH(C46&amp;" | "&amp;E46&amp;" | "&amp;F46,Segmentación!$X$4:$X$13,0))-Q46,""))</f>
        <v/>
      </c>
      <c r="V46" s="42" t="str">
        <f aca="false">IF(OR(E46="",N46=""),"",IFERROR(INDEX(Segmentación!$K$4:$K$13,MATCH(C46&amp;" | "&amp;E46&amp;" | "&amp;F46,Segmentación!$X$4:$X$13,0))-R46,""))</f>
        <v/>
      </c>
      <c r="W46" s="38" t="str">
        <f aca="false">IF(OR(E46="",N46=""),"",IFERROR(INDEX(Segmentación!$L$4:$L$13,MATCH(C46&amp;" | "&amp;E46&amp;" | "&amp;F46,Segmentación!$X$4:$X$13,0))-S46,""))</f>
        <v/>
      </c>
      <c r="X46" s="39" t="str">
        <f aca="false">IF(OR(T46="",W46=""),"",IF(W46=0,"",U46/W46))</f>
        <v/>
      </c>
      <c r="Y46" s="6" t="str">
        <f aca="true">IF(D46="","",IF(OR(E46="",ISNUMBER(SEARCH("negativa",D46))),IF(N46="","Pendiente de aplicar","Aplicado (no se evalúa)"),IF(N46="","Pendiente de aplicar",IF(T46="","Sin datos",IF(T46&lt;Leyenda!$B$14,"Esperando datos ("&amp;T46&amp;" de 10 clics)",IF(V46=0,"Empeora: "&amp;T46&amp;" clics sin venta",IF(TODAY()&lt;O46,"Esperando atribución (7 días)",IF(X46&lt;=K46,"Mejora (ACOS "&amp;TEXT(X46,"0%")&amp;")","Empeora (ACOS "&amp;TEXT(X46,"0%")&amp;")"))))))))</f>
        <v/>
      </c>
      <c r="Z46" s="40"/>
      <c r="AA46" s="43"/>
    </row>
    <row r="47" customFormat="false" ht="15" hidden="false" customHeight="false" outlineLevel="0" collapsed="false">
      <c r="A47" s="36" t="s">
        <v>204</v>
      </c>
      <c r="B47" s="41"/>
      <c r="C47" s="40"/>
      <c r="D47" s="40"/>
      <c r="E47" s="43"/>
      <c r="F47" s="40"/>
      <c r="G47" s="44"/>
      <c r="H47" s="44"/>
      <c r="I47" s="39" t="str">
        <f aca="false">IF(OR(G47="",H47="",G47=0),"",H47/G47-1)</f>
        <v/>
      </c>
      <c r="J47" s="43"/>
      <c r="K47" s="45"/>
      <c r="L47" s="40"/>
      <c r="M47" s="40"/>
      <c r="N47" s="41"/>
      <c r="O47" s="37" t="str">
        <f aca="false">IF(N47="","",N47+Leyenda!$B$15)</f>
        <v/>
      </c>
      <c r="P47" s="46"/>
      <c r="Q47" s="44"/>
      <c r="R47" s="46"/>
      <c r="S47" s="44"/>
      <c r="T47" s="42" t="str">
        <f aca="false">IF(OR(E47="",N47=""),"",IFERROR(INDEX(Segmentación!$G$4:$G$13,MATCH(C47&amp;" | "&amp;E47&amp;" | "&amp;F47,Segmentación!$X$4:$X$13,0))-P47,""))</f>
        <v/>
      </c>
      <c r="U47" s="38" t="str">
        <f aca="false">IF(OR(E47="",N47=""),"",IFERROR(INDEX(Segmentación!$I$4:$I$13,MATCH(C47&amp;" | "&amp;E47&amp;" | "&amp;F47,Segmentación!$X$4:$X$13,0))-Q47,""))</f>
        <v/>
      </c>
      <c r="V47" s="42" t="str">
        <f aca="false">IF(OR(E47="",N47=""),"",IFERROR(INDEX(Segmentación!$K$4:$K$13,MATCH(C47&amp;" | "&amp;E47&amp;" | "&amp;F47,Segmentación!$X$4:$X$13,0))-R47,""))</f>
        <v/>
      </c>
      <c r="W47" s="38" t="str">
        <f aca="false">IF(OR(E47="",N47=""),"",IFERROR(INDEX(Segmentación!$L$4:$L$13,MATCH(C47&amp;" | "&amp;E47&amp;" | "&amp;F47,Segmentación!$X$4:$X$13,0))-S47,""))</f>
        <v/>
      </c>
      <c r="X47" s="39" t="str">
        <f aca="false">IF(OR(T47="",W47=""),"",IF(W47=0,"",U47/W47))</f>
        <v/>
      </c>
      <c r="Y47" s="6" t="str">
        <f aca="true">IF(D47="","",IF(OR(E47="",ISNUMBER(SEARCH("negativa",D47))),IF(N47="","Pendiente de aplicar","Aplicado (no se evalúa)"),IF(N47="","Pendiente de aplicar",IF(T47="","Sin datos",IF(T47&lt;Leyenda!$B$14,"Esperando datos ("&amp;T47&amp;" de 10 clics)",IF(V47=0,"Empeora: "&amp;T47&amp;" clics sin venta",IF(TODAY()&lt;O47,"Esperando atribución (7 días)",IF(X47&lt;=K47,"Mejora (ACOS "&amp;TEXT(X47,"0%")&amp;")","Empeora (ACOS "&amp;TEXT(X47,"0%")&amp;")"))))))))</f>
        <v/>
      </c>
      <c r="Z47" s="40"/>
      <c r="AA47" s="43"/>
    </row>
    <row r="48" customFormat="false" ht="15" hidden="false" customHeight="false" outlineLevel="0" collapsed="false">
      <c r="A48" s="36" t="s">
        <v>205</v>
      </c>
      <c r="B48" s="41"/>
      <c r="C48" s="40"/>
      <c r="D48" s="40"/>
      <c r="E48" s="43"/>
      <c r="F48" s="40"/>
      <c r="G48" s="44"/>
      <c r="H48" s="44"/>
      <c r="I48" s="39" t="str">
        <f aca="false">IF(OR(G48="",H48="",G48=0),"",H48/G48-1)</f>
        <v/>
      </c>
      <c r="J48" s="43"/>
      <c r="K48" s="45"/>
      <c r="L48" s="40"/>
      <c r="M48" s="40"/>
      <c r="N48" s="41"/>
      <c r="O48" s="37" t="str">
        <f aca="false">IF(N48="","",N48+Leyenda!$B$15)</f>
        <v/>
      </c>
      <c r="P48" s="46"/>
      <c r="Q48" s="44"/>
      <c r="R48" s="46"/>
      <c r="S48" s="44"/>
      <c r="T48" s="42" t="str">
        <f aca="false">IF(OR(E48="",N48=""),"",IFERROR(INDEX(Segmentación!$G$4:$G$13,MATCH(C48&amp;" | "&amp;E48&amp;" | "&amp;F48,Segmentación!$X$4:$X$13,0))-P48,""))</f>
        <v/>
      </c>
      <c r="U48" s="38" t="str">
        <f aca="false">IF(OR(E48="",N48=""),"",IFERROR(INDEX(Segmentación!$I$4:$I$13,MATCH(C48&amp;" | "&amp;E48&amp;" | "&amp;F48,Segmentación!$X$4:$X$13,0))-Q48,""))</f>
        <v/>
      </c>
      <c r="V48" s="42" t="str">
        <f aca="false">IF(OR(E48="",N48=""),"",IFERROR(INDEX(Segmentación!$K$4:$K$13,MATCH(C48&amp;" | "&amp;E48&amp;" | "&amp;F48,Segmentación!$X$4:$X$13,0))-R48,""))</f>
        <v/>
      </c>
      <c r="W48" s="38" t="str">
        <f aca="false">IF(OR(E48="",N48=""),"",IFERROR(INDEX(Segmentación!$L$4:$L$13,MATCH(C48&amp;" | "&amp;E48&amp;" | "&amp;F48,Segmentación!$X$4:$X$13,0))-S48,""))</f>
        <v/>
      </c>
      <c r="X48" s="39" t="str">
        <f aca="false">IF(OR(T48="",W48=""),"",IF(W48=0,"",U48/W48))</f>
        <v/>
      </c>
      <c r="Y48" s="6" t="str">
        <f aca="true">IF(D48="","",IF(OR(E48="",ISNUMBER(SEARCH("negativa",D48))),IF(N48="","Pendiente de aplicar","Aplicado (no se evalúa)"),IF(N48="","Pendiente de aplicar",IF(T48="","Sin datos",IF(T48&lt;Leyenda!$B$14,"Esperando datos ("&amp;T48&amp;" de 10 clics)",IF(V48=0,"Empeora: "&amp;T48&amp;" clics sin venta",IF(TODAY()&lt;O48,"Esperando atribución (7 días)",IF(X48&lt;=K48,"Mejora (ACOS "&amp;TEXT(X48,"0%")&amp;")","Empeora (ACOS "&amp;TEXT(X48,"0%")&amp;")"))))))))</f>
        <v/>
      </c>
      <c r="Z48" s="40"/>
      <c r="AA48" s="43"/>
    </row>
    <row r="49" customFormat="false" ht="15" hidden="false" customHeight="false" outlineLevel="0" collapsed="false">
      <c r="A49" s="36" t="s">
        <v>206</v>
      </c>
      <c r="B49" s="41"/>
      <c r="C49" s="40"/>
      <c r="D49" s="40"/>
      <c r="E49" s="43"/>
      <c r="F49" s="40"/>
      <c r="G49" s="44"/>
      <c r="H49" s="44"/>
      <c r="I49" s="39" t="str">
        <f aca="false">IF(OR(G49="",H49="",G49=0),"",H49/G49-1)</f>
        <v/>
      </c>
      <c r="J49" s="43"/>
      <c r="K49" s="45"/>
      <c r="L49" s="40"/>
      <c r="M49" s="40"/>
      <c r="N49" s="41"/>
      <c r="O49" s="37" t="str">
        <f aca="false">IF(N49="","",N49+Leyenda!$B$15)</f>
        <v/>
      </c>
      <c r="P49" s="46"/>
      <c r="Q49" s="44"/>
      <c r="R49" s="46"/>
      <c r="S49" s="44"/>
      <c r="T49" s="42" t="str">
        <f aca="false">IF(OR(E49="",N49=""),"",IFERROR(INDEX(Segmentación!$G$4:$G$13,MATCH(C49&amp;" | "&amp;E49&amp;" | "&amp;F49,Segmentación!$X$4:$X$13,0))-P49,""))</f>
        <v/>
      </c>
      <c r="U49" s="38" t="str">
        <f aca="false">IF(OR(E49="",N49=""),"",IFERROR(INDEX(Segmentación!$I$4:$I$13,MATCH(C49&amp;" | "&amp;E49&amp;" | "&amp;F49,Segmentación!$X$4:$X$13,0))-Q49,""))</f>
        <v/>
      </c>
      <c r="V49" s="42" t="str">
        <f aca="false">IF(OR(E49="",N49=""),"",IFERROR(INDEX(Segmentación!$K$4:$K$13,MATCH(C49&amp;" | "&amp;E49&amp;" | "&amp;F49,Segmentación!$X$4:$X$13,0))-R49,""))</f>
        <v/>
      </c>
      <c r="W49" s="38" t="str">
        <f aca="false">IF(OR(E49="",N49=""),"",IFERROR(INDEX(Segmentación!$L$4:$L$13,MATCH(C49&amp;" | "&amp;E49&amp;" | "&amp;F49,Segmentación!$X$4:$X$13,0))-S49,""))</f>
        <v/>
      </c>
      <c r="X49" s="39" t="str">
        <f aca="false">IF(OR(T49="",W49=""),"",IF(W49=0,"",U49/W49))</f>
        <v/>
      </c>
      <c r="Y49" s="6" t="str">
        <f aca="true">IF(D49="","",IF(OR(E49="",ISNUMBER(SEARCH("negativa",D49))),IF(N49="","Pendiente de aplicar","Aplicado (no se evalúa)"),IF(N49="","Pendiente de aplicar",IF(T49="","Sin datos",IF(T49&lt;Leyenda!$B$14,"Esperando datos ("&amp;T49&amp;" de 10 clics)",IF(V49=0,"Empeora: "&amp;T49&amp;" clics sin venta",IF(TODAY()&lt;O49,"Esperando atribución (7 días)",IF(X49&lt;=K49,"Mejora (ACOS "&amp;TEXT(X49,"0%")&amp;")","Empeora (ACOS "&amp;TEXT(X49,"0%")&amp;")"))))))))</f>
        <v/>
      </c>
      <c r="Z49" s="40"/>
      <c r="AA49" s="43"/>
    </row>
    <row r="50" customFormat="false" ht="15" hidden="false" customHeight="false" outlineLevel="0" collapsed="false">
      <c r="A50" s="36" t="s">
        <v>207</v>
      </c>
      <c r="B50" s="41"/>
      <c r="C50" s="40"/>
      <c r="D50" s="40"/>
      <c r="E50" s="43"/>
      <c r="F50" s="40"/>
      <c r="G50" s="44"/>
      <c r="H50" s="44"/>
      <c r="I50" s="39" t="str">
        <f aca="false">IF(OR(G50="",H50="",G50=0),"",H50/G50-1)</f>
        <v/>
      </c>
      <c r="J50" s="43"/>
      <c r="K50" s="45"/>
      <c r="L50" s="40"/>
      <c r="M50" s="40"/>
      <c r="N50" s="41"/>
      <c r="O50" s="37" t="str">
        <f aca="false">IF(N50="","",N50+Leyenda!$B$15)</f>
        <v/>
      </c>
      <c r="P50" s="46"/>
      <c r="Q50" s="44"/>
      <c r="R50" s="46"/>
      <c r="S50" s="44"/>
      <c r="T50" s="42" t="str">
        <f aca="false">IF(OR(E50="",N50=""),"",IFERROR(INDEX(Segmentación!$G$4:$G$13,MATCH(C50&amp;" | "&amp;E50&amp;" | "&amp;F50,Segmentación!$X$4:$X$13,0))-P50,""))</f>
        <v/>
      </c>
      <c r="U50" s="38" t="str">
        <f aca="false">IF(OR(E50="",N50=""),"",IFERROR(INDEX(Segmentación!$I$4:$I$13,MATCH(C50&amp;" | "&amp;E50&amp;" | "&amp;F50,Segmentación!$X$4:$X$13,0))-Q50,""))</f>
        <v/>
      </c>
      <c r="V50" s="42" t="str">
        <f aca="false">IF(OR(E50="",N50=""),"",IFERROR(INDEX(Segmentación!$K$4:$K$13,MATCH(C50&amp;" | "&amp;E50&amp;" | "&amp;F50,Segmentación!$X$4:$X$13,0))-R50,""))</f>
        <v/>
      </c>
      <c r="W50" s="38" t="str">
        <f aca="false">IF(OR(E50="",N50=""),"",IFERROR(INDEX(Segmentación!$L$4:$L$13,MATCH(C50&amp;" | "&amp;E50&amp;" | "&amp;F50,Segmentación!$X$4:$X$13,0))-S50,""))</f>
        <v/>
      </c>
      <c r="X50" s="39" t="str">
        <f aca="false">IF(OR(T50="",W50=""),"",IF(W50=0,"",U50/W50))</f>
        <v/>
      </c>
      <c r="Y50" s="6" t="str">
        <f aca="true">IF(D50="","",IF(OR(E50="",ISNUMBER(SEARCH("negativa",D50))),IF(N50="","Pendiente de aplicar","Aplicado (no se evalúa)"),IF(N50="","Pendiente de aplicar",IF(T50="","Sin datos",IF(T50&lt;Leyenda!$B$14,"Esperando datos ("&amp;T50&amp;" de 10 clics)",IF(V50=0,"Empeora: "&amp;T50&amp;" clics sin venta",IF(TODAY()&lt;O50,"Esperando atribución (7 días)",IF(X50&lt;=K50,"Mejora (ACOS "&amp;TEXT(X50,"0%")&amp;")","Empeora (ACOS "&amp;TEXT(X50,"0%")&amp;")"))))))))</f>
        <v/>
      </c>
      <c r="Z50" s="40"/>
      <c r="AA50" s="43"/>
    </row>
    <row r="51" customFormat="false" ht="15" hidden="false" customHeight="false" outlineLevel="0" collapsed="false">
      <c r="A51" s="36" t="s">
        <v>208</v>
      </c>
      <c r="B51" s="41"/>
      <c r="C51" s="40"/>
      <c r="D51" s="40"/>
      <c r="E51" s="43"/>
      <c r="F51" s="40"/>
      <c r="G51" s="44"/>
      <c r="H51" s="44"/>
      <c r="I51" s="39" t="str">
        <f aca="false">IF(OR(G51="",H51="",G51=0),"",H51/G51-1)</f>
        <v/>
      </c>
      <c r="J51" s="43"/>
      <c r="K51" s="45"/>
      <c r="L51" s="40"/>
      <c r="M51" s="40"/>
      <c r="N51" s="41"/>
      <c r="O51" s="37" t="str">
        <f aca="false">IF(N51="","",N51+Leyenda!$B$15)</f>
        <v/>
      </c>
      <c r="P51" s="46"/>
      <c r="Q51" s="44"/>
      <c r="R51" s="46"/>
      <c r="S51" s="44"/>
      <c r="T51" s="42" t="str">
        <f aca="false">IF(OR(E51="",N51=""),"",IFERROR(INDEX(Segmentación!$G$4:$G$13,MATCH(C51&amp;" | "&amp;E51&amp;" | "&amp;F51,Segmentación!$X$4:$X$13,0))-P51,""))</f>
        <v/>
      </c>
      <c r="U51" s="38" t="str">
        <f aca="false">IF(OR(E51="",N51=""),"",IFERROR(INDEX(Segmentación!$I$4:$I$13,MATCH(C51&amp;" | "&amp;E51&amp;" | "&amp;F51,Segmentación!$X$4:$X$13,0))-Q51,""))</f>
        <v/>
      </c>
      <c r="V51" s="42" t="str">
        <f aca="false">IF(OR(E51="",N51=""),"",IFERROR(INDEX(Segmentación!$K$4:$K$13,MATCH(C51&amp;" | "&amp;E51&amp;" | "&amp;F51,Segmentación!$X$4:$X$13,0))-R51,""))</f>
        <v/>
      </c>
      <c r="W51" s="38" t="str">
        <f aca="false">IF(OR(E51="",N51=""),"",IFERROR(INDEX(Segmentación!$L$4:$L$13,MATCH(C51&amp;" | "&amp;E51&amp;" | "&amp;F51,Segmentación!$X$4:$X$13,0))-S51,""))</f>
        <v/>
      </c>
      <c r="X51" s="39" t="str">
        <f aca="false">IF(OR(T51="",W51=""),"",IF(W51=0,"",U51/W51))</f>
        <v/>
      </c>
      <c r="Y51" s="6" t="str">
        <f aca="true">IF(D51="","",IF(OR(E51="",ISNUMBER(SEARCH("negativa",D51))),IF(N51="","Pendiente de aplicar","Aplicado (no se evalúa)"),IF(N51="","Pendiente de aplicar",IF(T51="","Sin datos",IF(T51&lt;Leyenda!$B$14,"Esperando datos ("&amp;T51&amp;" de 10 clics)",IF(V51=0,"Empeora: "&amp;T51&amp;" clics sin venta",IF(TODAY()&lt;O51,"Esperando atribución (7 días)",IF(X51&lt;=K51,"Mejora (ACOS "&amp;TEXT(X51,"0%")&amp;")","Empeora (ACOS "&amp;TEXT(X51,"0%")&amp;")"))))))))</f>
        <v/>
      </c>
      <c r="Z51" s="40"/>
      <c r="AA51" s="43"/>
    </row>
    <row r="52" customFormat="false" ht="15" hidden="false" customHeight="false" outlineLevel="0" collapsed="false">
      <c r="A52" s="36" t="s">
        <v>209</v>
      </c>
      <c r="B52" s="41"/>
      <c r="C52" s="40"/>
      <c r="D52" s="40"/>
      <c r="E52" s="43"/>
      <c r="F52" s="40"/>
      <c r="G52" s="44"/>
      <c r="H52" s="44"/>
      <c r="I52" s="39" t="str">
        <f aca="false">IF(OR(G52="",H52="",G52=0),"",H52/G52-1)</f>
        <v/>
      </c>
      <c r="J52" s="43"/>
      <c r="K52" s="45"/>
      <c r="L52" s="40"/>
      <c r="M52" s="40"/>
      <c r="N52" s="41"/>
      <c r="O52" s="37" t="str">
        <f aca="false">IF(N52="","",N52+Leyenda!$B$15)</f>
        <v/>
      </c>
      <c r="P52" s="46"/>
      <c r="Q52" s="44"/>
      <c r="R52" s="46"/>
      <c r="S52" s="44"/>
      <c r="T52" s="42" t="str">
        <f aca="false">IF(OR(E52="",N52=""),"",IFERROR(INDEX(Segmentación!$G$4:$G$13,MATCH(C52&amp;" | "&amp;E52&amp;" | "&amp;F52,Segmentación!$X$4:$X$13,0))-P52,""))</f>
        <v/>
      </c>
      <c r="U52" s="38" t="str">
        <f aca="false">IF(OR(E52="",N52=""),"",IFERROR(INDEX(Segmentación!$I$4:$I$13,MATCH(C52&amp;" | "&amp;E52&amp;" | "&amp;F52,Segmentación!$X$4:$X$13,0))-Q52,""))</f>
        <v/>
      </c>
      <c r="V52" s="42" t="str">
        <f aca="false">IF(OR(E52="",N52=""),"",IFERROR(INDEX(Segmentación!$K$4:$K$13,MATCH(C52&amp;" | "&amp;E52&amp;" | "&amp;F52,Segmentación!$X$4:$X$13,0))-R52,""))</f>
        <v/>
      </c>
      <c r="W52" s="38" t="str">
        <f aca="false">IF(OR(E52="",N52=""),"",IFERROR(INDEX(Segmentación!$L$4:$L$13,MATCH(C52&amp;" | "&amp;E52&amp;" | "&amp;F52,Segmentación!$X$4:$X$13,0))-S52,""))</f>
        <v/>
      </c>
      <c r="X52" s="39" t="str">
        <f aca="false">IF(OR(T52="",W52=""),"",IF(W52=0,"",U52/W52))</f>
        <v/>
      </c>
      <c r="Y52" s="6" t="str">
        <f aca="true">IF(D52="","",IF(OR(E52="",ISNUMBER(SEARCH("negativa",D52))),IF(N52="","Pendiente de aplicar","Aplicado (no se evalúa)"),IF(N52="","Pendiente de aplicar",IF(T52="","Sin datos",IF(T52&lt;Leyenda!$B$14,"Esperando datos ("&amp;T52&amp;" de 10 clics)",IF(V52=0,"Empeora: "&amp;T52&amp;" clics sin venta",IF(TODAY()&lt;O52,"Esperando atribución (7 días)",IF(X52&lt;=K52,"Mejora (ACOS "&amp;TEXT(X52,"0%")&amp;")","Empeora (ACOS "&amp;TEXT(X52,"0%")&amp;")"))))))))</f>
        <v/>
      </c>
      <c r="Z52" s="40"/>
      <c r="AA52" s="43"/>
    </row>
    <row r="53" customFormat="false" ht="15" hidden="false" customHeight="false" outlineLevel="0" collapsed="false">
      <c r="A53" s="36" t="s">
        <v>210</v>
      </c>
      <c r="B53" s="41"/>
      <c r="C53" s="40"/>
      <c r="D53" s="40"/>
      <c r="E53" s="43"/>
      <c r="F53" s="40"/>
      <c r="G53" s="44"/>
      <c r="H53" s="44"/>
      <c r="I53" s="39" t="str">
        <f aca="false">IF(OR(G53="",H53="",G53=0),"",H53/G53-1)</f>
        <v/>
      </c>
      <c r="J53" s="43"/>
      <c r="K53" s="45"/>
      <c r="L53" s="40"/>
      <c r="M53" s="40"/>
      <c r="N53" s="41"/>
      <c r="O53" s="37" t="str">
        <f aca="false">IF(N53="","",N53+Leyenda!$B$15)</f>
        <v/>
      </c>
      <c r="P53" s="46"/>
      <c r="Q53" s="44"/>
      <c r="R53" s="46"/>
      <c r="S53" s="44"/>
      <c r="T53" s="42" t="str">
        <f aca="false">IF(OR(E53="",N53=""),"",IFERROR(INDEX(Segmentación!$G$4:$G$13,MATCH(C53&amp;" | "&amp;E53&amp;" | "&amp;F53,Segmentación!$X$4:$X$13,0))-P53,""))</f>
        <v/>
      </c>
      <c r="U53" s="38" t="str">
        <f aca="false">IF(OR(E53="",N53=""),"",IFERROR(INDEX(Segmentación!$I$4:$I$13,MATCH(C53&amp;" | "&amp;E53&amp;" | "&amp;F53,Segmentación!$X$4:$X$13,0))-Q53,""))</f>
        <v/>
      </c>
      <c r="V53" s="42" t="str">
        <f aca="false">IF(OR(E53="",N53=""),"",IFERROR(INDEX(Segmentación!$K$4:$K$13,MATCH(C53&amp;" | "&amp;E53&amp;" | "&amp;F53,Segmentación!$X$4:$X$13,0))-R53,""))</f>
        <v/>
      </c>
      <c r="W53" s="38" t="str">
        <f aca="false">IF(OR(E53="",N53=""),"",IFERROR(INDEX(Segmentación!$L$4:$L$13,MATCH(C53&amp;" | "&amp;E53&amp;" | "&amp;F53,Segmentación!$X$4:$X$13,0))-S53,""))</f>
        <v/>
      </c>
      <c r="X53" s="39" t="str">
        <f aca="false">IF(OR(T53="",W53=""),"",IF(W53=0,"",U53/W53))</f>
        <v/>
      </c>
      <c r="Y53" s="6" t="str">
        <f aca="true">IF(D53="","",IF(OR(E53="",ISNUMBER(SEARCH("negativa",D53))),IF(N53="","Pendiente de aplicar","Aplicado (no se evalúa)"),IF(N53="","Pendiente de aplicar",IF(T53="","Sin datos",IF(T53&lt;Leyenda!$B$14,"Esperando datos ("&amp;T53&amp;" de 10 clics)",IF(V53=0,"Empeora: "&amp;T53&amp;" clics sin venta",IF(TODAY()&lt;O53,"Esperando atribución (7 días)",IF(X53&lt;=K53,"Mejora (ACOS "&amp;TEXT(X53,"0%")&amp;")","Empeora (ACOS "&amp;TEXT(X53,"0%")&amp;")"))))))))</f>
        <v/>
      </c>
      <c r="Z53" s="40"/>
      <c r="AA53" s="43"/>
    </row>
    <row r="54" customFormat="false" ht="15" hidden="false" customHeight="false" outlineLevel="0" collapsed="false">
      <c r="A54" s="36" t="s">
        <v>211</v>
      </c>
      <c r="B54" s="41"/>
      <c r="C54" s="40"/>
      <c r="D54" s="40"/>
      <c r="E54" s="43"/>
      <c r="F54" s="40"/>
      <c r="G54" s="44"/>
      <c r="H54" s="44"/>
      <c r="I54" s="39" t="str">
        <f aca="false">IF(OR(G54="",H54="",G54=0),"",H54/G54-1)</f>
        <v/>
      </c>
      <c r="J54" s="43"/>
      <c r="K54" s="45"/>
      <c r="L54" s="40"/>
      <c r="M54" s="40"/>
      <c r="N54" s="41"/>
      <c r="O54" s="37" t="str">
        <f aca="false">IF(N54="","",N54+Leyenda!$B$15)</f>
        <v/>
      </c>
      <c r="P54" s="46"/>
      <c r="Q54" s="44"/>
      <c r="R54" s="46"/>
      <c r="S54" s="44"/>
      <c r="T54" s="42" t="str">
        <f aca="false">IF(OR(E54="",N54=""),"",IFERROR(INDEX(Segmentación!$G$4:$G$13,MATCH(C54&amp;" | "&amp;E54&amp;" | "&amp;F54,Segmentación!$X$4:$X$13,0))-P54,""))</f>
        <v/>
      </c>
      <c r="U54" s="38" t="str">
        <f aca="false">IF(OR(E54="",N54=""),"",IFERROR(INDEX(Segmentación!$I$4:$I$13,MATCH(C54&amp;" | "&amp;E54&amp;" | "&amp;F54,Segmentación!$X$4:$X$13,0))-Q54,""))</f>
        <v/>
      </c>
      <c r="V54" s="42" t="str">
        <f aca="false">IF(OR(E54="",N54=""),"",IFERROR(INDEX(Segmentación!$K$4:$K$13,MATCH(C54&amp;" | "&amp;E54&amp;" | "&amp;F54,Segmentación!$X$4:$X$13,0))-R54,""))</f>
        <v/>
      </c>
      <c r="W54" s="38" t="str">
        <f aca="false">IF(OR(E54="",N54=""),"",IFERROR(INDEX(Segmentación!$L$4:$L$13,MATCH(C54&amp;" | "&amp;E54&amp;" | "&amp;F54,Segmentación!$X$4:$X$13,0))-S54,""))</f>
        <v/>
      </c>
      <c r="X54" s="39" t="str">
        <f aca="false">IF(OR(T54="",W54=""),"",IF(W54=0,"",U54/W54))</f>
        <v/>
      </c>
      <c r="Y54" s="6" t="str">
        <f aca="true">IF(D54="","",IF(OR(E54="",ISNUMBER(SEARCH("negativa",D54))),IF(N54="","Pendiente de aplicar","Aplicado (no se evalúa)"),IF(N54="","Pendiente de aplicar",IF(T54="","Sin datos",IF(T54&lt;Leyenda!$B$14,"Esperando datos ("&amp;T54&amp;" de 10 clics)",IF(V54=0,"Empeora: "&amp;T54&amp;" clics sin venta",IF(TODAY()&lt;O54,"Esperando atribución (7 días)",IF(X54&lt;=K54,"Mejora (ACOS "&amp;TEXT(X54,"0%")&amp;")","Empeora (ACOS "&amp;TEXT(X54,"0%")&amp;")"))))))))</f>
        <v/>
      </c>
      <c r="Z54" s="40"/>
      <c r="AA54" s="43"/>
    </row>
    <row r="55" customFormat="false" ht="15" hidden="false" customHeight="false" outlineLevel="0" collapsed="false">
      <c r="A55" s="36" t="s">
        <v>212</v>
      </c>
      <c r="B55" s="41"/>
      <c r="C55" s="40"/>
      <c r="D55" s="40"/>
      <c r="E55" s="43"/>
      <c r="F55" s="40"/>
      <c r="G55" s="44"/>
      <c r="H55" s="44"/>
      <c r="I55" s="39" t="str">
        <f aca="false">IF(OR(G55="",H55="",G55=0),"",H55/G55-1)</f>
        <v/>
      </c>
      <c r="J55" s="43"/>
      <c r="K55" s="45"/>
      <c r="L55" s="40"/>
      <c r="M55" s="40"/>
      <c r="N55" s="41"/>
      <c r="O55" s="37" t="str">
        <f aca="false">IF(N55="","",N55+Leyenda!$B$15)</f>
        <v/>
      </c>
      <c r="P55" s="46"/>
      <c r="Q55" s="44"/>
      <c r="R55" s="46"/>
      <c r="S55" s="44"/>
      <c r="T55" s="42" t="str">
        <f aca="false">IF(OR(E55="",N55=""),"",IFERROR(INDEX(Segmentación!$G$4:$G$13,MATCH(C55&amp;" | "&amp;E55&amp;" | "&amp;F55,Segmentación!$X$4:$X$13,0))-P55,""))</f>
        <v/>
      </c>
      <c r="U55" s="38" t="str">
        <f aca="false">IF(OR(E55="",N55=""),"",IFERROR(INDEX(Segmentación!$I$4:$I$13,MATCH(C55&amp;" | "&amp;E55&amp;" | "&amp;F55,Segmentación!$X$4:$X$13,0))-Q55,""))</f>
        <v/>
      </c>
      <c r="V55" s="42" t="str">
        <f aca="false">IF(OR(E55="",N55=""),"",IFERROR(INDEX(Segmentación!$K$4:$K$13,MATCH(C55&amp;" | "&amp;E55&amp;" | "&amp;F55,Segmentación!$X$4:$X$13,0))-R55,""))</f>
        <v/>
      </c>
      <c r="W55" s="38" t="str">
        <f aca="false">IF(OR(E55="",N55=""),"",IFERROR(INDEX(Segmentación!$L$4:$L$13,MATCH(C55&amp;" | "&amp;E55&amp;" | "&amp;F55,Segmentación!$X$4:$X$13,0))-S55,""))</f>
        <v/>
      </c>
      <c r="X55" s="39" t="str">
        <f aca="false">IF(OR(T55="",W55=""),"",IF(W55=0,"",U55/W55))</f>
        <v/>
      </c>
      <c r="Y55" s="6" t="str">
        <f aca="true">IF(D55="","",IF(OR(E55="",ISNUMBER(SEARCH("negativa",D55))),IF(N55="","Pendiente de aplicar","Aplicado (no se evalúa)"),IF(N55="","Pendiente de aplicar",IF(T55="","Sin datos",IF(T55&lt;Leyenda!$B$14,"Esperando datos ("&amp;T55&amp;" de 10 clics)",IF(V55=0,"Empeora: "&amp;T55&amp;" clics sin venta",IF(TODAY()&lt;O55,"Esperando atribución (7 días)",IF(X55&lt;=K55,"Mejora (ACOS "&amp;TEXT(X55,"0%")&amp;")","Empeora (ACOS "&amp;TEXT(X55,"0%")&amp;")"))))))))</f>
        <v/>
      </c>
      <c r="Z55" s="40"/>
      <c r="AA55" s="43"/>
    </row>
    <row r="56" customFormat="false" ht="15" hidden="false" customHeight="false" outlineLevel="0" collapsed="false">
      <c r="A56" s="36" t="s">
        <v>213</v>
      </c>
      <c r="B56" s="41"/>
      <c r="C56" s="40"/>
      <c r="D56" s="40"/>
      <c r="E56" s="43"/>
      <c r="F56" s="40"/>
      <c r="G56" s="44"/>
      <c r="H56" s="44"/>
      <c r="I56" s="39" t="str">
        <f aca="false">IF(OR(G56="",H56="",G56=0),"",H56/G56-1)</f>
        <v/>
      </c>
      <c r="J56" s="43"/>
      <c r="K56" s="45"/>
      <c r="L56" s="40"/>
      <c r="M56" s="40"/>
      <c r="N56" s="41"/>
      <c r="O56" s="37" t="str">
        <f aca="false">IF(N56="","",N56+Leyenda!$B$15)</f>
        <v/>
      </c>
      <c r="P56" s="46"/>
      <c r="Q56" s="44"/>
      <c r="R56" s="46"/>
      <c r="S56" s="44"/>
      <c r="T56" s="42" t="str">
        <f aca="false">IF(OR(E56="",N56=""),"",IFERROR(INDEX(Segmentación!$G$4:$G$13,MATCH(C56&amp;" | "&amp;E56&amp;" | "&amp;F56,Segmentación!$X$4:$X$13,0))-P56,""))</f>
        <v/>
      </c>
      <c r="U56" s="38" t="str">
        <f aca="false">IF(OR(E56="",N56=""),"",IFERROR(INDEX(Segmentación!$I$4:$I$13,MATCH(C56&amp;" | "&amp;E56&amp;" | "&amp;F56,Segmentación!$X$4:$X$13,0))-Q56,""))</f>
        <v/>
      </c>
      <c r="V56" s="42" t="str">
        <f aca="false">IF(OR(E56="",N56=""),"",IFERROR(INDEX(Segmentación!$K$4:$K$13,MATCH(C56&amp;" | "&amp;E56&amp;" | "&amp;F56,Segmentación!$X$4:$X$13,0))-R56,""))</f>
        <v/>
      </c>
      <c r="W56" s="38" t="str">
        <f aca="false">IF(OR(E56="",N56=""),"",IFERROR(INDEX(Segmentación!$L$4:$L$13,MATCH(C56&amp;" | "&amp;E56&amp;" | "&amp;F56,Segmentación!$X$4:$X$13,0))-S56,""))</f>
        <v/>
      </c>
      <c r="X56" s="39" t="str">
        <f aca="false">IF(OR(T56="",W56=""),"",IF(W56=0,"",U56/W56))</f>
        <v/>
      </c>
      <c r="Y56" s="6" t="str">
        <f aca="true">IF(D56="","",IF(OR(E56="",ISNUMBER(SEARCH("negativa",D56))),IF(N56="","Pendiente de aplicar","Aplicado (no se evalúa)"),IF(N56="","Pendiente de aplicar",IF(T56="","Sin datos",IF(T56&lt;Leyenda!$B$14,"Esperando datos ("&amp;T56&amp;" de 10 clics)",IF(V56=0,"Empeora: "&amp;T56&amp;" clics sin venta",IF(TODAY()&lt;O56,"Esperando atribución (7 días)",IF(X56&lt;=K56,"Mejora (ACOS "&amp;TEXT(X56,"0%")&amp;")","Empeora (ACOS "&amp;TEXT(X56,"0%")&amp;")"))))))))</f>
        <v/>
      </c>
      <c r="Z56" s="40"/>
      <c r="AA56" s="43"/>
    </row>
    <row r="57" customFormat="false" ht="15" hidden="false" customHeight="false" outlineLevel="0" collapsed="false">
      <c r="A57" s="36" t="s">
        <v>214</v>
      </c>
      <c r="B57" s="41"/>
      <c r="C57" s="40"/>
      <c r="D57" s="40"/>
      <c r="E57" s="43"/>
      <c r="F57" s="40"/>
      <c r="G57" s="44"/>
      <c r="H57" s="44"/>
      <c r="I57" s="39" t="str">
        <f aca="false">IF(OR(G57="",H57="",G57=0),"",H57/G57-1)</f>
        <v/>
      </c>
      <c r="J57" s="43"/>
      <c r="K57" s="45"/>
      <c r="L57" s="40"/>
      <c r="M57" s="40"/>
      <c r="N57" s="41"/>
      <c r="O57" s="37" t="str">
        <f aca="false">IF(N57="","",N57+Leyenda!$B$15)</f>
        <v/>
      </c>
      <c r="P57" s="46"/>
      <c r="Q57" s="44"/>
      <c r="R57" s="46"/>
      <c r="S57" s="44"/>
      <c r="T57" s="42" t="str">
        <f aca="false">IF(OR(E57="",N57=""),"",IFERROR(INDEX(Segmentación!$G$4:$G$13,MATCH(C57&amp;" | "&amp;E57&amp;" | "&amp;F57,Segmentación!$X$4:$X$13,0))-P57,""))</f>
        <v/>
      </c>
      <c r="U57" s="38" t="str">
        <f aca="false">IF(OR(E57="",N57=""),"",IFERROR(INDEX(Segmentación!$I$4:$I$13,MATCH(C57&amp;" | "&amp;E57&amp;" | "&amp;F57,Segmentación!$X$4:$X$13,0))-Q57,""))</f>
        <v/>
      </c>
      <c r="V57" s="42" t="str">
        <f aca="false">IF(OR(E57="",N57=""),"",IFERROR(INDEX(Segmentación!$K$4:$K$13,MATCH(C57&amp;" | "&amp;E57&amp;" | "&amp;F57,Segmentación!$X$4:$X$13,0))-R57,""))</f>
        <v/>
      </c>
      <c r="W57" s="38" t="str">
        <f aca="false">IF(OR(E57="",N57=""),"",IFERROR(INDEX(Segmentación!$L$4:$L$13,MATCH(C57&amp;" | "&amp;E57&amp;" | "&amp;F57,Segmentación!$X$4:$X$13,0))-S57,""))</f>
        <v/>
      </c>
      <c r="X57" s="39" t="str">
        <f aca="false">IF(OR(T57="",W57=""),"",IF(W57=0,"",U57/W57))</f>
        <v/>
      </c>
      <c r="Y57" s="6" t="str">
        <f aca="true">IF(D57="","",IF(OR(E57="",ISNUMBER(SEARCH("negativa",D57))),IF(N57="","Pendiente de aplicar","Aplicado (no se evalúa)"),IF(N57="","Pendiente de aplicar",IF(T57="","Sin datos",IF(T57&lt;Leyenda!$B$14,"Esperando datos ("&amp;T57&amp;" de 10 clics)",IF(V57=0,"Empeora: "&amp;T57&amp;" clics sin venta",IF(TODAY()&lt;O57,"Esperando atribución (7 días)",IF(X57&lt;=K57,"Mejora (ACOS "&amp;TEXT(X57,"0%")&amp;")","Empeora (ACOS "&amp;TEXT(X57,"0%")&amp;")"))))))))</f>
        <v/>
      </c>
      <c r="Z57" s="40"/>
      <c r="AA57" s="43"/>
    </row>
    <row r="58" customFormat="false" ht="15" hidden="false" customHeight="false" outlineLevel="0" collapsed="false">
      <c r="A58" s="36" t="s">
        <v>215</v>
      </c>
      <c r="B58" s="41"/>
      <c r="C58" s="40"/>
      <c r="D58" s="40"/>
      <c r="E58" s="43"/>
      <c r="F58" s="40"/>
      <c r="G58" s="44"/>
      <c r="H58" s="44"/>
      <c r="I58" s="39" t="str">
        <f aca="false">IF(OR(G58="",H58="",G58=0),"",H58/G58-1)</f>
        <v/>
      </c>
      <c r="J58" s="43"/>
      <c r="K58" s="45"/>
      <c r="L58" s="40"/>
      <c r="M58" s="40"/>
      <c r="N58" s="41"/>
      <c r="O58" s="37" t="str">
        <f aca="false">IF(N58="","",N58+Leyenda!$B$15)</f>
        <v/>
      </c>
      <c r="P58" s="46"/>
      <c r="Q58" s="44"/>
      <c r="R58" s="46"/>
      <c r="S58" s="44"/>
      <c r="T58" s="42" t="str">
        <f aca="false">IF(OR(E58="",N58=""),"",IFERROR(INDEX(Segmentación!$G$4:$G$13,MATCH(C58&amp;" | "&amp;E58&amp;" | "&amp;F58,Segmentación!$X$4:$X$13,0))-P58,""))</f>
        <v/>
      </c>
      <c r="U58" s="38" t="str">
        <f aca="false">IF(OR(E58="",N58=""),"",IFERROR(INDEX(Segmentación!$I$4:$I$13,MATCH(C58&amp;" | "&amp;E58&amp;" | "&amp;F58,Segmentación!$X$4:$X$13,0))-Q58,""))</f>
        <v/>
      </c>
      <c r="V58" s="42" t="str">
        <f aca="false">IF(OR(E58="",N58=""),"",IFERROR(INDEX(Segmentación!$K$4:$K$13,MATCH(C58&amp;" | "&amp;E58&amp;" | "&amp;F58,Segmentación!$X$4:$X$13,0))-R58,""))</f>
        <v/>
      </c>
      <c r="W58" s="38" t="str">
        <f aca="false">IF(OR(E58="",N58=""),"",IFERROR(INDEX(Segmentación!$L$4:$L$13,MATCH(C58&amp;" | "&amp;E58&amp;" | "&amp;F58,Segmentación!$X$4:$X$13,0))-S58,""))</f>
        <v/>
      </c>
      <c r="X58" s="39" t="str">
        <f aca="false">IF(OR(T58="",W58=""),"",IF(W58=0,"",U58/W58))</f>
        <v/>
      </c>
      <c r="Y58" s="6" t="str">
        <f aca="true">IF(D58="","",IF(OR(E58="",ISNUMBER(SEARCH("negativa",D58))),IF(N58="","Pendiente de aplicar","Aplicado (no se evalúa)"),IF(N58="","Pendiente de aplicar",IF(T58="","Sin datos",IF(T58&lt;Leyenda!$B$14,"Esperando datos ("&amp;T58&amp;" de 10 clics)",IF(V58=0,"Empeora: "&amp;T58&amp;" clics sin venta",IF(TODAY()&lt;O58,"Esperando atribución (7 días)",IF(X58&lt;=K58,"Mejora (ACOS "&amp;TEXT(X58,"0%")&amp;")","Empeora (ACOS "&amp;TEXT(X58,"0%")&amp;")"))))))))</f>
        <v/>
      </c>
      <c r="Z58" s="40"/>
      <c r="AA58" s="43"/>
    </row>
    <row r="59" customFormat="false" ht="15" hidden="false" customHeight="false" outlineLevel="0" collapsed="false">
      <c r="A59" s="36" t="s">
        <v>216</v>
      </c>
      <c r="B59" s="41"/>
      <c r="C59" s="40"/>
      <c r="D59" s="40"/>
      <c r="E59" s="43"/>
      <c r="F59" s="40"/>
      <c r="G59" s="44"/>
      <c r="H59" s="44"/>
      <c r="I59" s="39" t="str">
        <f aca="false">IF(OR(G59="",H59="",G59=0),"",H59/G59-1)</f>
        <v/>
      </c>
      <c r="J59" s="43"/>
      <c r="K59" s="45"/>
      <c r="L59" s="40"/>
      <c r="M59" s="40"/>
      <c r="N59" s="41"/>
      <c r="O59" s="37" t="str">
        <f aca="false">IF(N59="","",N59+Leyenda!$B$15)</f>
        <v/>
      </c>
      <c r="P59" s="46"/>
      <c r="Q59" s="44"/>
      <c r="R59" s="46"/>
      <c r="S59" s="44"/>
      <c r="T59" s="42" t="str">
        <f aca="false">IF(OR(E59="",N59=""),"",IFERROR(INDEX(Segmentación!$G$4:$G$13,MATCH(C59&amp;" | "&amp;E59&amp;" | "&amp;F59,Segmentación!$X$4:$X$13,0))-P59,""))</f>
        <v/>
      </c>
      <c r="U59" s="38" t="str">
        <f aca="false">IF(OR(E59="",N59=""),"",IFERROR(INDEX(Segmentación!$I$4:$I$13,MATCH(C59&amp;" | "&amp;E59&amp;" | "&amp;F59,Segmentación!$X$4:$X$13,0))-Q59,""))</f>
        <v/>
      </c>
      <c r="V59" s="42" t="str">
        <f aca="false">IF(OR(E59="",N59=""),"",IFERROR(INDEX(Segmentación!$K$4:$K$13,MATCH(C59&amp;" | "&amp;E59&amp;" | "&amp;F59,Segmentación!$X$4:$X$13,0))-R59,""))</f>
        <v/>
      </c>
      <c r="W59" s="38" t="str">
        <f aca="false">IF(OR(E59="",N59=""),"",IFERROR(INDEX(Segmentación!$L$4:$L$13,MATCH(C59&amp;" | "&amp;E59&amp;" | "&amp;F59,Segmentación!$X$4:$X$13,0))-S59,""))</f>
        <v/>
      </c>
      <c r="X59" s="39" t="str">
        <f aca="false">IF(OR(T59="",W59=""),"",IF(W59=0,"",U59/W59))</f>
        <v/>
      </c>
      <c r="Y59" s="6" t="str">
        <f aca="true">IF(D59="","",IF(OR(E59="",ISNUMBER(SEARCH("negativa",D59))),IF(N59="","Pendiente de aplicar","Aplicado (no se evalúa)"),IF(N59="","Pendiente de aplicar",IF(T59="","Sin datos",IF(T59&lt;Leyenda!$B$14,"Esperando datos ("&amp;T59&amp;" de 10 clics)",IF(V59=0,"Empeora: "&amp;T59&amp;" clics sin venta",IF(TODAY()&lt;O59,"Esperando atribución (7 días)",IF(X59&lt;=K59,"Mejora (ACOS "&amp;TEXT(X59,"0%")&amp;")","Empeora (ACOS "&amp;TEXT(X59,"0%")&amp;")"))))))))</f>
        <v/>
      </c>
      <c r="Z59" s="40"/>
      <c r="AA59" s="43"/>
    </row>
    <row r="60" customFormat="false" ht="15" hidden="false" customHeight="false" outlineLevel="0" collapsed="false">
      <c r="A60" s="36" t="s">
        <v>217</v>
      </c>
      <c r="B60" s="41"/>
      <c r="C60" s="40"/>
      <c r="D60" s="40"/>
      <c r="E60" s="43"/>
      <c r="F60" s="40"/>
      <c r="G60" s="44"/>
      <c r="H60" s="44"/>
      <c r="I60" s="39" t="str">
        <f aca="false">IF(OR(G60="",H60="",G60=0),"",H60/G60-1)</f>
        <v/>
      </c>
      <c r="J60" s="43"/>
      <c r="K60" s="45"/>
      <c r="L60" s="40"/>
      <c r="M60" s="40"/>
      <c r="N60" s="41"/>
      <c r="O60" s="37" t="str">
        <f aca="false">IF(N60="","",N60+Leyenda!$B$15)</f>
        <v/>
      </c>
      <c r="P60" s="46"/>
      <c r="Q60" s="44"/>
      <c r="R60" s="46"/>
      <c r="S60" s="44"/>
      <c r="T60" s="42" t="str">
        <f aca="false">IF(OR(E60="",N60=""),"",IFERROR(INDEX(Segmentación!$G$4:$G$13,MATCH(C60&amp;" | "&amp;E60&amp;" | "&amp;F60,Segmentación!$X$4:$X$13,0))-P60,""))</f>
        <v/>
      </c>
      <c r="U60" s="38" t="str">
        <f aca="false">IF(OR(E60="",N60=""),"",IFERROR(INDEX(Segmentación!$I$4:$I$13,MATCH(C60&amp;" | "&amp;E60&amp;" | "&amp;F60,Segmentación!$X$4:$X$13,0))-Q60,""))</f>
        <v/>
      </c>
      <c r="V60" s="42" t="str">
        <f aca="false">IF(OR(E60="",N60=""),"",IFERROR(INDEX(Segmentación!$K$4:$K$13,MATCH(C60&amp;" | "&amp;E60&amp;" | "&amp;F60,Segmentación!$X$4:$X$13,0))-R60,""))</f>
        <v/>
      </c>
      <c r="W60" s="38" t="str">
        <f aca="false">IF(OR(E60="",N60=""),"",IFERROR(INDEX(Segmentación!$L$4:$L$13,MATCH(C60&amp;" | "&amp;E60&amp;" | "&amp;F60,Segmentación!$X$4:$X$13,0))-S60,""))</f>
        <v/>
      </c>
      <c r="X60" s="39" t="str">
        <f aca="false">IF(OR(T60="",W60=""),"",IF(W60=0,"",U60/W60))</f>
        <v/>
      </c>
      <c r="Y60" s="6" t="str">
        <f aca="true">IF(D60="","",IF(OR(E60="",ISNUMBER(SEARCH("negativa",D60))),IF(N60="","Pendiente de aplicar","Aplicado (no se evalúa)"),IF(N60="","Pendiente de aplicar",IF(T60="","Sin datos",IF(T60&lt;Leyenda!$B$14,"Esperando datos ("&amp;T60&amp;" de 10 clics)",IF(V60=0,"Empeora: "&amp;T60&amp;" clics sin venta",IF(TODAY()&lt;O60,"Esperando atribución (7 días)",IF(X60&lt;=K60,"Mejora (ACOS "&amp;TEXT(X60,"0%")&amp;")","Empeora (ACOS "&amp;TEXT(X60,"0%")&amp;")"))))))))</f>
        <v/>
      </c>
      <c r="Z60" s="40"/>
      <c r="AA60" s="43"/>
    </row>
    <row r="61" customFormat="false" ht="15" hidden="false" customHeight="false" outlineLevel="0" collapsed="false">
      <c r="A61" s="36" t="s">
        <v>218</v>
      </c>
      <c r="B61" s="41"/>
      <c r="C61" s="40"/>
      <c r="D61" s="40"/>
      <c r="E61" s="43"/>
      <c r="F61" s="40"/>
      <c r="G61" s="44"/>
      <c r="H61" s="44"/>
      <c r="I61" s="39" t="str">
        <f aca="false">IF(OR(G61="",H61="",G61=0),"",H61/G61-1)</f>
        <v/>
      </c>
      <c r="J61" s="43"/>
      <c r="K61" s="45"/>
      <c r="L61" s="40"/>
      <c r="M61" s="40"/>
      <c r="N61" s="41"/>
      <c r="O61" s="37" t="str">
        <f aca="false">IF(N61="","",N61+Leyenda!$B$15)</f>
        <v/>
      </c>
      <c r="P61" s="46"/>
      <c r="Q61" s="44"/>
      <c r="R61" s="46"/>
      <c r="S61" s="44"/>
      <c r="T61" s="42" t="str">
        <f aca="false">IF(OR(E61="",N61=""),"",IFERROR(INDEX(Segmentación!$G$4:$G$13,MATCH(C61&amp;" | "&amp;E61&amp;" | "&amp;F61,Segmentación!$X$4:$X$13,0))-P61,""))</f>
        <v/>
      </c>
      <c r="U61" s="38" t="str">
        <f aca="false">IF(OR(E61="",N61=""),"",IFERROR(INDEX(Segmentación!$I$4:$I$13,MATCH(C61&amp;" | "&amp;E61&amp;" | "&amp;F61,Segmentación!$X$4:$X$13,0))-Q61,""))</f>
        <v/>
      </c>
      <c r="V61" s="42" t="str">
        <f aca="false">IF(OR(E61="",N61=""),"",IFERROR(INDEX(Segmentación!$K$4:$K$13,MATCH(C61&amp;" | "&amp;E61&amp;" | "&amp;F61,Segmentación!$X$4:$X$13,0))-R61,""))</f>
        <v/>
      </c>
      <c r="W61" s="38" t="str">
        <f aca="false">IF(OR(E61="",N61=""),"",IFERROR(INDEX(Segmentación!$L$4:$L$13,MATCH(C61&amp;" | "&amp;E61&amp;" | "&amp;F61,Segmentación!$X$4:$X$13,0))-S61,""))</f>
        <v/>
      </c>
      <c r="X61" s="39" t="str">
        <f aca="false">IF(OR(T61="",W61=""),"",IF(W61=0,"",U61/W61))</f>
        <v/>
      </c>
      <c r="Y61" s="6" t="str">
        <f aca="true">IF(D61="","",IF(OR(E61="",ISNUMBER(SEARCH("negativa",D61))),IF(N61="","Pendiente de aplicar","Aplicado (no se evalúa)"),IF(N61="","Pendiente de aplicar",IF(T61="","Sin datos",IF(T61&lt;Leyenda!$B$14,"Esperando datos ("&amp;T61&amp;" de 10 clics)",IF(V61=0,"Empeora: "&amp;T61&amp;" clics sin venta",IF(TODAY()&lt;O61,"Esperando atribución (7 días)",IF(X61&lt;=K61,"Mejora (ACOS "&amp;TEXT(X61,"0%")&amp;")","Empeora (ACOS "&amp;TEXT(X61,"0%")&amp;")"))))))))</f>
        <v/>
      </c>
      <c r="Z61" s="40"/>
      <c r="AA61" s="43"/>
    </row>
    <row r="62" customFormat="false" ht="15" hidden="false" customHeight="false" outlineLevel="0" collapsed="false">
      <c r="A62" s="36" t="s">
        <v>219</v>
      </c>
      <c r="B62" s="41"/>
      <c r="C62" s="40"/>
      <c r="D62" s="40"/>
      <c r="E62" s="43"/>
      <c r="F62" s="40"/>
      <c r="G62" s="44"/>
      <c r="H62" s="44"/>
      <c r="I62" s="39" t="str">
        <f aca="false">IF(OR(G62="",H62="",G62=0),"",H62/G62-1)</f>
        <v/>
      </c>
      <c r="J62" s="43"/>
      <c r="K62" s="45"/>
      <c r="L62" s="40"/>
      <c r="M62" s="40"/>
      <c r="N62" s="41"/>
      <c r="O62" s="37" t="str">
        <f aca="false">IF(N62="","",N62+Leyenda!$B$15)</f>
        <v/>
      </c>
      <c r="P62" s="46"/>
      <c r="Q62" s="44"/>
      <c r="R62" s="46"/>
      <c r="S62" s="44"/>
      <c r="T62" s="42" t="str">
        <f aca="false">IF(OR(E62="",N62=""),"",IFERROR(INDEX(Segmentación!$G$4:$G$13,MATCH(C62&amp;" | "&amp;E62&amp;" | "&amp;F62,Segmentación!$X$4:$X$13,0))-P62,""))</f>
        <v/>
      </c>
      <c r="U62" s="38" t="str">
        <f aca="false">IF(OR(E62="",N62=""),"",IFERROR(INDEX(Segmentación!$I$4:$I$13,MATCH(C62&amp;" | "&amp;E62&amp;" | "&amp;F62,Segmentación!$X$4:$X$13,0))-Q62,""))</f>
        <v/>
      </c>
      <c r="V62" s="42" t="str">
        <f aca="false">IF(OR(E62="",N62=""),"",IFERROR(INDEX(Segmentación!$K$4:$K$13,MATCH(C62&amp;" | "&amp;E62&amp;" | "&amp;F62,Segmentación!$X$4:$X$13,0))-R62,""))</f>
        <v/>
      </c>
      <c r="W62" s="38" t="str">
        <f aca="false">IF(OR(E62="",N62=""),"",IFERROR(INDEX(Segmentación!$L$4:$L$13,MATCH(C62&amp;" | "&amp;E62&amp;" | "&amp;F62,Segmentación!$X$4:$X$13,0))-S62,""))</f>
        <v/>
      </c>
      <c r="X62" s="39" t="str">
        <f aca="false">IF(OR(T62="",W62=""),"",IF(W62=0,"",U62/W62))</f>
        <v/>
      </c>
      <c r="Y62" s="6" t="str">
        <f aca="true">IF(D62="","",IF(OR(E62="",ISNUMBER(SEARCH("negativa",D62))),IF(N62="","Pendiente de aplicar","Aplicado (no se evalúa)"),IF(N62="","Pendiente de aplicar",IF(T62="","Sin datos",IF(T62&lt;Leyenda!$B$14,"Esperando datos ("&amp;T62&amp;" de 10 clics)",IF(V62=0,"Empeora: "&amp;T62&amp;" clics sin venta",IF(TODAY()&lt;O62,"Esperando atribución (7 días)",IF(X62&lt;=K62,"Mejora (ACOS "&amp;TEXT(X62,"0%")&amp;")","Empeora (ACOS "&amp;TEXT(X62,"0%")&amp;")"))))))))</f>
        <v/>
      </c>
      <c r="Z62" s="40"/>
      <c r="AA62" s="43"/>
    </row>
    <row r="63" customFormat="false" ht="15" hidden="false" customHeight="false" outlineLevel="0" collapsed="false">
      <c r="A63" s="36" t="s">
        <v>220</v>
      </c>
      <c r="B63" s="41"/>
      <c r="C63" s="40"/>
      <c r="D63" s="40"/>
      <c r="E63" s="43"/>
      <c r="F63" s="40"/>
      <c r="G63" s="44"/>
      <c r="H63" s="44"/>
      <c r="I63" s="39" t="str">
        <f aca="false">IF(OR(G63="",H63="",G63=0),"",H63/G63-1)</f>
        <v/>
      </c>
      <c r="J63" s="43"/>
      <c r="K63" s="45"/>
      <c r="L63" s="40"/>
      <c r="M63" s="40"/>
      <c r="N63" s="41"/>
      <c r="O63" s="37" t="str">
        <f aca="false">IF(N63="","",N63+Leyenda!$B$15)</f>
        <v/>
      </c>
      <c r="P63" s="46"/>
      <c r="Q63" s="44"/>
      <c r="R63" s="46"/>
      <c r="S63" s="44"/>
      <c r="T63" s="42" t="str">
        <f aca="false">IF(OR(E63="",N63=""),"",IFERROR(INDEX(Segmentación!$G$4:$G$13,MATCH(C63&amp;" | "&amp;E63&amp;" | "&amp;F63,Segmentación!$X$4:$X$13,0))-P63,""))</f>
        <v/>
      </c>
      <c r="U63" s="38" t="str">
        <f aca="false">IF(OR(E63="",N63=""),"",IFERROR(INDEX(Segmentación!$I$4:$I$13,MATCH(C63&amp;" | "&amp;E63&amp;" | "&amp;F63,Segmentación!$X$4:$X$13,0))-Q63,""))</f>
        <v/>
      </c>
      <c r="V63" s="42" t="str">
        <f aca="false">IF(OR(E63="",N63=""),"",IFERROR(INDEX(Segmentación!$K$4:$K$13,MATCH(C63&amp;" | "&amp;E63&amp;" | "&amp;F63,Segmentación!$X$4:$X$13,0))-R63,""))</f>
        <v/>
      </c>
      <c r="W63" s="38" t="str">
        <f aca="false">IF(OR(E63="",N63=""),"",IFERROR(INDEX(Segmentación!$L$4:$L$13,MATCH(C63&amp;" | "&amp;E63&amp;" | "&amp;F63,Segmentación!$X$4:$X$13,0))-S63,""))</f>
        <v/>
      </c>
      <c r="X63" s="39" t="str">
        <f aca="false">IF(OR(T63="",W63=""),"",IF(W63=0,"",U63/W63))</f>
        <v/>
      </c>
      <c r="Y63" s="6" t="str">
        <f aca="true">IF(D63="","",IF(OR(E63="",ISNUMBER(SEARCH("negativa",D63))),IF(N63="","Pendiente de aplicar","Aplicado (no se evalúa)"),IF(N63="","Pendiente de aplicar",IF(T63="","Sin datos",IF(T63&lt;Leyenda!$B$14,"Esperando datos ("&amp;T63&amp;" de 10 clics)",IF(V63=0,"Empeora: "&amp;T63&amp;" clics sin venta",IF(TODAY()&lt;O63,"Esperando atribución (7 días)",IF(X63&lt;=K63,"Mejora (ACOS "&amp;TEXT(X63,"0%")&amp;")","Empeora (ACOS "&amp;TEXT(X63,"0%")&amp;")"))))))))</f>
        <v/>
      </c>
      <c r="Z63" s="40"/>
      <c r="AA63" s="43"/>
    </row>
    <row r="64" customFormat="false" ht="15" hidden="false" customHeight="false" outlineLevel="0" collapsed="false">
      <c r="A64" s="36" t="s">
        <v>221</v>
      </c>
      <c r="B64" s="41"/>
      <c r="C64" s="40"/>
      <c r="D64" s="40"/>
      <c r="E64" s="43"/>
      <c r="F64" s="40"/>
      <c r="G64" s="44"/>
      <c r="H64" s="44"/>
      <c r="I64" s="39" t="str">
        <f aca="false">IF(OR(G64="",H64="",G64=0),"",H64/G64-1)</f>
        <v/>
      </c>
      <c r="J64" s="43"/>
      <c r="K64" s="45"/>
      <c r="L64" s="40"/>
      <c r="M64" s="40"/>
      <c r="N64" s="41"/>
      <c r="O64" s="37" t="str">
        <f aca="false">IF(N64="","",N64+Leyenda!$B$15)</f>
        <v/>
      </c>
      <c r="P64" s="46"/>
      <c r="Q64" s="44"/>
      <c r="R64" s="46"/>
      <c r="S64" s="44"/>
      <c r="T64" s="42" t="str">
        <f aca="false">IF(OR(E64="",N64=""),"",IFERROR(INDEX(Segmentación!$G$4:$G$13,MATCH(C64&amp;" | "&amp;E64&amp;" | "&amp;F64,Segmentación!$X$4:$X$13,0))-P64,""))</f>
        <v/>
      </c>
      <c r="U64" s="38" t="str">
        <f aca="false">IF(OR(E64="",N64=""),"",IFERROR(INDEX(Segmentación!$I$4:$I$13,MATCH(C64&amp;" | "&amp;E64&amp;" | "&amp;F64,Segmentación!$X$4:$X$13,0))-Q64,""))</f>
        <v/>
      </c>
      <c r="V64" s="42" t="str">
        <f aca="false">IF(OR(E64="",N64=""),"",IFERROR(INDEX(Segmentación!$K$4:$K$13,MATCH(C64&amp;" | "&amp;E64&amp;" | "&amp;F64,Segmentación!$X$4:$X$13,0))-R64,""))</f>
        <v/>
      </c>
      <c r="W64" s="38" t="str">
        <f aca="false">IF(OR(E64="",N64=""),"",IFERROR(INDEX(Segmentación!$L$4:$L$13,MATCH(C64&amp;" | "&amp;E64&amp;" | "&amp;F64,Segmentación!$X$4:$X$13,0))-S64,""))</f>
        <v/>
      </c>
      <c r="X64" s="39" t="str">
        <f aca="false">IF(OR(T64="",W64=""),"",IF(W64=0,"",U64/W64))</f>
        <v/>
      </c>
      <c r="Y64" s="6" t="str">
        <f aca="true">IF(D64="","",IF(OR(E64="",ISNUMBER(SEARCH("negativa",D64))),IF(N64="","Pendiente de aplicar","Aplicado (no se evalúa)"),IF(N64="","Pendiente de aplicar",IF(T64="","Sin datos",IF(T64&lt;Leyenda!$B$14,"Esperando datos ("&amp;T64&amp;" de 10 clics)",IF(V64=0,"Empeora: "&amp;T64&amp;" clics sin venta",IF(TODAY()&lt;O64,"Esperando atribución (7 días)",IF(X64&lt;=K64,"Mejora (ACOS "&amp;TEXT(X64,"0%")&amp;")","Empeora (ACOS "&amp;TEXT(X64,"0%")&amp;")"))))))))</f>
        <v/>
      </c>
      <c r="Z64" s="40"/>
      <c r="AA64" s="43"/>
    </row>
    <row r="65" customFormat="false" ht="15" hidden="false" customHeight="false" outlineLevel="0" collapsed="false">
      <c r="A65" s="36" t="s">
        <v>222</v>
      </c>
      <c r="B65" s="41"/>
      <c r="C65" s="40"/>
      <c r="D65" s="40"/>
      <c r="E65" s="43"/>
      <c r="F65" s="40"/>
      <c r="G65" s="44"/>
      <c r="H65" s="44"/>
      <c r="I65" s="39" t="str">
        <f aca="false">IF(OR(G65="",H65="",G65=0),"",H65/G65-1)</f>
        <v/>
      </c>
      <c r="J65" s="43"/>
      <c r="K65" s="45"/>
      <c r="L65" s="40"/>
      <c r="M65" s="40"/>
      <c r="N65" s="41"/>
      <c r="O65" s="37" t="str">
        <f aca="false">IF(N65="","",N65+Leyenda!$B$15)</f>
        <v/>
      </c>
      <c r="P65" s="46"/>
      <c r="Q65" s="44"/>
      <c r="R65" s="46"/>
      <c r="S65" s="44"/>
      <c r="T65" s="42" t="str">
        <f aca="false">IF(OR(E65="",N65=""),"",IFERROR(INDEX(Segmentación!$G$4:$G$13,MATCH(C65&amp;" | "&amp;E65&amp;" | "&amp;F65,Segmentación!$X$4:$X$13,0))-P65,""))</f>
        <v/>
      </c>
      <c r="U65" s="38" t="str">
        <f aca="false">IF(OR(E65="",N65=""),"",IFERROR(INDEX(Segmentación!$I$4:$I$13,MATCH(C65&amp;" | "&amp;E65&amp;" | "&amp;F65,Segmentación!$X$4:$X$13,0))-Q65,""))</f>
        <v/>
      </c>
      <c r="V65" s="42" t="str">
        <f aca="false">IF(OR(E65="",N65=""),"",IFERROR(INDEX(Segmentación!$K$4:$K$13,MATCH(C65&amp;" | "&amp;E65&amp;" | "&amp;F65,Segmentación!$X$4:$X$13,0))-R65,""))</f>
        <v/>
      </c>
      <c r="W65" s="38" t="str">
        <f aca="false">IF(OR(E65="",N65=""),"",IFERROR(INDEX(Segmentación!$L$4:$L$13,MATCH(C65&amp;" | "&amp;E65&amp;" | "&amp;F65,Segmentación!$X$4:$X$13,0))-S65,""))</f>
        <v/>
      </c>
      <c r="X65" s="39" t="str">
        <f aca="false">IF(OR(T65="",W65=""),"",IF(W65=0,"",U65/W65))</f>
        <v/>
      </c>
      <c r="Y65" s="6" t="str">
        <f aca="true">IF(D65="","",IF(OR(E65="",ISNUMBER(SEARCH("negativa",D65))),IF(N65="","Pendiente de aplicar","Aplicado (no se evalúa)"),IF(N65="","Pendiente de aplicar",IF(T65="","Sin datos",IF(T65&lt;Leyenda!$B$14,"Esperando datos ("&amp;T65&amp;" de 10 clics)",IF(V65=0,"Empeora: "&amp;T65&amp;" clics sin venta",IF(TODAY()&lt;O65,"Esperando atribución (7 días)",IF(X65&lt;=K65,"Mejora (ACOS "&amp;TEXT(X65,"0%")&amp;")","Empeora (ACOS "&amp;TEXT(X65,"0%")&amp;")"))))))))</f>
        <v/>
      </c>
      <c r="Z65" s="40"/>
      <c r="AA65" s="43"/>
    </row>
    <row r="66" customFormat="false" ht="15" hidden="false" customHeight="false" outlineLevel="0" collapsed="false">
      <c r="A66" s="36" t="s">
        <v>223</v>
      </c>
      <c r="B66" s="41"/>
      <c r="C66" s="40"/>
      <c r="D66" s="40"/>
      <c r="E66" s="43"/>
      <c r="F66" s="40"/>
      <c r="G66" s="44"/>
      <c r="H66" s="44"/>
      <c r="I66" s="39" t="str">
        <f aca="false">IF(OR(G66="",H66="",G66=0),"",H66/G66-1)</f>
        <v/>
      </c>
      <c r="J66" s="43"/>
      <c r="K66" s="45"/>
      <c r="L66" s="40"/>
      <c r="M66" s="40"/>
      <c r="N66" s="41"/>
      <c r="O66" s="37" t="str">
        <f aca="false">IF(N66="","",N66+Leyenda!$B$15)</f>
        <v/>
      </c>
      <c r="P66" s="46"/>
      <c r="Q66" s="44"/>
      <c r="R66" s="46"/>
      <c r="S66" s="44"/>
      <c r="T66" s="42" t="str">
        <f aca="false">IF(OR(E66="",N66=""),"",IFERROR(INDEX(Segmentación!$G$4:$G$13,MATCH(C66&amp;" | "&amp;E66&amp;" | "&amp;F66,Segmentación!$X$4:$X$13,0))-P66,""))</f>
        <v/>
      </c>
      <c r="U66" s="38" t="str">
        <f aca="false">IF(OR(E66="",N66=""),"",IFERROR(INDEX(Segmentación!$I$4:$I$13,MATCH(C66&amp;" | "&amp;E66&amp;" | "&amp;F66,Segmentación!$X$4:$X$13,0))-Q66,""))</f>
        <v/>
      </c>
      <c r="V66" s="42" t="str">
        <f aca="false">IF(OR(E66="",N66=""),"",IFERROR(INDEX(Segmentación!$K$4:$K$13,MATCH(C66&amp;" | "&amp;E66&amp;" | "&amp;F66,Segmentación!$X$4:$X$13,0))-R66,""))</f>
        <v/>
      </c>
      <c r="W66" s="38" t="str">
        <f aca="false">IF(OR(E66="",N66=""),"",IFERROR(INDEX(Segmentación!$L$4:$L$13,MATCH(C66&amp;" | "&amp;E66&amp;" | "&amp;F66,Segmentación!$X$4:$X$13,0))-S66,""))</f>
        <v/>
      </c>
      <c r="X66" s="39" t="str">
        <f aca="false">IF(OR(T66="",W66=""),"",IF(W66=0,"",U66/W66))</f>
        <v/>
      </c>
      <c r="Y66" s="6" t="str">
        <f aca="true">IF(D66="","",IF(OR(E66="",ISNUMBER(SEARCH("negativa",D66))),IF(N66="","Pendiente de aplicar","Aplicado (no se evalúa)"),IF(N66="","Pendiente de aplicar",IF(T66="","Sin datos",IF(T66&lt;Leyenda!$B$14,"Esperando datos ("&amp;T66&amp;" de 10 clics)",IF(V66=0,"Empeora: "&amp;T66&amp;" clics sin venta",IF(TODAY()&lt;O66,"Esperando atribución (7 días)",IF(X66&lt;=K66,"Mejora (ACOS "&amp;TEXT(X66,"0%")&amp;")","Empeora (ACOS "&amp;TEXT(X66,"0%")&amp;")"))))))))</f>
        <v/>
      </c>
      <c r="Z66" s="40"/>
      <c r="AA66" s="43"/>
    </row>
    <row r="67" customFormat="false" ht="15" hidden="false" customHeight="false" outlineLevel="0" collapsed="false">
      <c r="A67" s="36" t="s">
        <v>224</v>
      </c>
      <c r="B67" s="41"/>
      <c r="C67" s="40"/>
      <c r="D67" s="40"/>
      <c r="E67" s="43"/>
      <c r="F67" s="40"/>
      <c r="G67" s="44"/>
      <c r="H67" s="44"/>
      <c r="I67" s="39" t="str">
        <f aca="false">IF(OR(G67="",H67="",G67=0),"",H67/G67-1)</f>
        <v/>
      </c>
      <c r="J67" s="43"/>
      <c r="K67" s="45"/>
      <c r="L67" s="40"/>
      <c r="M67" s="40"/>
      <c r="N67" s="41"/>
      <c r="O67" s="37" t="str">
        <f aca="false">IF(N67="","",N67+Leyenda!$B$15)</f>
        <v/>
      </c>
      <c r="P67" s="46"/>
      <c r="Q67" s="44"/>
      <c r="R67" s="46"/>
      <c r="S67" s="44"/>
      <c r="T67" s="42" t="str">
        <f aca="false">IF(OR(E67="",N67=""),"",IFERROR(INDEX(Segmentación!$G$4:$G$13,MATCH(C67&amp;" | "&amp;E67&amp;" | "&amp;F67,Segmentación!$X$4:$X$13,0))-P67,""))</f>
        <v/>
      </c>
      <c r="U67" s="38" t="str">
        <f aca="false">IF(OR(E67="",N67=""),"",IFERROR(INDEX(Segmentación!$I$4:$I$13,MATCH(C67&amp;" | "&amp;E67&amp;" | "&amp;F67,Segmentación!$X$4:$X$13,0))-Q67,""))</f>
        <v/>
      </c>
      <c r="V67" s="42" t="str">
        <f aca="false">IF(OR(E67="",N67=""),"",IFERROR(INDEX(Segmentación!$K$4:$K$13,MATCH(C67&amp;" | "&amp;E67&amp;" | "&amp;F67,Segmentación!$X$4:$X$13,0))-R67,""))</f>
        <v/>
      </c>
      <c r="W67" s="38" t="str">
        <f aca="false">IF(OR(E67="",N67=""),"",IFERROR(INDEX(Segmentación!$L$4:$L$13,MATCH(C67&amp;" | "&amp;E67&amp;" | "&amp;F67,Segmentación!$X$4:$X$13,0))-S67,""))</f>
        <v/>
      </c>
      <c r="X67" s="39" t="str">
        <f aca="false">IF(OR(T67="",W67=""),"",IF(W67=0,"",U67/W67))</f>
        <v/>
      </c>
      <c r="Y67" s="6" t="str">
        <f aca="true">IF(D67="","",IF(OR(E67="",ISNUMBER(SEARCH("negativa",D67))),IF(N67="","Pendiente de aplicar","Aplicado (no se evalúa)"),IF(N67="","Pendiente de aplicar",IF(T67="","Sin datos",IF(T67&lt;Leyenda!$B$14,"Esperando datos ("&amp;T67&amp;" de 10 clics)",IF(V67=0,"Empeora: "&amp;T67&amp;" clics sin venta",IF(TODAY()&lt;O67,"Esperando atribución (7 días)",IF(X67&lt;=K67,"Mejora (ACOS "&amp;TEXT(X67,"0%")&amp;")","Empeora (ACOS "&amp;TEXT(X67,"0%")&amp;")"))))))))</f>
        <v/>
      </c>
      <c r="Z67" s="40"/>
      <c r="AA67" s="43"/>
    </row>
    <row r="68" customFormat="false" ht="15" hidden="false" customHeight="false" outlineLevel="0" collapsed="false">
      <c r="A68" s="36" t="s">
        <v>225</v>
      </c>
      <c r="B68" s="41"/>
      <c r="C68" s="40"/>
      <c r="D68" s="40"/>
      <c r="E68" s="43"/>
      <c r="F68" s="40"/>
      <c r="G68" s="44"/>
      <c r="H68" s="44"/>
      <c r="I68" s="39" t="str">
        <f aca="false">IF(OR(G68="",H68="",G68=0),"",H68/G68-1)</f>
        <v/>
      </c>
      <c r="J68" s="43"/>
      <c r="K68" s="45"/>
      <c r="L68" s="40"/>
      <c r="M68" s="40"/>
      <c r="N68" s="41"/>
      <c r="O68" s="37" t="str">
        <f aca="false">IF(N68="","",N68+Leyenda!$B$15)</f>
        <v/>
      </c>
      <c r="P68" s="46"/>
      <c r="Q68" s="44"/>
      <c r="R68" s="46"/>
      <c r="S68" s="44"/>
      <c r="T68" s="42" t="str">
        <f aca="false">IF(OR(E68="",N68=""),"",IFERROR(INDEX(Segmentación!$G$4:$G$13,MATCH(C68&amp;" | "&amp;E68&amp;" | "&amp;F68,Segmentación!$X$4:$X$13,0))-P68,""))</f>
        <v/>
      </c>
      <c r="U68" s="38" t="str">
        <f aca="false">IF(OR(E68="",N68=""),"",IFERROR(INDEX(Segmentación!$I$4:$I$13,MATCH(C68&amp;" | "&amp;E68&amp;" | "&amp;F68,Segmentación!$X$4:$X$13,0))-Q68,""))</f>
        <v/>
      </c>
      <c r="V68" s="42" t="str">
        <f aca="false">IF(OR(E68="",N68=""),"",IFERROR(INDEX(Segmentación!$K$4:$K$13,MATCH(C68&amp;" | "&amp;E68&amp;" | "&amp;F68,Segmentación!$X$4:$X$13,0))-R68,""))</f>
        <v/>
      </c>
      <c r="W68" s="38" t="str">
        <f aca="false">IF(OR(E68="",N68=""),"",IFERROR(INDEX(Segmentación!$L$4:$L$13,MATCH(C68&amp;" | "&amp;E68&amp;" | "&amp;F68,Segmentación!$X$4:$X$13,0))-S68,""))</f>
        <v/>
      </c>
      <c r="X68" s="39" t="str">
        <f aca="false">IF(OR(T68="",W68=""),"",IF(W68=0,"",U68/W68))</f>
        <v/>
      </c>
      <c r="Y68" s="6" t="str">
        <f aca="true">IF(D68="","",IF(OR(E68="",ISNUMBER(SEARCH("negativa",D68))),IF(N68="","Pendiente de aplicar","Aplicado (no se evalúa)"),IF(N68="","Pendiente de aplicar",IF(T68="","Sin datos",IF(T68&lt;Leyenda!$B$14,"Esperando datos ("&amp;T68&amp;" de 10 clics)",IF(V68=0,"Empeora: "&amp;T68&amp;" clics sin venta",IF(TODAY()&lt;O68,"Esperando atribución (7 días)",IF(X68&lt;=K68,"Mejora (ACOS "&amp;TEXT(X68,"0%")&amp;")","Empeora (ACOS "&amp;TEXT(X68,"0%")&amp;")"))))))))</f>
        <v/>
      </c>
      <c r="Z68" s="40"/>
      <c r="AA68" s="43"/>
    </row>
    <row r="69" customFormat="false" ht="15" hidden="false" customHeight="false" outlineLevel="0" collapsed="false">
      <c r="A69" s="36" t="s">
        <v>226</v>
      </c>
      <c r="B69" s="41"/>
      <c r="C69" s="40"/>
      <c r="D69" s="40"/>
      <c r="E69" s="43"/>
      <c r="F69" s="40"/>
      <c r="G69" s="44"/>
      <c r="H69" s="44"/>
      <c r="I69" s="39" t="str">
        <f aca="false">IF(OR(G69="",H69="",G69=0),"",H69/G69-1)</f>
        <v/>
      </c>
      <c r="J69" s="43"/>
      <c r="K69" s="45"/>
      <c r="L69" s="40"/>
      <c r="M69" s="40"/>
      <c r="N69" s="41"/>
      <c r="O69" s="37" t="str">
        <f aca="false">IF(N69="","",N69+Leyenda!$B$15)</f>
        <v/>
      </c>
      <c r="P69" s="46"/>
      <c r="Q69" s="44"/>
      <c r="R69" s="46"/>
      <c r="S69" s="44"/>
      <c r="T69" s="42" t="str">
        <f aca="false">IF(OR(E69="",N69=""),"",IFERROR(INDEX(Segmentación!$G$4:$G$13,MATCH(C69&amp;" | "&amp;E69&amp;" | "&amp;F69,Segmentación!$X$4:$X$13,0))-P69,""))</f>
        <v/>
      </c>
      <c r="U69" s="38" t="str">
        <f aca="false">IF(OR(E69="",N69=""),"",IFERROR(INDEX(Segmentación!$I$4:$I$13,MATCH(C69&amp;" | "&amp;E69&amp;" | "&amp;F69,Segmentación!$X$4:$X$13,0))-Q69,""))</f>
        <v/>
      </c>
      <c r="V69" s="42" t="str">
        <f aca="false">IF(OR(E69="",N69=""),"",IFERROR(INDEX(Segmentación!$K$4:$K$13,MATCH(C69&amp;" | "&amp;E69&amp;" | "&amp;F69,Segmentación!$X$4:$X$13,0))-R69,""))</f>
        <v/>
      </c>
      <c r="W69" s="38" t="str">
        <f aca="false">IF(OR(E69="",N69=""),"",IFERROR(INDEX(Segmentación!$L$4:$L$13,MATCH(C69&amp;" | "&amp;E69&amp;" | "&amp;F69,Segmentación!$X$4:$X$13,0))-S69,""))</f>
        <v/>
      </c>
      <c r="X69" s="39" t="str">
        <f aca="false">IF(OR(T69="",W69=""),"",IF(W69=0,"",U69/W69))</f>
        <v/>
      </c>
      <c r="Y69" s="6" t="str">
        <f aca="true">IF(D69="","",IF(OR(E69="",ISNUMBER(SEARCH("negativa",D69))),IF(N69="","Pendiente de aplicar","Aplicado (no se evalúa)"),IF(N69="","Pendiente de aplicar",IF(T69="","Sin datos",IF(T69&lt;Leyenda!$B$14,"Esperando datos ("&amp;T69&amp;" de 10 clics)",IF(V69=0,"Empeora: "&amp;T69&amp;" clics sin venta",IF(TODAY()&lt;O69,"Esperando atribución (7 días)",IF(X69&lt;=K69,"Mejora (ACOS "&amp;TEXT(X69,"0%")&amp;")","Empeora (ACOS "&amp;TEXT(X69,"0%")&amp;")"))))))))</f>
        <v/>
      </c>
      <c r="Z69" s="40"/>
      <c r="AA69" s="43"/>
    </row>
    <row r="70" customFormat="false" ht="15" hidden="false" customHeight="false" outlineLevel="0" collapsed="false">
      <c r="A70" s="36" t="s">
        <v>227</v>
      </c>
      <c r="B70" s="41"/>
      <c r="C70" s="40"/>
      <c r="D70" s="40"/>
      <c r="E70" s="43"/>
      <c r="F70" s="40"/>
      <c r="G70" s="44"/>
      <c r="H70" s="44"/>
      <c r="I70" s="39" t="str">
        <f aca="false">IF(OR(G70="",H70="",G70=0),"",H70/G70-1)</f>
        <v/>
      </c>
      <c r="J70" s="43"/>
      <c r="K70" s="45"/>
      <c r="L70" s="40"/>
      <c r="M70" s="40"/>
      <c r="N70" s="41"/>
      <c r="O70" s="37" t="str">
        <f aca="false">IF(N70="","",N70+Leyenda!$B$15)</f>
        <v/>
      </c>
      <c r="P70" s="46"/>
      <c r="Q70" s="44"/>
      <c r="R70" s="46"/>
      <c r="S70" s="44"/>
      <c r="T70" s="42" t="str">
        <f aca="false">IF(OR(E70="",N70=""),"",IFERROR(INDEX(Segmentación!$G$4:$G$13,MATCH(C70&amp;" | "&amp;E70&amp;" | "&amp;F70,Segmentación!$X$4:$X$13,0))-P70,""))</f>
        <v/>
      </c>
      <c r="U70" s="38" t="str">
        <f aca="false">IF(OR(E70="",N70=""),"",IFERROR(INDEX(Segmentación!$I$4:$I$13,MATCH(C70&amp;" | "&amp;E70&amp;" | "&amp;F70,Segmentación!$X$4:$X$13,0))-Q70,""))</f>
        <v/>
      </c>
      <c r="V70" s="42" t="str">
        <f aca="false">IF(OR(E70="",N70=""),"",IFERROR(INDEX(Segmentación!$K$4:$K$13,MATCH(C70&amp;" | "&amp;E70&amp;" | "&amp;F70,Segmentación!$X$4:$X$13,0))-R70,""))</f>
        <v/>
      </c>
      <c r="W70" s="38" t="str">
        <f aca="false">IF(OR(E70="",N70=""),"",IFERROR(INDEX(Segmentación!$L$4:$L$13,MATCH(C70&amp;" | "&amp;E70&amp;" | "&amp;F70,Segmentación!$X$4:$X$13,0))-S70,""))</f>
        <v/>
      </c>
      <c r="X70" s="39" t="str">
        <f aca="false">IF(OR(T70="",W70=""),"",IF(W70=0,"",U70/W70))</f>
        <v/>
      </c>
      <c r="Y70" s="6" t="str">
        <f aca="true">IF(D70="","",IF(OR(E70="",ISNUMBER(SEARCH("negativa",D70))),IF(N70="","Pendiente de aplicar","Aplicado (no se evalúa)"),IF(N70="","Pendiente de aplicar",IF(T70="","Sin datos",IF(T70&lt;Leyenda!$B$14,"Esperando datos ("&amp;T70&amp;" de 10 clics)",IF(V70=0,"Empeora: "&amp;T70&amp;" clics sin venta",IF(TODAY()&lt;O70,"Esperando atribución (7 días)",IF(X70&lt;=K70,"Mejora (ACOS "&amp;TEXT(X70,"0%")&amp;")","Empeora (ACOS "&amp;TEXT(X70,"0%")&amp;")"))))))))</f>
        <v/>
      </c>
      <c r="Z70" s="40"/>
      <c r="AA70" s="43"/>
    </row>
    <row r="71" customFormat="false" ht="15" hidden="false" customHeight="false" outlineLevel="0" collapsed="false">
      <c r="A71" s="36" t="s">
        <v>228</v>
      </c>
      <c r="B71" s="41"/>
      <c r="C71" s="40"/>
      <c r="D71" s="40"/>
      <c r="E71" s="43"/>
      <c r="F71" s="40"/>
      <c r="G71" s="44"/>
      <c r="H71" s="44"/>
      <c r="I71" s="39" t="str">
        <f aca="false">IF(OR(G71="",H71="",G71=0),"",H71/G71-1)</f>
        <v/>
      </c>
      <c r="J71" s="43"/>
      <c r="K71" s="45"/>
      <c r="L71" s="40"/>
      <c r="M71" s="40"/>
      <c r="N71" s="41"/>
      <c r="O71" s="37" t="str">
        <f aca="false">IF(N71="","",N71+Leyenda!$B$15)</f>
        <v/>
      </c>
      <c r="P71" s="46"/>
      <c r="Q71" s="44"/>
      <c r="R71" s="46"/>
      <c r="S71" s="44"/>
      <c r="T71" s="42" t="str">
        <f aca="false">IF(OR(E71="",N71=""),"",IFERROR(INDEX(Segmentación!$G$4:$G$13,MATCH(C71&amp;" | "&amp;E71&amp;" | "&amp;F71,Segmentación!$X$4:$X$13,0))-P71,""))</f>
        <v/>
      </c>
      <c r="U71" s="38" t="str">
        <f aca="false">IF(OR(E71="",N71=""),"",IFERROR(INDEX(Segmentación!$I$4:$I$13,MATCH(C71&amp;" | "&amp;E71&amp;" | "&amp;F71,Segmentación!$X$4:$X$13,0))-Q71,""))</f>
        <v/>
      </c>
      <c r="V71" s="42" t="str">
        <f aca="false">IF(OR(E71="",N71=""),"",IFERROR(INDEX(Segmentación!$K$4:$K$13,MATCH(C71&amp;" | "&amp;E71&amp;" | "&amp;F71,Segmentación!$X$4:$X$13,0))-R71,""))</f>
        <v/>
      </c>
      <c r="W71" s="38" t="str">
        <f aca="false">IF(OR(E71="",N71=""),"",IFERROR(INDEX(Segmentación!$L$4:$L$13,MATCH(C71&amp;" | "&amp;E71&amp;" | "&amp;F71,Segmentación!$X$4:$X$13,0))-S71,""))</f>
        <v/>
      </c>
      <c r="X71" s="39" t="str">
        <f aca="false">IF(OR(T71="",W71=""),"",IF(W71=0,"",U71/W71))</f>
        <v/>
      </c>
      <c r="Y71" s="6" t="str">
        <f aca="true">IF(D71="","",IF(OR(E71="",ISNUMBER(SEARCH("negativa",D71))),IF(N71="","Pendiente de aplicar","Aplicado (no se evalúa)"),IF(N71="","Pendiente de aplicar",IF(T71="","Sin datos",IF(T71&lt;Leyenda!$B$14,"Esperando datos ("&amp;T71&amp;" de 10 clics)",IF(V71=0,"Empeora: "&amp;T71&amp;" clics sin venta",IF(TODAY()&lt;O71,"Esperando atribución (7 días)",IF(X71&lt;=K71,"Mejora (ACOS "&amp;TEXT(X71,"0%")&amp;")","Empeora (ACOS "&amp;TEXT(X71,"0%")&amp;")"))))))))</f>
        <v/>
      </c>
      <c r="Z71" s="40"/>
      <c r="AA71" s="43"/>
    </row>
    <row r="72" customFormat="false" ht="15" hidden="false" customHeight="false" outlineLevel="0" collapsed="false">
      <c r="A72" s="36" t="s">
        <v>229</v>
      </c>
      <c r="B72" s="41"/>
      <c r="C72" s="40"/>
      <c r="D72" s="40"/>
      <c r="E72" s="43"/>
      <c r="F72" s="40"/>
      <c r="G72" s="44"/>
      <c r="H72" s="44"/>
      <c r="I72" s="39" t="str">
        <f aca="false">IF(OR(G72="",H72="",G72=0),"",H72/G72-1)</f>
        <v/>
      </c>
      <c r="J72" s="43"/>
      <c r="K72" s="45"/>
      <c r="L72" s="40"/>
      <c r="M72" s="40"/>
      <c r="N72" s="41"/>
      <c r="O72" s="37" t="str">
        <f aca="false">IF(N72="","",N72+Leyenda!$B$15)</f>
        <v/>
      </c>
      <c r="P72" s="46"/>
      <c r="Q72" s="44"/>
      <c r="R72" s="46"/>
      <c r="S72" s="44"/>
      <c r="T72" s="42" t="str">
        <f aca="false">IF(OR(E72="",N72=""),"",IFERROR(INDEX(Segmentación!$G$4:$G$13,MATCH(C72&amp;" | "&amp;E72&amp;" | "&amp;F72,Segmentación!$X$4:$X$13,0))-P72,""))</f>
        <v/>
      </c>
      <c r="U72" s="38" t="str">
        <f aca="false">IF(OR(E72="",N72=""),"",IFERROR(INDEX(Segmentación!$I$4:$I$13,MATCH(C72&amp;" | "&amp;E72&amp;" | "&amp;F72,Segmentación!$X$4:$X$13,0))-Q72,""))</f>
        <v/>
      </c>
      <c r="V72" s="42" t="str">
        <f aca="false">IF(OR(E72="",N72=""),"",IFERROR(INDEX(Segmentación!$K$4:$K$13,MATCH(C72&amp;" | "&amp;E72&amp;" | "&amp;F72,Segmentación!$X$4:$X$13,0))-R72,""))</f>
        <v/>
      </c>
      <c r="W72" s="38" t="str">
        <f aca="false">IF(OR(E72="",N72=""),"",IFERROR(INDEX(Segmentación!$L$4:$L$13,MATCH(C72&amp;" | "&amp;E72&amp;" | "&amp;F72,Segmentación!$X$4:$X$13,0))-S72,""))</f>
        <v/>
      </c>
      <c r="X72" s="39" t="str">
        <f aca="false">IF(OR(T72="",W72=""),"",IF(W72=0,"",U72/W72))</f>
        <v/>
      </c>
      <c r="Y72" s="6" t="str">
        <f aca="true">IF(D72="","",IF(OR(E72="",ISNUMBER(SEARCH("negativa",D72))),IF(N72="","Pendiente de aplicar","Aplicado (no se evalúa)"),IF(N72="","Pendiente de aplicar",IF(T72="","Sin datos",IF(T72&lt;Leyenda!$B$14,"Esperando datos ("&amp;T72&amp;" de 10 clics)",IF(V72=0,"Empeora: "&amp;T72&amp;" clics sin venta",IF(TODAY()&lt;O72,"Esperando atribución (7 días)",IF(X72&lt;=K72,"Mejora (ACOS "&amp;TEXT(X72,"0%")&amp;")","Empeora (ACOS "&amp;TEXT(X72,"0%")&amp;")"))))))))</f>
        <v/>
      </c>
      <c r="Z72" s="40"/>
      <c r="AA72" s="43"/>
    </row>
    <row r="73" customFormat="false" ht="15" hidden="false" customHeight="false" outlineLevel="0" collapsed="false">
      <c r="A73" s="36" t="s">
        <v>230</v>
      </c>
      <c r="B73" s="41"/>
      <c r="C73" s="40"/>
      <c r="D73" s="40"/>
      <c r="E73" s="43"/>
      <c r="F73" s="40"/>
      <c r="G73" s="44"/>
      <c r="H73" s="44"/>
      <c r="I73" s="39" t="str">
        <f aca="false">IF(OR(G73="",H73="",G73=0),"",H73/G73-1)</f>
        <v/>
      </c>
      <c r="J73" s="43"/>
      <c r="K73" s="45"/>
      <c r="L73" s="40"/>
      <c r="M73" s="40"/>
      <c r="N73" s="41"/>
      <c r="O73" s="37" t="str">
        <f aca="false">IF(N73="","",N73+Leyenda!$B$15)</f>
        <v/>
      </c>
      <c r="P73" s="46"/>
      <c r="Q73" s="44"/>
      <c r="R73" s="46"/>
      <c r="S73" s="44"/>
      <c r="T73" s="42" t="str">
        <f aca="false">IF(OR(E73="",N73=""),"",IFERROR(INDEX(Segmentación!$G$4:$G$13,MATCH(C73&amp;" | "&amp;E73&amp;" | "&amp;F73,Segmentación!$X$4:$X$13,0))-P73,""))</f>
        <v/>
      </c>
      <c r="U73" s="38" t="str">
        <f aca="false">IF(OR(E73="",N73=""),"",IFERROR(INDEX(Segmentación!$I$4:$I$13,MATCH(C73&amp;" | "&amp;E73&amp;" | "&amp;F73,Segmentación!$X$4:$X$13,0))-Q73,""))</f>
        <v/>
      </c>
      <c r="V73" s="42" t="str">
        <f aca="false">IF(OR(E73="",N73=""),"",IFERROR(INDEX(Segmentación!$K$4:$K$13,MATCH(C73&amp;" | "&amp;E73&amp;" | "&amp;F73,Segmentación!$X$4:$X$13,0))-R73,""))</f>
        <v/>
      </c>
      <c r="W73" s="38" t="str">
        <f aca="false">IF(OR(E73="",N73=""),"",IFERROR(INDEX(Segmentación!$L$4:$L$13,MATCH(C73&amp;" | "&amp;E73&amp;" | "&amp;F73,Segmentación!$X$4:$X$13,0))-S73,""))</f>
        <v/>
      </c>
      <c r="X73" s="39" t="str">
        <f aca="false">IF(OR(T73="",W73=""),"",IF(W73=0,"",U73/W73))</f>
        <v/>
      </c>
      <c r="Y73" s="6" t="str">
        <f aca="true">IF(D73="","",IF(OR(E73="",ISNUMBER(SEARCH("negativa",D73))),IF(N73="","Pendiente de aplicar","Aplicado (no se evalúa)"),IF(N73="","Pendiente de aplicar",IF(T73="","Sin datos",IF(T73&lt;Leyenda!$B$14,"Esperando datos ("&amp;T73&amp;" de 10 clics)",IF(V73=0,"Empeora: "&amp;T73&amp;" clics sin venta",IF(TODAY()&lt;O73,"Esperando atribución (7 días)",IF(X73&lt;=K73,"Mejora (ACOS "&amp;TEXT(X73,"0%")&amp;")","Empeora (ACOS "&amp;TEXT(X73,"0%")&amp;")"))))))))</f>
        <v/>
      </c>
      <c r="Z73" s="40"/>
      <c r="AA73" s="43"/>
    </row>
    <row r="74" customFormat="false" ht="15" hidden="false" customHeight="false" outlineLevel="0" collapsed="false">
      <c r="A74" s="36" t="s">
        <v>231</v>
      </c>
      <c r="B74" s="41"/>
      <c r="C74" s="40"/>
      <c r="D74" s="40"/>
      <c r="E74" s="43"/>
      <c r="F74" s="40"/>
      <c r="G74" s="44"/>
      <c r="H74" s="44"/>
      <c r="I74" s="39" t="str">
        <f aca="false">IF(OR(G74="",H74="",G74=0),"",H74/G74-1)</f>
        <v/>
      </c>
      <c r="J74" s="43"/>
      <c r="K74" s="45"/>
      <c r="L74" s="40"/>
      <c r="M74" s="40"/>
      <c r="N74" s="41"/>
      <c r="O74" s="37" t="str">
        <f aca="false">IF(N74="","",N74+Leyenda!$B$15)</f>
        <v/>
      </c>
      <c r="P74" s="46"/>
      <c r="Q74" s="44"/>
      <c r="R74" s="46"/>
      <c r="S74" s="44"/>
      <c r="T74" s="42" t="str">
        <f aca="false">IF(OR(E74="",N74=""),"",IFERROR(INDEX(Segmentación!$G$4:$G$13,MATCH(C74&amp;" | "&amp;E74&amp;" | "&amp;F74,Segmentación!$X$4:$X$13,0))-P74,""))</f>
        <v/>
      </c>
      <c r="U74" s="38" t="str">
        <f aca="false">IF(OR(E74="",N74=""),"",IFERROR(INDEX(Segmentación!$I$4:$I$13,MATCH(C74&amp;" | "&amp;E74&amp;" | "&amp;F74,Segmentación!$X$4:$X$13,0))-Q74,""))</f>
        <v/>
      </c>
      <c r="V74" s="42" t="str">
        <f aca="false">IF(OR(E74="",N74=""),"",IFERROR(INDEX(Segmentación!$K$4:$K$13,MATCH(C74&amp;" | "&amp;E74&amp;" | "&amp;F74,Segmentación!$X$4:$X$13,0))-R74,""))</f>
        <v/>
      </c>
      <c r="W74" s="38" t="str">
        <f aca="false">IF(OR(E74="",N74=""),"",IFERROR(INDEX(Segmentación!$L$4:$L$13,MATCH(C74&amp;" | "&amp;E74&amp;" | "&amp;F74,Segmentación!$X$4:$X$13,0))-S74,""))</f>
        <v/>
      </c>
      <c r="X74" s="39" t="str">
        <f aca="false">IF(OR(T74="",W74=""),"",IF(W74=0,"",U74/W74))</f>
        <v/>
      </c>
      <c r="Y74" s="6" t="str">
        <f aca="true">IF(D74="","",IF(OR(E74="",ISNUMBER(SEARCH("negativa",D74))),IF(N74="","Pendiente de aplicar","Aplicado (no se evalúa)"),IF(N74="","Pendiente de aplicar",IF(T74="","Sin datos",IF(T74&lt;Leyenda!$B$14,"Esperando datos ("&amp;T74&amp;" de 10 clics)",IF(V74=0,"Empeora: "&amp;T74&amp;" clics sin venta",IF(TODAY()&lt;O74,"Esperando atribución (7 días)",IF(X74&lt;=K74,"Mejora (ACOS "&amp;TEXT(X74,"0%")&amp;")","Empeora (ACOS "&amp;TEXT(X74,"0%")&amp;")"))))))))</f>
        <v/>
      </c>
      <c r="Z74" s="40"/>
      <c r="AA74" s="43"/>
    </row>
    <row r="75" customFormat="false" ht="15" hidden="false" customHeight="false" outlineLevel="0" collapsed="false">
      <c r="A75" s="36" t="s">
        <v>232</v>
      </c>
      <c r="B75" s="41"/>
      <c r="C75" s="40"/>
      <c r="D75" s="40"/>
      <c r="E75" s="43"/>
      <c r="F75" s="40"/>
      <c r="G75" s="44"/>
      <c r="H75" s="44"/>
      <c r="I75" s="39" t="str">
        <f aca="false">IF(OR(G75="",H75="",G75=0),"",H75/G75-1)</f>
        <v/>
      </c>
      <c r="J75" s="43"/>
      <c r="K75" s="45"/>
      <c r="L75" s="40"/>
      <c r="M75" s="40"/>
      <c r="N75" s="41"/>
      <c r="O75" s="37" t="str">
        <f aca="false">IF(N75="","",N75+Leyenda!$B$15)</f>
        <v/>
      </c>
      <c r="P75" s="46"/>
      <c r="Q75" s="44"/>
      <c r="R75" s="46"/>
      <c r="S75" s="44"/>
      <c r="T75" s="42" t="str">
        <f aca="false">IF(OR(E75="",N75=""),"",IFERROR(INDEX(Segmentación!$G$4:$G$13,MATCH(C75&amp;" | "&amp;E75&amp;" | "&amp;F75,Segmentación!$X$4:$X$13,0))-P75,""))</f>
        <v/>
      </c>
      <c r="U75" s="38" t="str">
        <f aca="false">IF(OR(E75="",N75=""),"",IFERROR(INDEX(Segmentación!$I$4:$I$13,MATCH(C75&amp;" | "&amp;E75&amp;" | "&amp;F75,Segmentación!$X$4:$X$13,0))-Q75,""))</f>
        <v/>
      </c>
      <c r="V75" s="42" t="str">
        <f aca="false">IF(OR(E75="",N75=""),"",IFERROR(INDEX(Segmentación!$K$4:$K$13,MATCH(C75&amp;" | "&amp;E75&amp;" | "&amp;F75,Segmentación!$X$4:$X$13,0))-R75,""))</f>
        <v/>
      </c>
      <c r="W75" s="38" t="str">
        <f aca="false">IF(OR(E75="",N75=""),"",IFERROR(INDEX(Segmentación!$L$4:$L$13,MATCH(C75&amp;" | "&amp;E75&amp;" | "&amp;F75,Segmentación!$X$4:$X$13,0))-S75,""))</f>
        <v/>
      </c>
      <c r="X75" s="39" t="str">
        <f aca="false">IF(OR(T75="",W75=""),"",IF(W75=0,"",U75/W75))</f>
        <v/>
      </c>
      <c r="Y75" s="6" t="str">
        <f aca="true">IF(D75="","",IF(OR(E75="",ISNUMBER(SEARCH("negativa",D75))),IF(N75="","Pendiente de aplicar","Aplicado (no se evalúa)"),IF(N75="","Pendiente de aplicar",IF(T75="","Sin datos",IF(T75&lt;Leyenda!$B$14,"Esperando datos ("&amp;T75&amp;" de 10 clics)",IF(V75=0,"Empeora: "&amp;T75&amp;" clics sin venta",IF(TODAY()&lt;O75,"Esperando atribución (7 días)",IF(X75&lt;=K75,"Mejora (ACOS "&amp;TEXT(X75,"0%")&amp;")","Empeora (ACOS "&amp;TEXT(X75,"0%")&amp;")"))))))))</f>
        <v/>
      </c>
      <c r="Z75" s="40"/>
      <c r="AA75" s="43"/>
    </row>
    <row r="76" customFormat="false" ht="15" hidden="false" customHeight="false" outlineLevel="0" collapsed="false">
      <c r="A76" s="36" t="s">
        <v>233</v>
      </c>
      <c r="B76" s="41"/>
      <c r="C76" s="40"/>
      <c r="D76" s="40"/>
      <c r="E76" s="43"/>
      <c r="F76" s="40"/>
      <c r="G76" s="44"/>
      <c r="H76" s="44"/>
      <c r="I76" s="39" t="str">
        <f aca="false">IF(OR(G76="",H76="",G76=0),"",H76/G76-1)</f>
        <v/>
      </c>
      <c r="J76" s="43"/>
      <c r="K76" s="45"/>
      <c r="L76" s="40"/>
      <c r="M76" s="40"/>
      <c r="N76" s="41"/>
      <c r="O76" s="37" t="str">
        <f aca="false">IF(N76="","",N76+Leyenda!$B$15)</f>
        <v/>
      </c>
      <c r="P76" s="46"/>
      <c r="Q76" s="44"/>
      <c r="R76" s="46"/>
      <c r="S76" s="44"/>
      <c r="T76" s="42" t="str">
        <f aca="false">IF(OR(E76="",N76=""),"",IFERROR(INDEX(Segmentación!$G$4:$G$13,MATCH(C76&amp;" | "&amp;E76&amp;" | "&amp;F76,Segmentación!$X$4:$X$13,0))-P76,""))</f>
        <v/>
      </c>
      <c r="U76" s="38" t="str">
        <f aca="false">IF(OR(E76="",N76=""),"",IFERROR(INDEX(Segmentación!$I$4:$I$13,MATCH(C76&amp;" | "&amp;E76&amp;" | "&amp;F76,Segmentación!$X$4:$X$13,0))-Q76,""))</f>
        <v/>
      </c>
      <c r="V76" s="42" t="str">
        <f aca="false">IF(OR(E76="",N76=""),"",IFERROR(INDEX(Segmentación!$K$4:$K$13,MATCH(C76&amp;" | "&amp;E76&amp;" | "&amp;F76,Segmentación!$X$4:$X$13,0))-R76,""))</f>
        <v/>
      </c>
      <c r="W76" s="38" t="str">
        <f aca="false">IF(OR(E76="",N76=""),"",IFERROR(INDEX(Segmentación!$L$4:$L$13,MATCH(C76&amp;" | "&amp;E76&amp;" | "&amp;F76,Segmentación!$X$4:$X$13,0))-S76,""))</f>
        <v/>
      </c>
      <c r="X76" s="39" t="str">
        <f aca="false">IF(OR(T76="",W76=""),"",IF(W76=0,"",U76/W76))</f>
        <v/>
      </c>
      <c r="Y76" s="6" t="str">
        <f aca="true">IF(D76="","",IF(OR(E76="",ISNUMBER(SEARCH("negativa",D76))),IF(N76="","Pendiente de aplicar","Aplicado (no se evalúa)"),IF(N76="","Pendiente de aplicar",IF(T76="","Sin datos",IF(T76&lt;Leyenda!$B$14,"Esperando datos ("&amp;T76&amp;" de 10 clics)",IF(V76=0,"Empeora: "&amp;T76&amp;" clics sin venta",IF(TODAY()&lt;O76,"Esperando atribución (7 días)",IF(X76&lt;=K76,"Mejora (ACOS "&amp;TEXT(X76,"0%")&amp;")","Empeora (ACOS "&amp;TEXT(X76,"0%")&amp;")"))))))))</f>
        <v/>
      </c>
      <c r="Z76" s="40"/>
      <c r="AA76" s="43"/>
    </row>
    <row r="77" customFormat="false" ht="15" hidden="false" customHeight="false" outlineLevel="0" collapsed="false">
      <c r="A77" s="36" t="s">
        <v>234</v>
      </c>
      <c r="B77" s="41"/>
      <c r="C77" s="40"/>
      <c r="D77" s="40"/>
      <c r="E77" s="43"/>
      <c r="F77" s="40"/>
      <c r="G77" s="44"/>
      <c r="H77" s="44"/>
      <c r="I77" s="39" t="str">
        <f aca="false">IF(OR(G77="",H77="",G77=0),"",H77/G77-1)</f>
        <v/>
      </c>
      <c r="J77" s="43"/>
      <c r="K77" s="45"/>
      <c r="L77" s="40"/>
      <c r="M77" s="40"/>
      <c r="N77" s="41"/>
      <c r="O77" s="37" t="str">
        <f aca="false">IF(N77="","",N77+Leyenda!$B$15)</f>
        <v/>
      </c>
      <c r="P77" s="46"/>
      <c r="Q77" s="44"/>
      <c r="R77" s="46"/>
      <c r="S77" s="44"/>
      <c r="T77" s="42" t="str">
        <f aca="false">IF(OR(E77="",N77=""),"",IFERROR(INDEX(Segmentación!$G$4:$G$13,MATCH(C77&amp;" | "&amp;E77&amp;" | "&amp;F77,Segmentación!$X$4:$X$13,0))-P77,""))</f>
        <v/>
      </c>
      <c r="U77" s="38" t="str">
        <f aca="false">IF(OR(E77="",N77=""),"",IFERROR(INDEX(Segmentación!$I$4:$I$13,MATCH(C77&amp;" | "&amp;E77&amp;" | "&amp;F77,Segmentación!$X$4:$X$13,0))-Q77,""))</f>
        <v/>
      </c>
      <c r="V77" s="42" t="str">
        <f aca="false">IF(OR(E77="",N77=""),"",IFERROR(INDEX(Segmentación!$K$4:$K$13,MATCH(C77&amp;" | "&amp;E77&amp;" | "&amp;F77,Segmentación!$X$4:$X$13,0))-R77,""))</f>
        <v/>
      </c>
      <c r="W77" s="38" t="str">
        <f aca="false">IF(OR(E77="",N77=""),"",IFERROR(INDEX(Segmentación!$L$4:$L$13,MATCH(C77&amp;" | "&amp;E77&amp;" | "&amp;F77,Segmentación!$X$4:$X$13,0))-S77,""))</f>
        <v/>
      </c>
      <c r="X77" s="39" t="str">
        <f aca="false">IF(OR(T77="",W77=""),"",IF(W77=0,"",U77/W77))</f>
        <v/>
      </c>
      <c r="Y77" s="6" t="str">
        <f aca="true">IF(D77="","",IF(OR(E77="",ISNUMBER(SEARCH("negativa",D77))),IF(N77="","Pendiente de aplicar","Aplicado (no se evalúa)"),IF(N77="","Pendiente de aplicar",IF(T77="","Sin datos",IF(T77&lt;Leyenda!$B$14,"Esperando datos ("&amp;T77&amp;" de 10 clics)",IF(V77=0,"Empeora: "&amp;T77&amp;" clics sin venta",IF(TODAY()&lt;O77,"Esperando atribución (7 días)",IF(X77&lt;=K77,"Mejora (ACOS "&amp;TEXT(X77,"0%")&amp;")","Empeora (ACOS "&amp;TEXT(X77,"0%")&amp;")"))))))))</f>
        <v/>
      </c>
      <c r="Z77" s="40"/>
      <c r="AA77" s="43"/>
    </row>
  </sheetData>
  <conditionalFormatting sqref="Y4:Y77">
    <cfRule type="expression" priority="2" aboveAverage="0" equalAverage="0" bottom="0" percent="0" rank="0" text="" dxfId="1">
      <formula>LEFT(Y4,6)="Mejora"</formula>
    </cfRule>
    <cfRule type="expression" priority="3" aboveAverage="0" equalAverage="0" bottom="0" percent="0" rank="0" text="" dxfId="0">
      <formula>LEFT(Y4,7)="Empeora"</formula>
    </cfRule>
  </conditionalFormatting>
  <dataValidations count="2">
    <dataValidation allowBlank="true" errorStyle="stop" operator="between" showDropDown="false" showErrorMessage="false" showInputMessage="false" sqref="M4:M77" type="list">
      <formula1>"Pendiente de aplicar,Aplicado,Evaluado,Descartado"</formula1>
      <formula2>0</formula2>
    </dataValidation>
    <dataValidation allowBlank="true" errorStyle="stop" operator="between" showDropDown="false" showErrorMessage="false" showInputMessage="false" sqref="D18:D77" type="list">
      <formula1>"Subir puja,Bajar puja,Pausar keyword,Reactivar keyword,Añadir keyword,Añadir negativa,Añadir segmentación (prueba),Cambiar ajuste por ubicación,Cambiar presupuesto,Otro"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4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3" t="s">
        <v>235</v>
      </c>
    </row>
    <row r="3" customFormat="false" ht="42" hidden="false" customHeight="true" outlineLevel="0" collapsed="false">
      <c r="A3" s="16" t="s">
        <v>236</v>
      </c>
      <c r="B3" s="16" t="s">
        <v>237</v>
      </c>
      <c r="C3" s="16" t="s">
        <v>238</v>
      </c>
      <c r="D3" s="16" t="s">
        <v>70</v>
      </c>
      <c r="E3" s="16" t="s">
        <v>71</v>
      </c>
      <c r="F3" s="16" t="s">
        <v>72</v>
      </c>
      <c r="G3" s="16" t="s">
        <v>73</v>
      </c>
      <c r="H3" s="16" t="s">
        <v>74</v>
      </c>
      <c r="I3" s="16" t="s">
        <v>75</v>
      </c>
      <c r="J3" s="16" t="s">
        <v>76</v>
      </c>
      <c r="K3" s="16" t="s">
        <v>77</v>
      </c>
      <c r="L3" s="16" t="s">
        <v>78</v>
      </c>
      <c r="M3" s="16" t="s">
        <v>79</v>
      </c>
      <c r="N3" s="16" t="s">
        <v>80</v>
      </c>
      <c r="O3" s="16" t="s">
        <v>239</v>
      </c>
    </row>
    <row r="4" customFormat="false" ht="15" hidden="false" customHeight="false" outlineLevel="0" collapsed="false">
      <c r="A4" s="4" t="s">
        <v>240</v>
      </c>
      <c r="B4" s="4" t="s">
        <v>241</v>
      </c>
      <c r="C4" s="13" t="s">
        <v>90</v>
      </c>
      <c r="D4" s="4" t="s">
        <v>91</v>
      </c>
      <c r="E4" s="9" t="n">
        <v>0.1</v>
      </c>
      <c r="F4" s="20" t="n">
        <v>24</v>
      </c>
      <c r="G4" s="20" t="n">
        <v>1</v>
      </c>
      <c r="H4" s="21" t="n">
        <f aca="false">IFERROR(G4/F4,0)</f>
        <v>0.0416666666666667</v>
      </c>
      <c r="I4" s="9" t="n">
        <v>0.2</v>
      </c>
      <c r="J4" s="9" t="n">
        <f aca="false">IFERROR(I4/G4,0)</f>
        <v>0.2</v>
      </c>
      <c r="K4" s="20" t="n">
        <v>1</v>
      </c>
      <c r="L4" s="9" t="n">
        <v>11.99</v>
      </c>
      <c r="M4" s="21" t="n">
        <f aca="false">IFERROR(I4/L4,0)</f>
        <v>0.0166805671392827</v>
      </c>
      <c r="N4" s="22" t="n">
        <f aca="false">IFERROR(L4/I4,0)</f>
        <v>59.95</v>
      </c>
      <c r="O4" s="13" t="s">
        <v>242</v>
      </c>
    </row>
    <row r="5" customFormat="false" ht="15" hidden="false" customHeight="false" outlineLevel="0" collapsed="false">
      <c r="A5" s="4" t="s">
        <v>240</v>
      </c>
      <c r="B5" s="4" t="s">
        <v>243</v>
      </c>
      <c r="C5" s="4" t="s">
        <v>169</v>
      </c>
      <c r="D5" s="4" t="s">
        <v>91</v>
      </c>
      <c r="E5" s="9" t="n">
        <v>0.25</v>
      </c>
      <c r="F5" s="20" t="n">
        <v>3557</v>
      </c>
      <c r="G5" s="20" t="n">
        <v>12</v>
      </c>
      <c r="H5" s="21" t="n">
        <f aca="false">IFERROR(G5/F5,0)</f>
        <v>0.00337362946303064</v>
      </c>
      <c r="I5" s="9" t="n">
        <v>3.57</v>
      </c>
      <c r="J5" s="9" t="n">
        <f aca="false">IFERROR(I5/G5,0)</f>
        <v>0.2975</v>
      </c>
      <c r="K5" s="20" t="n">
        <v>0</v>
      </c>
      <c r="L5" s="9" t="n">
        <v>0</v>
      </c>
      <c r="M5" s="21" t="n">
        <f aca="false">IFERROR(I5/L5,0)</f>
        <v>0</v>
      </c>
      <c r="N5" s="22" t="n">
        <f aca="false">IFERROR(L5/I5,0)</f>
        <v>0</v>
      </c>
      <c r="O5" s="4"/>
    </row>
    <row r="6" customFormat="false" ht="15" hidden="false" customHeight="false" outlineLevel="0" collapsed="false">
      <c r="A6" s="4" t="s">
        <v>240</v>
      </c>
      <c r="B6" s="4" t="s">
        <v>241</v>
      </c>
      <c r="C6" s="4" t="s">
        <v>244</v>
      </c>
      <c r="D6" s="4" t="s">
        <v>91</v>
      </c>
      <c r="E6" s="9" t="n">
        <v>0.18</v>
      </c>
      <c r="F6" s="20" t="n">
        <v>4456</v>
      </c>
      <c r="G6" s="20" t="n">
        <v>19</v>
      </c>
      <c r="H6" s="21" t="n">
        <f aca="false">IFERROR(G6/F6,0)</f>
        <v>0.00426391382405745</v>
      </c>
      <c r="I6" s="9" t="n">
        <v>3.51</v>
      </c>
      <c r="J6" s="9" t="n">
        <f aca="false">IFERROR(I6/G6,0)</f>
        <v>0.184736842105263</v>
      </c>
      <c r="K6" s="20" t="n">
        <v>0</v>
      </c>
      <c r="L6" s="9" t="n">
        <v>0</v>
      </c>
      <c r="M6" s="21" t="n">
        <f aca="false">IFERROR(I6/L6,0)</f>
        <v>0</v>
      </c>
      <c r="N6" s="22" t="n">
        <f aca="false">IFERROR(L6/I6,0)</f>
        <v>0</v>
      </c>
      <c r="O6" s="4"/>
    </row>
    <row r="7" customFormat="false" ht="15" hidden="false" customHeight="false" outlineLevel="0" collapsed="false">
      <c r="A7" s="4" t="s">
        <v>240</v>
      </c>
      <c r="B7" s="4" t="s">
        <v>243</v>
      </c>
      <c r="C7" s="4" t="s">
        <v>244</v>
      </c>
      <c r="D7" s="4" t="s">
        <v>91</v>
      </c>
      <c r="E7" s="9" t="n">
        <v>0.25</v>
      </c>
      <c r="F7" s="20" t="n">
        <v>1304</v>
      </c>
      <c r="G7" s="20" t="n">
        <v>1</v>
      </c>
      <c r="H7" s="21" t="n">
        <f aca="false">IFERROR(G7/F7,0)</f>
        <v>0.000766871165644172</v>
      </c>
      <c r="I7" s="9" t="n">
        <v>0.37</v>
      </c>
      <c r="J7" s="9" t="n">
        <f aca="false">IFERROR(I7/G7,0)</f>
        <v>0.37</v>
      </c>
      <c r="K7" s="20" t="n">
        <v>0</v>
      </c>
      <c r="L7" s="9" t="n">
        <v>0</v>
      </c>
      <c r="M7" s="21" t="n">
        <f aca="false">IFERROR(I7/L7,0)</f>
        <v>0</v>
      </c>
      <c r="N7" s="22" t="n">
        <f aca="false">IFERROR(L7/I7,0)</f>
        <v>0</v>
      </c>
      <c r="O7" s="4"/>
    </row>
    <row r="8" customFormat="false" ht="15" hidden="false" customHeight="false" outlineLevel="0" collapsed="false">
      <c r="A8" s="4" t="s">
        <v>240</v>
      </c>
      <c r="B8" s="4" t="s">
        <v>241</v>
      </c>
      <c r="C8" s="4" t="s">
        <v>240</v>
      </c>
      <c r="D8" s="4" t="s">
        <v>91</v>
      </c>
      <c r="E8" s="9" t="n">
        <v>0.09</v>
      </c>
      <c r="F8" s="20" t="n">
        <v>34</v>
      </c>
      <c r="G8" s="20" t="n">
        <v>1</v>
      </c>
      <c r="H8" s="21" t="n">
        <f aca="false">IFERROR(G8/F8,0)</f>
        <v>0.0294117647058824</v>
      </c>
      <c r="I8" s="9" t="n">
        <v>0.18</v>
      </c>
      <c r="J8" s="9" t="n">
        <f aca="false">IFERROR(I8/G8,0)</f>
        <v>0.18</v>
      </c>
      <c r="K8" s="20" t="n">
        <v>0</v>
      </c>
      <c r="L8" s="9" t="n">
        <v>0</v>
      </c>
      <c r="M8" s="21" t="n">
        <f aca="false">IFERROR(I8/L8,0)</f>
        <v>0</v>
      </c>
      <c r="N8" s="22" t="n">
        <f aca="false">IFERROR(L8/I8,0)</f>
        <v>0</v>
      </c>
      <c r="O8" s="4"/>
    </row>
    <row r="9" customFormat="false" ht="15" hidden="false" customHeight="false" outlineLevel="0" collapsed="false">
      <c r="A9" s="4" t="s">
        <v>240</v>
      </c>
      <c r="B9" s="4" t="s">
        <v>241</v>
      </c>
      <c r="C9" s="4" t="s">
        <v>245</v>
      </c>
      <c r="D9" s="4" t="s">
        <v>91</v>
      </c>
      <c r="E9" s="9" t="n">
        <v>0.45</v>
      </c>
      <c r="F9" s="20" t="n">
        <v>32</v>
      </c>
      <c r="G9" s="20" t="n">
        <v>0</v>
      </c>
      <c r="H9" s="21" t="n">
        <f aca="false">IFERROR(G9/F9,0)</f>
        <v>0</v>
      </c>
      <c r="I9" s="9" t="n">
        <v>0</v>
      </c>
      <c r="J9" s="9" t="n">
        <f aca="false">IFERROR(I9/G9,0)</f>
        <v>0</v>
      </c>
      <c r="K9" s="20" t="n">
        <v>0</v>
      </c>
      <c r="L9" s="9" t="n">
        <v>0</v>
      </c>
      <c r="M9" s="21" t="n">
        <f aca="false">IFERROR(I9/L9,0)</f>
        <v>0</v>
      </c>
      <c r="N9" s="22" t="n">
        <f aca="false">IFERROR(L9/I9,0)</f>
        <v>0</v>
      </c>
      <c r="O9" s="4"/>
    </row>
    <row r="10" customFormat="false" ht="15" hidden="false" customHeight="false" outlineLevel="0" collapsed="false">
      <c r="A10" s="4" t="s">
        <v>240</v>
      </c>
      <c r="B10" s="4" t="s">
        <v>243</v>
      </c>
      <c r="C10" s="4" t="s">
        <v>240</v>
      </c>
      <c r="D10" s="4" t="s">
        <v>91</v>
      </c>
      <c r="E10" s="9" t="n">
        <v>0.09</v>
      </c>
      <c r="F10" s="20" t="n">
        <v>6</v>
      </c>
      <c r="G10" s="20" t="n">
        <v>0</v>
      </c>
      <c r="H10" s="21" t="n">
        <f aca="false">IFERROR(G10/F10,0)</f>
        <v>0</v>
      </c>
      <c r="I10" s="9" t="n">
        <v>0</v>
      </c>
      <c r="J10" s="9" t="n">
        <f aca="false">IFERROR(I10/G10,0)</f>
        <v>0</v>
      </c>
      <c r="K10" s="20" t="n">
        <v>0</v>
      </c>
      <c r="L10" s="9" t="n">
        <v>0</v>
      </c>
      <c r="M10" s="21" t="n">
        <f aca="false">IFERROR(I10/L10,0)</f>
        <v>0</v>
      </c>
      <c r="N10" s="22" t="n">
        <f aca="false">IFERROR(L10/I10,0)</f>
        <v>0</v>
      </c>
      <c r="O10" s="4"/>
    </row>
    <row r="11" customFormat="false" ht="15" hidden="false" customHeight="false" outlineLevel="0" collapsed="false">
      <c r="A11" s="4" t="s">
        <v>240</v>
      </c>
      <c r="B11" s="4" t="s">
        <v>243</v>
      </c>
      <c r="C11" s="4" t="s">
        <v>246</v>
      </c>
      <c r="D11" s="4" t="s">
        <v>91</v>
      </c>
      <c r="E11" s="9" t="n">
        <v>0.2</v>
      </c>
      <c r="F11" s="20" t="n">
        <v>2</v>
      </c>
      <c r="G11" s="20" t="n">
        <v>0</v>
      </c>
      <c r="H11" s="21" t="n">
        <f aca="false">IFERROR(G11/F11,0)</f>
        <v>0</v>
      </c>
      <c r="I11" s="9" t="n">
        <v>0</v>
      </c>
      <c r="J11" s="9" t="n">
        <f aca="false">IFERROR(I11/G11,0)</f>
        <v>0</v>
      </c>
      <c r="K11" s="20" t="n">
        <v>0</v>
      </c>
      <c r="L11" s="9" t="n">
        <v>0</v>
      </c>
      <c r="M11" s="21" t="n">
        <f aca="false">IFERROR(I11/L11,0)</f>
        <v>0</v>
      </c>
      <c r="N11" s="22" t="n">
        <f aca="false">IFERROR(L11/I11,0)</f>
        <v>0</v>
      </c>
      <c r="O11" s="4"/>
    </row>
    <row r="12" customFormat="false" ht="15" hidden="false" customHeight="false" outlineLevel="0" collapsed="false">
      <c r="A12" s="4" t="s">
        <v>240</v>
      </c>
      <c r="B12" s="4" t="s">
        <v>241</v>
      </c>
      <c r="C12" s="4" t="s">
        <v>247</v>
      </c>
      <c r="D12" s="4" t="s">
        <v>91</v>
      </c>
      <c r="E12" s="9" t="n">
        <v>0.21</v>
      </c>
      <c r="F12" s="20" t="n">
        <v>2</v>
      </c>
      <c r="G12" s="20" t="n">
        <v>0</v>
      </c>
      <c r="H12" s="21" t="n">
        <f aca="false">IFERROR(G12/F12,0)</f>
        <v>0</v>
      </c>
      <c r="I12" s="9" t="n">
        <v>0</v>
      </c>
      <c r="J12" s="9" t="n">
        <f aca="false">IFERROR(I12/G12,0)</f>
        <v>0</v>
      </c>
      <c r="K12" s="20" t="n">
        <v>0</v>
      </c>
      <c r="L12" s="9" t="n">
        <v>0</v>
      </c>
      <c r="M12" s="21" t="n">
        <f aca="false">IFERROR(I12/L12,0)</f>
        <v>0</v>
      </c>
      <c r="N12" s="22" t="n">
        <f aca="false">IFERROR(L12/I12,0)</f>
        <v>0</v>
      </c>
      <c r="O12" s="4"/>
    </row>
    <row r="13" customFormat="false" ht="15" hidden="false" customHeight="false" outlineLevel="0" collapsed="false">
      <c r="A13" s="4" t="s">
        <v>240</v>
      </c>
      <c r="B13" s="4" t="s">
        <v>243</v>
      </c>
      <c r="C13" s="4" t="s">
        <v>248</v>
      </c>
      <c r="D13" s="4" t="s">
        <v>91</v>
      </c>
      <c r="E13" s="9" t="n">
        <v>0.09</v>
      </c>
      <c r="F13" s="20" t="n">
        <v>1</v>
      </c>
      <c r="G13" s="20" t="n">
        <v>0</v>
      </c>
      <c r="H13" s="21" t="n">
        <f aca="false">IFERROR(G13/F13,0)</f>
        <v>0</v>
      </c>
      <c r="I13" s="9" t="n">
        <v>0</v>
      </c>
      <c r="J13" s="9" t="n">
        <f aca="false">IFERROR(I13/G13,0)</f>
        <v>0</v>
      </c>
      <c r="K13" s="20" t="n">
        <v>0</v>
      </c>
      <c r="L13" s="9" t="n">
        <v>0</v>
      </c>
      <c r="M13" s="21" t="n">
        <f aca="false">IFERROR(I13/L13,0)</f>
        <v>0</v>
      </c>
      <c r="N13" s="22" t="n">
        <f aca="false">IFERROR(L13/I13,0)</f>
        <v>0</v>
      </c>
      <c r="O13" s="4"/>
    </row>
    <row r="14" customFormat="false" ht="15" hidden="false" customHeight="false" outlineLevel="0" collapsed="false">
      <c r="A14" s="4" t="s">
        <v>240</v>
      </c>
      <c r="B14" s="4" t="s">
        <v>241</v>
      </c>
      <c r="C14" s="4" t="s">
        <v>249</v>
      </c>
      <c r="D14" s="4" t="s">
        <v>91</v>
      </c>
      <c r="E14" s="9" t="n">
        <v>0.21</v>
      </c>
      <c r="F14" s="20" t="n">
        <v>1</v>
      </c>
      <c r="G14" s="20" t="n">
        <v>0</v>
      </c>
      <c r="H14" s="21" t="n">
        <f aca="false">IFERROR(G14/F14,0)</f>
        <v>0</v>
      </c>
      <c r="I14" s="9" t="n">
        <v>0</v>
      </c>
      <c r="J14" s="9" t="n">
        <f aca="false">IFERROR(I14/G14,0)</f>
        <v>0</v>
      </c>
      <c r="K14" s="20" t="n">
        <v>0</v>
      </c>
      <c r="L14" s="9" t="n">
        <v>0</v>
      </c>
      <c r="M14" s="21" t="n">
        <f aca="false">IFERROR(I14/L14,0)</f>
        <v>0</v>
      </c>
      <c r="N14" s="22" t="n">
        <f aca="false">IFERROR(L14/I14,0)</f>
        <v>0</v>
      </c>
      <c r="O14" s="4"/>
    </row>
    <row r="15" customFormat="false" ht="15" hidden="false" customHeight="false" outlineLevel="0" collapsed="false">
      <c r="A15" s="4" t="s">
        <v>240</v>
      </c>
      <c r="B15" s="4" t="s">
        <v>243</v>
      </c>
      <c r="C15" s="4" t="s">
        <v>250</v>
      </c>
      <c r="D15" s="4" t="s">
        <v>91</v>
      </c>
      <c r="E15" s="9" t="n">
        <v>0.06</v>
      </c>
      <c r="F15" s="20" t="n">
        <v>0</v>
      </c>
      <c r="G15" s="20" t="n">
        <v>0</v>
      </c>
      <c r="H15" s="21" t="n">
        <f aca="false">IFERROR(G15/F15,0)</f>
        <v>0</v>
      </c>
      <c r="I15" s="9" t="n">
        <v>0</v>
      </c>
      <c r="J15" s="9" t="n">
        <f aca="false">IFERROR(I15/G15,0)</f>
        <v>0</v>
      </c>
      <c r="K15" s="20" t="n">
        <v>0</v>
      </c>
      <c r="L15" s="9" t="n">
        <v>0</v>
      </c>
      <c r="M15" s="21" t="n">
        <f aca="false">IFERROR(I15/L15,0)</f>
        <v>0</v>
      </c>
      <c r="N15" s="22" t="n">
        <f aca="false">IFERROR(L15/I15,0)</f>
        <v>0</v>
      </c>
      <c r="O15" s="4"/>
    </row>
    <row r="16" customFormat="false" ht="15" hidden="false" customHeight="false" outlineLevel="0" collapsed="false">
      <c r="A16" s="4" t="s">
        <v>240</v>
      </c>
      <c r="B16" s="4" t="s">
        <v>243</v>
      </c>
      <c r="C16" s="4" t="s">
        <v>251</v>
      </c>
      <c r="D16" s="4" t="s">
        <v>91</v>
      </c>
      <c r="E16" s="9" t="n">
        <v>0.07</v>
      </c>
      <c r="F16" s="20" t="n">
        <v>0</v>
      </c>
      <c r="G16" s="20" t="n">
        <v>0</v>
      </c>
      <c r="H16" s="21" t="n">
        <f aca="false">IFERROR(G16/F16,0)</f>
        <v>0</v>
      </c>
      <c r="I16" s="9" t="n">
        <v>0</v>
      </c>
      <c r="J16" s="9" t="n">
        <f aca="false">IFERROR(I16/G16,0)</f>
        <v>0</v>
      </c>
      <c r="K16" s="20" t="n">
        <v>0</v>
      </c>
      <c r="L16" s="9" t="n">
        <v>0</v>
      </c>
      <c r="M16" s="21" t="n">
        <f aca="false">IFERROR(I16/L16,0)</f>
        <v>0</v>
      </c>
      <c r="N16" s="22" t="n">
        <f aca="false">IFERROR(L16/I16,0)</f>
        <v>0</v>
      </c>
      <c r="O16" s="4"/>
    </row>
    <row r="17" customFormat="false" ht="15" hidden="false" customHeight="false" outlineLevel="0" collapsed="false">
      <c r="A17" s="4" t="s">
        <v>240</v>
      </c>
      <c r="B17" s="4" t="s">
        <v>243</v>
      </c>
      <c r="C17" s="4" t="s">
        <v>252</v>
      </c>
      <c r="D17" s="4" t="s">
        <v>91</v>
      </c>
      <c r="E17" s="9" t="n">
        <v>0.2</v>
      </c>
      <c r="F17" s="20" t="n">
        <v>0</v>
      </c>
      <c r="G17" s="20" t="n">
        <v>0</v>
      </c>
      <c r="H17" s="21" t="n">
        <f aca="false">IFERROR(G17/F17,0)</f>
        <v>0</v>
      </c>
      <c r="I17" s="9" t="n">
        <v>0</v>
      </c>
      <c r="J17" s="9" t="n">
        <f aca="false">IFERROR(I17/G17,0)</f>
        <v>0</v>
      </c>
      <c r="K17" s="20" t="n">
        <v>0</v>
      </c>
      <c r="L17" s="9" t="n">
        <v>0</v>
      </c>
      <c r="M17" s="21" t="n">
        <f aca="false">IFERROR(I17/L17,0)</f>
        <v>0</v>
      </c>
      <c r="N17" s="22" t="n">
        <f aca="false">IFERROR(L17/I17,0)</f>
        <v>0</v>
      </c>
      <c r="O17" s="4"/>
    </row>
    <row r="18" customFormat="false" ht="15" hidden="false" customHeight="false" outlineLevel="0" collapsed="false">
      <c r="A18" s="4" t="s">
        <v>240</v>
      </c>
      <c r="B18" s="4" t="s">
        <v>243</v>
      </c>
      <c r="C18" s="4" t="s">
        <v>253</v>
      </c>
      <c r="D18" s="4" t="s">
        <v>91</v>
      </c>
      <c r="E18" s="9" t="n">
        <v>0.13</v>
      </c>
      <c r="F18" s="20" t="n">
        <v>0</v>
      </c>
      <c r="G18" s="20" t="n">
        <v>0</v>
      </c>
      <c r="H18" s="21" t="n">
        <f aca="false">IFERROR(G18/F18,0)</f>
        <v>0</v>
      </c>
      <c r="I18" s="9" t="n">
        <v>0</v>
      </c>
      <c r="J18" s="9" t="n">
        <f aca="false">IFERROR(I18/G18,0)</f>
        <v>0</v>
      </c>
      <c r="K18" s="20" t="n">
        <v>0</v>
      </c>
      <c r="L18" s="9" t="n">
        <v>0</v>
      </c>
      <c r="M18" s="21" t="n">
        <f aca="false">IFERROR(I18/L18,0)</f>
        <v>0</v>
      </c>
      <c r="N18" s="22" t="n">
        <f aca="false">IFERROR(L18/I18,0)</f>
        <v>0</v>
      </c>
      <c r="O18" s="4"/>
    </row>
    <row r="19" customFormat="false" ht="15" hidden="false" customHeight="false" outlineLevel="0" collapsed="false">
      <c r="A19" s="4" t="s">
        <v>240</v>
      </c>
      <c r="B19" s="4" t="s">
        <v>243</v>
      </c>
      <c r="C19" s="4" t="s">
        <v>254</v>
      </c>
      <c r="D19" s="4" t="s">
        <v>91</v>
      </c>
      <c r="E19" s="9" t="n">
        <v>0.2</v>
      </c>
      <c r="F19" s="20" t="n">
        <v>0</v>
      </c>
      <c r="G19" s="20" t="n">
        <v>0</v>
      </c>
      <c r="H19" s="21" t="n">
        <f aca="false">IFERROR(G19/F19,0)</f>
        <v>0</v>
      </c>
      <c r="I19" s="9" t="n">
        <v>0</v>
      </c>
      <c r="J19" s="9" t="n">
        <f aca="false">IFERROR(I19/G19,0)</f>
        <v>0</v>
      </c>
      <c r="K19" s="20" t="n">
        <v>0</v>
      </c>
      <c r="L19" s="9" t="n">
        <v>0</v>
      </c>
      <c r="M19" s="21" t="n">
        <f aca="false">IFERROR(I19/L19,0)</f>
        <v>0</v>
      </c>
      <c r="N19" s="22" t="n">
        <f aca="false">IFERROR(L19/I19,0)</f>
        <v>0</v>
      </c>
      <c r="O19" s="4"/>
    </row>
    <row r="20" customFormat="false" ht="15" hidden="false" customHeight="false" outlineLevel="0" collapsed="false">
      <c r="A20" s="4" t="s">
        <v>240</v>
      </c>
      <c r="B20" s="4" t="s">
        <v>243</v>
      </c>
      <c r="C20" s="4" t="s">
        <v>255</v>
      </c>
      <c r="D20" s="4" t="s">
        <v>91</v>
      </c>
      <c r="E20" s="9" t="n">
        <v>0.2</v>
      </c>
      <c r="F20" s="20" t="n">
        <v>0</v>
      </c>
      <c r="G20" s="20" t="n">
        <v>0</v>
      </c>
      <c r="H20" s="21" t="n">
        <f aca="false">IFERROR(G20/F20,0)</f>
        <v>0</v>
      </c>
      <c r="I20" s="9" t="n">
        <v>0</v>
      </c>
      <c r="J20" s="9" t="n">
        <f aca="false">IFERROR(I20/G20,0)</f>
        <v>0</v>
      </c>
      <c r="K20" s="20" t="n">
        <v>0</v>
      </c>
      <c r="L20" s="9" t="n">
        <v>0</v>
      </c>
      <c r="M20" s="21" t="n">
        <f aca="false">IFERROR(I20/L20,0)</f>
        <v>0</v>
      </c>
      <c r="N20" s="22" t="n">
        <f aca="false">IFERROR(L20/I20,0)</f>
        <v>0</v>
      </c>
      <c r="O20" s="4"/>
    </row>
    <row r="21" customFormat="false" ht="15" hidden="false" customHeight="false" outlineLevel="0" collapsed="false">
      <c r="A21" s="4" t="s">
        <v>240</v>
      </c>
      <c r="B21" s="4" t="s">
        <v>243</v>
      </c>
      <c r="C21" s="4" t="s">
        <v>256</v>
      </c>
      <c r="D21" s="4" t="s">
        <v>91</v>
      </c>
      <c r="E21" s="9" t="n">
        <v>0.16</v>
      </c>
      <c r="F21" s="20" t="n">
        <v>0</v>
      </c>
      <c r="G21" s="20" t="n">
        <v>0</v>
      </c>
      <c r="H21" s="21" t="n">
        <f aca="false">IFERROR(G21/F21,0)</f>
        <v>0</v>
      </c>
      <c r="I21" s="9" t="n">
        <v>0</v>
      </c>
      <c r="J21" s="9" t="n">
        <f aca="false">IFERROR(I21/G21,0)</f>
        <v>0</v>
      </c>
      <c r="K21" s="20" t="n">
        <v>0</v>
      </c>
      <c r="L21" s="9" t="n">
        <v>0</v>
      </c>
      <c r="M21" s="21" t="n">
        <f aca="false">IFERROR(I21/L21,0)</f>
        <v>0</v>
      </c>
      <c r="N21" s="22" t="n">
        <f aca="false">IFERROR(L21/I21,0)</f>
        <v>0</v>
      </c>
      <c r="O21" s="4"/>
    </row>
    <row r="22" customFormat="false" ht="15" hidden="false" customHeight="false" outlineLevel="0" collapsed="false">
      <c r="A22" s="4" t="s">
        <v>240</v>
      </c>
      <c r="B22" s="4" t="s">
        <v>243</v>
      </c>
      <c r="C22" s="4" t="s">
        <v>257</v>
      </c>
      <c r="D22" s="4" t="s">
        <v>91</v>
      </c>
      <c r="E22" s="9" t="n">
        <v>0.06</v>
      </c>
      <c r="F22" s="20" t="n">
        <v>0</v>
      </c>
      <c r="G22" s="20" t="n">
        <v>0</v>
      </c>
      <c r="H22" s="21" t="n">
        <f aca="false">IFERROR(G22/F22,0)</f>
        <v>0</v>
      </c>
      <c r="I22" s="9" t="n">
        <v>0</v>
      </c>
      <c r="J22" s="9" t="n">
        <f aca="false">IFERROR(I22/G22,0)</f>
        <v>0</v>
      </c>
      <c r="K22" s="20" t="n">
        <v>0</v>
      </c>
      <c r="L22" s="9" t="n">
        <v>0</v>
      </c>
      <c r="M22" s="21" t="n">
        <f aca="false">IFERROR(I22/L22,0)</f>
        <v>0</v>
      </c>
      <c r="N22" s="22" t="n">
        <f aca="false">IFERROR(L22/I22,0)</f>
        <v>0</v>
      </c>
      <c r="O22" s="4"/>
    </row>
    <row r="23" customFormat="false" ht="15" hidden="false" customHeight="false" outlineLevel="0" collapsed="false">
      <c r="A23" s="4" t="s">
        <v>240</v>
      </c>
      <c r="B23" s="4" t="s">
        <v>243</v>
      </c>
      <c r="C23" s="4" t="s">
        <v>245</v>
      </c>
      <c r="D23" s="4" t="s">
        <v>91</v>
      </c>
      <c r="E23" s="9" t="n">
        <v>0.2</v>
      </c>
      <c r="F23" s="20" t="n">
        <v>0</v>
      </c>
      <c r="G23" s="20" t="n">
        <v>0</v>
      </c>
      <c r="H23" s="21" t="n">
        <f aca="false">IFERROR(G23/F23,0)</f>
        <v>0</v>
      </c>
      <c r="I23" s="9" t="n">
        <v>0</v>
      </c>
      <c r="J23" s="9" t="n">
        <f aca="false">IFERROR(I23/G23,0)</f>
        <v>0</v>
      </c>
      <c r="K23" s="20" t="n">
        <v>0</v>
      </c>
      <c r="L23" s="9" t="n">
        <v>0</v>
      </c>
      <c r="M23" s="21" t="n">
        <f aca="false">IFERROR(I23/L23,0)</f>
        <v>0</v>
      </c>
      <c r="N23" s="22" t="n">
        <f aca="false">IFERROR(L23/I23,0)</f>
        <v>0</v>
      </c>
      <c r="O23" s="4"/>
    </row>
    <row r="24" customFormat="false" ht="15" hidden="false" customHeight="false" outlineLevel="0" collapsed="false">
      <c r="A24" s="4" t="s">
        <v>240</v>
      </c>
      <c r="B24" s="4" t="s">
        <v>243</v>
      </c>
      <c r="C24" s="4" t="s">
        <v>258</v>
      </c>
      <c r="D24" s="4" t="s">
        <v>91</v>
      </c>
      <c r="E24" s="9" t="n">
        <v>0.11</v>
      </c>
      <c r="F24" s="20" t="n">
        <v>0</v>
      </c>
      <c r="G24" s="20" t="n">
        <v>0</v>
      </c>
      <c r="H24" s="21" t="n">
        <f aca="false">IFERROR(G24/F24,0)</f>
        <v>0</v>
      </c>
      <c r="I24" s="9" t="n">
        <v>0</v>
      </c>
      <c r="J24" s="9" t="n">
        <f aca="false">IFERROR(I24/G24,0)</f>
        <v>0</v>
      </c>
      <c r="K24" s="20" t="n">
        <v>0</v>
      </c>
      <c r="L24" s="9" t="n">
        <v>0</v>
      </c>
      <c r="M24" s="21" t="n">
        <f aca="false">IFERROR(I24/L24,0)</f>
        <v>0</v>
      </c>
      <c r="N24" s="22" t="n">
        <f aca="false">IFERROR(L24/I24,0)</f>
        <v>0</v>
      </c>
      <c r="O24" s="4"/>
    </row>
    <row r="25" customFormat="false" ht="15" hidden="false" customHeight="false" outlineLevel="0" collapsed="false">
      <c r="A25" s="4" t="s">
        <v>240</v>
      </c>
      <c r="B25" s="4" t="s">
        <v>243</v>
      </c>
      <c r="C25" s="4" t="s">
        <v>258</v>
      </c>
      <c r="D25" s="4" t="s">
        <v>95</v>
      </c>
      <c r="E25" s="9" t="n">
        <v>0.13</v>
      </c>
      <c r="F25" s="20" t="n">
        <v>0</v>
      </c>
      <c r="G25" s="20" t="n">
        <v>0</v>
      </c>
      <c r="H25" s="21" t="n">
        <f aca="false">IFERROR(G25/F25,0)</f>
        <v>0</v>
      </c>
      <c r="I25" s="9" t="n">
        <v>0</v>
      </c>
      <c r="J25" s="9" t="n">
        <f aca="false">IFERROR(I25/G25,0)</f>
        <v>0</v>
      </c>
      <c r="K25" s="20" t="n">
        <v>0</v>
      </c>
      <c r="L25" s="9" t="n">
        <v>0</v>
      </c>
      <c r="M25" s="21" t="n">
        <f aca="false">IFERROR(I25/L25,0)</f>
        <v>0</v>
      </c>
      <c r="N25" s="22" t="n">
        <f aca="false">IFERROR(L25/I25,0)</f>
        <v>0</v>
      </c>
      <c r="O25" s="4"/>
    </row>
    <row r="26" customFormat="false" ht="15" hidden="false" customHeight="false" outlineLevel="0" collapsed="false">
      <c r="A26" s="4" t="s">
        <v>240</v>
      </c>
      <c r="B26" s="4" t="s">
        <v>243</v>
      </c>
      <c r="C26" s="4" t="s">
        <v>258</v>
      </c>
      <c r="D26" s="4" t="s">
        <v>259</v>
      </c>
      <c r="E26" s="9" t="n">
        <v>0.13</v>
      </c>
      <c r="F26" s="20" t="n">
        <v>0</v>
      </c>
      <c r="G26" s="20" t="n">
        <v>0</v>
      </c>
      <c r="H26" s="21" t="n">
        <f aca="false">IFERROR(G26/F26,0)</f>
        <v>0</v>
      </c>
      <c r="I26" s="9" t="n">
        <v>0</v>
      </c>
      <c r="J26" s="9" t="n">
        <f aca="false">IFERROR(I26/G26,0)</f>
        <v>0</v>
      </c>
      <c r="K26" s="20" t="n">
        <v>0</v>
      </c>
      <c r="L26" s="9" t="n">
        <v>0</v>
      </c>
      <c r="M26" s="21" t="n">
        <f aca="false">IFERROR(I26/L26,0)</f>
        <v>0</v>
      </c>
      <c r="N26" s="22" t="n">
        <f aca="false">IFERROR(L26/I26,0)</f>
        <v>0</v>
      </c>
      <c r="O26" s="4"/>
    </row>
    <row r="27" customFormat="false" ht="15" hidden="false" customHeight="false" outlineLevel="0" collapsed="false">
      <c r="A27" s="4" t="s">
        <v>240</v>
      </c>
      <c r="B27" s="4" t="s">
        <v>243</v>
      </c>
      <c r="C27" s="4" t="s">
        <v>260</v>
      </c>
      <c r="D27" s="4" t="s">
        <v>91</v>
      </c>
      <c r="E27" s="9" t="n">
        <v>0.12</v>
      </c>
      <c r="F27" s="20" t="n">
        <v>0</v>
      </c>
      <c r="G27" s="20" t="n">
        <v>0</v>
      </c>
      <c r="H27" s="21" t="n">
        <f aca="false">IFERROR(G27/F27,0)</f>
        <v>0</v>
      </c>
      <c r="I27" s="9" t="n">
        <v>0</v>
      </c>
      <c r="J27" s="9" t="n">
        <f aca="false">IFERROR(I27/G27,0)</f>
        <v>0</v>
      </c>
      <c r="K27" s="20" t="n">
        <v>0</v>
      </c>
      <c r="L27" s="9" t="n">
        <v>0</v>
      </c>
      <c r="M27" s="21" t="n">
        <f aca="false">IFERROR(I27/L27,0)</f>
        <v>0</v>
      </c>
      <c r="N27" s="22" t="n">
        <f aca="false">IFERROR(L27/I27,0)</f>
        <v>0</v>
      </c>
      <c r="O27" s="4"/>
    </row>
    <row r="28" customFormat="false" ht="15" hidden="false" customHeight="false" outlineLevel="0" collapsed="false">
      <c r="A28" s="4" t="s">
        <v>240</v>
      </c>
      <c r="B28" s="4" t="s">
        <v>243</v>
      </c>
      <c r="C28" s="4" t="s">
        <v>261</v>
      </c>
      <c r="D28" s="4" t="s">
        <v>91</v>
      </c>
      <c r="E28" s="9" t="n">
        <v>0.04</v>
      </c>
      <c r="F28" s="20" t="n">
        <v>0</v>
      </c>
      <c r="G28" s="20" t="n">
        <v>0</v>
      </c>
      <c r="H28" s="21" t="n">
        <f aca="false">IFERROR(G28/F28,0)</f>
        <v>0</v>
      </c>
      <c r="I28" s="9" t="n">
        <v>0</v>
      </c>
      <c r="J28" s="9" t="n">
        <f aca="false">IFERROR(I28/G28,0)</f>
        <v>0</v>
      </c>
      <c r="K28" s="20" t="n">
        <v>0</v>
      </c>
      <c r="L28" s="9" t="n">
        <v>0</v>
      </c>
      <c r="M28" s="21" t="n">
        <f aca="false">IFERROR(I28/L28,0)</f>
        <v>0</v>
      </c>
      <c r="N28" s="22" t="n">
        <f aca="false">IFERROR(L28/I28,0)</f>
        <v>0</v>
      </c>
      <c r="O28" s="4"/>
    </row>
    <row r="29" customFormat="false" ht="15" hidden="false" customHeight="false" outlineLevel="0" collapsed="false">
      <c r="A29" s="4" t="s">
        <v>240</v>
      </c>
      <c r="B29" s="4" t="s">
        <v>243</v>
      </c>
      <c r="C29" s="4" t="s">
        <v>262</v>
      </c>
      <c r="D29" s="4" t="s">
        <v>91</v>
      </c>
      <c r="E29" s="9" t="n">
        <v>0.2</v>
      </c>
      <c r="F29" s="20" t="n">
        <v>0</v>
      </c>
      <c r="G29" s="20" t="n">
        <v>0</v>
      </c>
      <c r="H29" s="21" t="n">
        <f aca="false">IFERROR(G29/F29,0)</f>
        <v>0</v>
      </c>
      <c r="I29" s="9" t="n">
        <v>0</v>
      </c>
      <c r="J29" s="9" t="n">
        <f aca="false">IFERROR(I29/G29,0)</f>
        <v>0</v>
      </c>
      <c r="K29" s="20" t="n">
        <v>0</v>
      </c>
      <c r="L29" s="9" t="n">
        <v>0</v>
      </c>
      <c r="M29" s="21" t="n">
        <f aca="false">IFERROR(I29/L29,0)</f>
        <v>0</v>
      </c>
      <c r="N29" s="22" t="n">
        <f aca="false">IFERROR(L29/I29,0)</f>
        <v>0</v>
      </c>
      <c r="O29" s="4"/>
    </row>
    <row r="30" customFormat="false" ht="15" hidden="false" customHeight="false" outlineLevel="0" collapsed="false">
      <c r="A30" s="4" t="s">
        <v>240</v>
      </c>
      <c r="B30" s="4" t="s">
        <v>243</v>
      </c>
      <c r="C30" s="4" t="s">
        <v>263</v>
      </c>
      <c r="D30" s="4" t="s">
        <v>91</v>
      </c>
      <c r="E30" s="9" t="n">
        <v>0.11</v>
      </c>
      <c r="F30" s="20" t="n">
        <v>0</v>
      </c>
      <c r="G30" s="20" t="n">
        <v>0</v>
      </c>
      <c r="H30" s="21" t="n">
        <f aca="false">IFERROR(G30/F30,0)</f>
        <v>0</v>
      </c>
      <c r="I30" s="9" t="n">
        <v>0</v>
      </c>
      <c r="J30" s="9" t="n">
        <f aca="false">IFERROR(I30/G30,0)</f>
        <v>0</v>
      </c>
      <c r="K30" s="20" t="n">
        <v>0</v>
      </c>
      <c r="L30" s="9" t="n">
        <v>0</v>
      </c>
      <c r="M30" s="21" t="n">
        <f aca="false">IFERROR(I30/L30,0)</f>
        <v>0</v>
      </c>
      <c r="N30" s="22" t="n">
        <f aca="false">IFERROR(L30/I30,0)</f>
        <v>0</v>
      </c>
      <c r="O30" s="4"/>
    </row>
    <row r="31" customFormat="false" ht="15" hidden="false" customHeight="false" outlineLevel="0" collapsed="false">
      <c r="A31" s="4" t="s">
        <v>240</v>
      </c>
      <c r="B31" s="4" t="s">
        <v>243</v>
      </c>
      <c r="C31" s="4" t="s">
        <v>264</v>
      </c>
      <c r="D31" s="4" t="s">
        <v>91</v>
      </c>
      <c r="E31" s="9" t="n">
        <v>0.13</v>
      </c>
      <c r="F31" s="20" t="n">
        <v>0</v>
      </c>
      <c r="G31" s="20" t="n">
        <v>0</v>
      </c>
      <c r="H31" s="21" t="n">
        <f aca="false">IFERROR(G31/F31,0)</f>
        <v>0</v>
      </c>
      <c r="I31" s="9" t="n">
        <v>0</v>
      </c>
      <c r="J31" s="9" t="n">
        <f aca="false">IFERROR(I31/G31,0)</f>
        <v>0</v>
      </c>
      <c r="K31" s="20" t="n">
        <v>0</v>
      </c>
      <c r="L31" s="9" t="n">
        <v>0</v>
      </c>
      <c r="M31" s="21" t="n">
        <f aca="false">IFERROR(I31/L31,0)</f>
        <v>0</v>
      </c>
      <c r="N31" s="22" t="n">
        <f aca="false">IFERROR(L31/I31,0)</f>
        <v>0</v>
      </c>
      <c r="O31" s="4"/>
    </row>
    <row r="32" customFormat="false" ht="15" hidden="false" customHeight="false" outlineLevel="0" collapsed="false">
      <c r="A32" s="4" t="s">
        <v>240</v>
      </c>
      <c r="B32" s="4" t="s">
        <v>243</v>
      </c>
      <c r="C32" s="4" t="s">
        <v>265</v>
      </c>
      <c r="D32" s="4" t="s">
        <v>91</v>
      </c>
      <c r="E32" s="9" t="n">
        <v>0.06</v>
      </c>
      <c r="F32" s="20" t="n">
        <v>0</v>
      </c>
      <c r="G32" s="20" t="n">
        <v>0</v>
      </c>
      <c r="H32" s="21" t="n">
        <f aca="false">IFERROR(G32/F32,0)</f>
        <v>0</v>
      </c>
      <c r="I32" s="9" t="n">
        <v>0</v>
      </c>
      <c r="J32" s="9" t="n">
        <f aca="false">IFERROR(I32/G32,0)</f>
        <v>0</v>
      </c>
      <c r="K32" s="20" t="n">
        <v>0</v>
      </c>
      <c r="L32" s="9" t="n">
        <v>0</v>
      </c>
      <c r="M32" s="21" t="n">
        <f aca="false">IFERROR(I32/L32,0)</f>
        <v>0</v>
      </c>
      <c r="N32" s="22" t="n">
        <f aca="false">IFERROR(L32/I32,0)</f>
        <v>0</v>
      </c>
      <c r="O32" s="4"/>
    </row>
    <row r="33" customFormat="false" ht="15" hidden="false" customHeight="false" outlineLevel="0" collapsed="false">
      <c r="A33" s="4" t="s">
        <v>240</v>
      </c>
      <c r="B33" s="4" t="s">
        <v>243</v>
      </c>
      <c r="C33" s="4" t="s">
        <v>266</v>
      </c>
      <c r="D33" s="4" t="s">
        <v>91</v>
      </c>
      <c r="E33" s="9" t="n">
        <v>0.1</v>
      </c>
      <c r="F33" s="20" t="n">
        <v>0</v>
      </c>
      <c r="G33" s="20" t="n">
        <v>0</v>
      </c>
      <c r="H33" s="21" t="n">
        <f aca="false">IFERROR(G33/F33,0)</f>
        <v>0</v>
      </c>
      <c r="I33" s="9" t="n">
        <v>0</v>
      </c>
      <c r="J33" s="9" t="n">
        <f aca="false">IFERROR(I33/G33,0)</f>
        <v>0</v>
      </c>
      <c r="K33" s="20" t="n">
        <v>0</v>
      </c>
      <c r="L33" s="9" t="n">
        <v>0</v>
      </c>
      <c r="M33" s="21" t="n">
        <f aca="false">IFERROR(I33/L33,0)</f>
        <v>0</v>
      </c>
      <c r="N33" s="22" t="n">
        <f aca="false">IFERROR(L33/I33,0)</f>
        <v>0</v>
      </c>
      <c r="O33" s="4"/>
    </row>
    <row r="34" customFormat="false" ht="15" hidden="false" customHeight="false" outlineLevel="0" collapsed="false">
      <c r="A34" s="4" t="s">
        <v>240</v>
      </c>
      <c r="B34" s="4" t="s">
        <v>243</v>
      </c>
      <c r="C34" s="4" t="s">
        <v>267</v>
      </c>
      <c r="D34" s="4" t="s">
        <v>91</v>
      </c>
      <c r="E34" s="9" t="n">
        <v>0.06</v>
      </c>
      <c r="F34" s="20" t="n">
        <v>0</v>
      </c>
      <c r="G34" s="20" t="n">
        <v>0</v>
      </c>
      <c r="H34" s="21" t="n">
        <f aca="false">IFERROR(G34/F34,0)</f>
        <v>0</v>
      </c>
      <c r="I34" s="9" t="n">
        <v>0</v>
      </c>
      <c r="J34" s="9" t="n">
        <f aca="false">IFERROR(I34/G34,0)</f>
        <v>0</v>
      </c>
      <c r="K34" s="20" t="n">
        <v>0</v>
      </c>
      <c r="L34" s="9" t="n">
        <v>0</v>
      </c>
      <c r="M34" s="21" t="n">
        <f aca="false">IFERROR(I34/L34,0)</f>
        <v>0</v>
      </c>
      <c r="N34" s="22" t="n">
        <f aca="false">IFERROR(L34/I34,0)</f>
        <v>0</v>
      </c>
      <c r="O34" s="4"/>
    </row>
    <row r="35" customFormat="false" ht="15" hidden="false" customHeight="false" outlineLevel="0" collapsed="false">
      <c r="A35" s="4" t="s">
        <v>240</v>
      </c>
      <c r="B35" s="4" t="s">
        <v>243</v>
      </c>
      <c r="C35" s="4" t="s">
        <v>268</v>
      </c>
      <c r="D35" s="4" t="s">
        <v>91</v>
      </c>
      <c r="E35" s="9" t="n">
        <v>0.2</v>
      </c>
      <c r="F35" s="20" t="n">
        <v>0</v>
      </c>
      <c r="G35" s="20" t="n">
        <v>0</v>
      </c>
      <c r="H35" s="21" t="n">
        <f aca="false">IFERROR(G35/F35,0)</f>
        <v>0</v>
      </c>
      <c r="I35" s="9" t="n">
        <v>0</v>
      </c>
      <c r="J35" s="9" t="n">
        <f aca="false">IFERROR(I35/G35,0)</f>
        <v>0</v>
      </c>
      <c r="K35" s="20" t="n">
        <v>0</v>
      </c>
      <c r="L35" s="9" t="n">
        <v>0</v>
      </c>
      <c r="M35" s="21" t="n">
        <f aca="false">IFERROR(I35/L35,0)</f>
        <v>0</v>
      </c>
      <c r="N35" s="22" t="n">
        <f aca="false">IFERROR(L35/I35,0)</f>
        <v>0</v>
      </c>
      <c r="O35" s="4"/>
    </row>
    <row r="36" customFormat="false" ht="15" hidden="false" customHeight="false" outlineLevel="0" collapsed="false">
      <c r="A36" s="4" t="s">
        <v>240</v>
      </c>
      <c r="B36" s="4" t="s">
        <v>243</v>
      </c>
      <c r="C36" s="4" t="s">
        <v>269</v>
      </c>
      <c r="D36" s="4" t="s">
        <v>91</v>
      </c>
      <c r="E36" s="9" t="n">
        <v>0.21</v>
      </c>
      <c r="F36" s="20" t="n">
        <v>0</v>
      </c>
      <c r="G36" s="20" t="n">
        <v>0</v>
      </c>
      <c r="H36" s="21" t="n">
        <f aca="false">IFERROR(G36/F36,0)</f>
        <v>0</v>
      </c>
      <c r="I36" s="9" t="n">
        <v>0</v>
      </c>
      <c r="J36" s="9" t="n">
        <f aca="false">IFERROR(I36/G36,0)</f>
        <v>0</v>
      </c>
      <c r="K36" s="20" t="n">
        <v>0</v>
      </c>
      <c r="L36" s="9" t="n">
        <v>0</v>
      </c>
      <c r="M36" s="21" t="n">
        <f aca="false">IFERROR(I36/L36,0)</f>
        <v>0</v>
      </c>
      <c r="N36" s="22" t="n">
        <f aca="false">IFERROR(L36/I36,0)</f>
        <v>0</v>
      </c>
      <c r="O36" s="4"/>
    </row>
    <row r="37" customFormat="false" ht="15" hidden="false" customHeight="false" outlineLevel="0" collapsed="false">
      <c r="A37" s="4" t="s">
        <v>240</v>
      </c>
      <c r="B37" s="4" t="s">
        <v>243</v>
      </c>
      <c r="C37" s="4" t="s">
        <v>270</v>
      </c>
      <c r="D37" s="4" t="s">
        <v>91</v>
      </c>
      <c r="E37" s="9" t="n">
        <v>0.2</v>
      </c>
      <c r="F37" s="20" t="n">
        <v>0</v>
      </c>
      <c r="G37" s="20" t="n">
        <v>0</v>
      </c>
      <c r="H37" s="21" t="n">
        <f aca="false">IFERROR(G37/F37,0)</f>
        <v>0</v>
      </c>
      <c r="I37" s="9" t="n">
        <v>0</v>
      </c>
      <c r="J37" s="9" t="n">
        <f aca="false">IFERROR(I37/G37,0)</f>
        <v>0</v>
      </c>
      <c r="K37" s="20" t="n">
        <v>0</v>
      </c>
      <c r="L37" s="9" t="n">
        <v>0</v>
      </c>
      <c r="M37" s="21" t="n">
        <f aca="false">IFERROR(I37/L37,0)</f>
        <v>0</v>
      </c>
      <c r="N37" s="22" t="n">
        <f aca="false">IFERROR(L37/I37,0)</f>
        <v>0</v>
      </c>
      <c r="O37" s="4"/>
    </row>
    <row r="38" customFormat="false" ht="15" hidden="false" customHeight="false" outlineLevel="0" collapsed="false">
      <c r="A38" s="4" t="s">
        <v>240</v>
      </c>
      <c r="B38" s="4" t="s">
        <v>243</v>
      </c>
      <c r="C38" s="4" t="s">
        <v>271</v>
      </c>
      <c r="D38" s="4" t="s">
        <v>91</v>
      </c>
      <c r="E38" s="9" t="n">
        <v>0.2</v>
      </c>
      <c r="F38" s="20" t="n">
        <v>0</v>
      </c>
      <c r="G38" s="20" t="n">
        <v>0</v>
      </c>
      <c r="H38" s="21" t="n">
        <f aca="false">IFERROR(G38/F38,0)</f>
        <v>0</v>
      </c>
      <c r="I38" s="9" t="n">
        <v>0</v>
      </c>
      <c r="J38" s="9" t="n">
        <f aca="false">IFERROR(I38/G38,0)</f>
        <v>0</v>
      </c>
      <c r="K38" s="20" t="n">
        <v>0</v>
      </c>
      <c r="L38" s="9" t="n">
        <v>0</v>
      </c>
      <c r="M38" s="21" t="n">
        <f aca="false">IFERROR(I38/L38,0)</f>
        <v>0</v>
      </c>
      <c r="N38" s="22" t="n">
        <f aca="false">IFERROR(L38/I38,0)</f>
        <v>0</v>
      </c>
      <c r="O38" s="4"/>
    </row>
    <row r="39" customFormat="false" ht="15" hidden="false" customHeight="false" outlineLevel="0" collapsed="false">
      <c r="A39" s="4" t="s">
        <v>240</v>
      </c>
      <c r="B39" s="4" t="s">
        <v>243</v>
      </c>
      <c r="C39" s="4" t="s">
        <v>272</v>
      </c>
      <c r="D39" s="4" t="s">
        <v>91</v>
      </c>
      <c r="E39" s="9" t="n">
        <v>0.14</v>
      </c>
      <c r="F39" s="20" t="n">
        <v>0</v>
      </c>
      <c r="G39" s="20" t="n">
        <v>0</v>
      </c>
      <c r="H39" s="21" t="n">
        <f aca="false">IFERROR(G39/F39,0)</f>
        <v>0</v>
      </c>
      <c r="I39" s="9" t="n">
        <v>0</v>
      </c>
      <c r="J39" s="9" t="n">
        <f aca="false">IFERROR(I39/G39,0)</f>
        <v>0</v>
      </c>
      <c r="K39" s="20" t="n">
        <v>0</v>
      </c>
      <c r="L39" s="9" t="n">
        <v>0</v>
      </c>
      <c r="M39" s="21" t="n">
        <f aca="false">IFERROR(I39/L39,0)</f>
        <v>0</v>
      </c>
      <c r="N39" s="22" t="n">
        <f aca="false">IFERROR(L39/I39,0)</f>
        <v>0</v>
      </c>
      <c r="O39" s="4"/>
    </row>
    <row r="40" customFormat="false" ht="15" hidden="false" customHeight="false" outlineLevel="0" collapsed="false">
      <c r="A40" s="4" t="s">
        <v>240</v>
      </c>
      <c r="B40" s="4" t="s">
        <v>243</v>
      </c>
      <c r="C40" s="4" t="s">
        <v>273</v>
      </c>
      <c r="D40" s="4" t="s">
        <v>91</v>
      </c>
      <c r="E40" s="9" t="n">
        <v>0.06</v>
      </c>
      <c r="F40" s="20" t="n">
        <v>0</v>
      </c>
      <c r="G40" s="20" t="n">
        <v>0</v>
      </c>
      <c r="H40" s="21" t="n">
        <f aca="false">IFERROR(G40/F40,0)</f>
        <v>0</v>
      </c>
      <c r="I40" s="9" t="n">
        <v>0</v>
      </c>
      <c r="J40" s="9" t="n">
        <f aca="false">IFERROR(I40/G40,0)</f>
        <v>0</v>
      </c>
      <c r="K40" s="20" t="n">
        <v>0</v>
      </c>
      <c r="L40" s="9" t="n">
        <v>0</v>
      </c>
      <c r="M40" s="21" t="n">
        <f aca="false">IFERROR(I40/L40,0)</f>
        <v>0</v>
      </c>
      <c r="N40" s="22" t="n">
        <f aca="false">IFERROR(L40/I40,0)</f>
        <v>0</v>
      </c>
      <c r="O40" s="4"/>
    </row>
    <row r="41" customFormat="false" ht="15" hidden="false" customHeight="false" outlineLevel="0" collapsed="false">
      <c r="A41" s="4" t="s">
        <v>240</v>
      </c>
      <c r="B41" s="4" t="s">
        <v>243</v>
      </c>
      <c r="C41" s="4" t="s">
        <v>274</v>
      </c>
      <c r="D41" s="4" t="s">
        <v>91</v>
      </c>
      <c r="E41" s="9" t="n">
        <v>0.2</v>
      </c>
      <c r="F41" s="20" t="n">
        <v>0</v>
      </c>
      <c r="G41" s="20" t="n">
        <v>0</v>
      </c>
      <c r="H41" s="21" t="n">
        <f aca="false">IFERROR(G41/F41,0)</f>
        <v>0</v>
      </c>
      <c r="I41" s="9" t="n">
        <v>0</v>
      </c>
      <c r="J41" s="9" t="n">
        <f aca="false">IFERROR(I41/G41,0)</f>
        <v>0</v>
      </c>
      <c r="K41" s="20" t="n">
        <v>0</v>
      </c>
      <c r="L41" s="9" t="n">
        <v>0</v>
      </c>
      <c r="M41" s="21" t="n">
        <f aca="false">IFERROR(I41/L41,0)</f>
        <v>0</v>
      </c>
      <c r="N41" s="22" t="n">
        <f aca="false">IFERROR(L41/I41,0)</f>
        <v>0</v>
      </c>
      <c r="O41" s="4"/>
    </row>
    <row r="42" customFormat="false" ht="15" hidden="false" customHeight="false" outlineLevel="0" collapsed="false">
      <c r="A42" s="4" t="s">
        <v>240</v>
      </c>
      <c r="B42" s="4" t="s">
        <v>243</v>
      </c>
      <c r="C42" s="4" t="s">
        <v>275</v>
      </c>
      <c r="D42" s="4" t="s">
        <v>91</v>
      </c>
      <c r="E42" s="9" t="n">
        <v>0.09</v>
      </c>
      <c r="F42" s="20" t="n">
        <v>0</v>
      </c>
      <c r="G42" s="20" t="n">
        <v>0</v>
      </c>
      <c r="H42" s="21" t="n">
        <f aca="false">IFERROR(G42/F42,0)</f>
        <v>0</v>
      </c>
      <c r="I42" s="9" t="n">
        <v>0</v>
      </c>
      <c r="J42" s="9" t="n">
        <f aca="false">IFERROR(I42/G42,0)</f>
        <v>0</v>
      </c>
      <c r="K42" s="20" t="n">
        <v>0</v>
      </c>
      <c r="L42" s="9" t="n">
        <v>0</v>
      </c>
      <c r="M42" s="21" t="n">
        <f aca="false">IFERROR(I42/L42,0)</f>
        <v>0</v>
      </c>
      <c r="N42" s="22" t="n">
        <f aca="false">IFERROR(L42/I42,0)</f>
        <v>0</v>
      </c>
      <c r="O42" s="4"/>
    </row>
    <row r="43" customFormat="false" ht="15" hidden="false" customHeight="false" outlineLevel="0" collapsed="false">
      <c r="A43" s="4" t="s">
        <v>240</v>
      </c>
      <c r="B43" s="4" t="s">
        <v>243</v>
      </c>
      <c r="C43" s="13" t="s">
        <v>90</v>
      </c>
      <c r="D43" s="4" t="s">
        <v>91</v>
      </c>
      <c r="E43" s="9" t="n">
        <v>0.09</v>
      </c>
      <c r="F43" s="20" t="n">
        <v>0</v>
      </c>
      <c r="G43" s="20" t="n">
        <v>0</v>
      </c>
      <c r="H43" s="21" t="n">
        <f aca="false">IFERROR(G43/F43,0)</f>
        <v>0</v>
      </c>
      <c r="I43" s="9" t="n">
        <v>0</v>
      </c>
      <c r="J43" s="9" t="n">
        <f aca="false">IFERROR(I43/G43,0)</f>
        <v>0</v>
      </c>
      <c r="K43" s="20" t="n">
        <v>0</v>
      </c>
      <c r="L43" s="9" t="n">
        <v>0</v>
      </c>
      <c r="M43" s="21" t="n">
        <f aca="false">IFERROR(I43/L43,0)</f>
        <v>0</v>
      </c>
      <c r="N43" s="22" t="n">
        <f aca="false">IFERROR(L43/I43,0)</f>
        <v>0</v>
      </c>
      <c r="O43" s="13" t="s">
        <v>242</v>
      </c>
    </row>
    <row r="44" customFormat="false" ht="15" hidden="false" customHeight="false" outlineLevel="0" collapsed="false">
      <c r="A44" s="4" t="s">
        <v>240</v>
      </c>
      <c r="B44" s="4" t="s">
        <v>243</v>
      </c>
      <c r="C44" s="4" t="s">
        <v>276</v>
      </c>
      <c r="D44" s="4" t="s">
        <v>91</v>
      </c>
      <c r="E44" s="9" t="n">
        <v>0.06</v>
      </c>
      <c r="F44" s="20" t="n">
        <v>0</v>
      </c>
      <c r="G44" s="20" t="n">
        <v>0</v>
      </c>
      <c r="H44" s="21" t="n">
        <f aca="false">IFERROR(G44/F44,0)</f>
        <v>0</v>
      </c>
      <c r="I44" s="9" t="n">
        <v>0</v>
      </c>
      <c r="J44" s="9" t="n">
        <f aca="false">IFERROR(I44/G44,0)</f>
        <v>0</v>
      </c>
      <c r="K44" s="20" t="n">
        <v>0</v>
      </c>
      <c r="L44" s="9" t="n">
        <v>0</v>
      </c>
      <c r="M44" s="21" t="n">
        <f aca="false">IFERROR(I44/L44,0)</f>
        <v>0</v>
      </c>
      <c r="N44" s="22" t="n">
        <f aca="false">IFERROR(L44/I44,0)</f>
        <v>0</v>
      </c>
      <c r="O44" s="4"/>
    </row>
    <row r="45" customFormat="false" ht="15" hidden="false" customHeight="false" outlineLevel="0" collapsed="false">
      <c r="A45" s="4" t="s">
        <v>240</v>
      </c>
      <c r="B45" s="4" t="s">
        <v>243</v>
      </c>
      <c r="C45" s="4" t="s">
        <v>277</v>
      </c>
      <c r="D45" s="4" t="s">
        <v>91</v>
      </c>
      <c r="E45" s="9" t="n">
        <v>0.2</v>
      </c>
      <c r="F45" s="20" t="n">
        <v>0</v>
      </c>
      <c r="G45" s="20" t="n">
        <v>0</v>
      </c>
      <c r="H45" s="21" t="n">
        <f aca="false">IFERROR(G45/F45,0)</f>
        <v>0</v>
      </c>
      <c r="I45" s="9" t="n">
        <v>0</v>
      </c>
      <c r="J45" s="9" t="n">
        <f aca="false">IFERROR(I45/G45,0)</f>
        <v>0</v>
      </c>
      <c r="K45" s="20" t="n">
        <v>0</v>
      </c>
      <c r="L45" s="9" t="n">
        <v>0</v>
      </c>
      <c r="M45" s="21" t="n">
        <f aca="false">IFERROR(I45/L45,0)</f>
        <v>0</v>
      </c>
      <c r="N45" s="22" t="n">
        <f aca="false">IFERROR(L45/I45,0)</f>
        <v>0</v>
      </c>
      <c r="O45" s="4"/>
    </row>
    <row r="46" customFormat="false" ht="15" hidden="false" customHeight="false" outlineLevel="0" collapsed="false">
      <c r="A46" s="4" t="s">
        <v>240</v>
      </c>
      <c r="B46" s="4" t="s">
        <v>243</v>
      </c>
      <c r="C46" s="4" t="s">
        <v>278</v>
      </c>
      <c r="D46" s="4" t="s">
        <v>91</v>
      </c>
      <c r="E46" s="9" t="n">
        <v>0.06</v>
      </c>
      <c r="F46" s="20" t="n">
        <v>0</v>
      </c>
      <c r="G46" s="20" t="n">
        <v>0</v>
      </c>
      <c r="H46" s="21" t="n">
        <f aca="false">IFERROR(G46/F46,0)</f>
        <v>0</v>
      </c>
      <c r="I46" s="9" t="n">
        <v>0</v>
      </c>
      <c r="J46" s="9" t="n">
        <f aca="false">IFERROR(I46/G46,0)</f>
        <v>0</v>
      </c>
      <c r="K46" s="20" t="n">
        <v>0</v>
      </c>
      <c r="L46" s="9" t="n">
        <v>0</v>
      </c>
      <c r="M46" s="21" t="n">
        <f aca="false">IFERROR(I46/L46,0)</f>
        <v>0</v>
      </c>
      <c r="N46" s="22" t="n">
        <f aca="false">IFERROR(L46/I46,0)</f>
        <v>0</v>
      </c>
      <c r="O46" s="4"/>
    </row>
    <row r="47" customFormat="false" ht="15" hidden="false" customHeight="false" outlineLevel="0" collapsed="false">
      <c r="A47" s="4" t="s">
        <v>240</v>
      </c>
      <c r="B47" s="4" t="s">
        <v>243</v>
      </c>
      <c r="C47" s="4" t="s">
        <v>279</v>
      </c>
      <c r="D47" s="4" t="s">
        <v>91</v>
      </c>
      <c r="E47" s="9" t="n">
        <v>0.1</v>
      </c>
      <c r="F47" s="20" t="n">
        <v>0</v>
      </c>
      <c r="G47" s="20" t="n">
        <v>0</v>
      </c>
      <c r="H47" s="21" t="n">
        <f aca="false">IFERROR(G47/F47,0)</f>
        <v>0</v>
      </c>
      <c r="I47" s="9" t="n">
        <v>0</v>
      </c>
      <c r="J47" s="9" t="n">
        <f aca="false">IFERROR(I47/G47,0)</f>
        <v>0</v>
      </c>
      <c r="K47" s="20" t="n">
        <v>0</v>
      </c>
      <c r="L47" s="9" t="n">
        <v>0</v>
      </c>
      <c r="M47" s="21" t="n">
        <f aca="false">IFERROR(I47/L47,0)</f>
        <v>0</v>
      </c>
      <c r="N47" s="22" t="n">
        <f aca="false">IFERROR(L47/I47,0)</f>
        <v>0</v>
      </c>
      <c r="O47" s="4"/>
    </row>
    <row r="48" customFormat="false" ht="15" hidden="false" customHeight="false" outlineLevel="0" collapsed="false">
      <c r="A48" s="4" t="s">
        <v>240</v>
      </c>
      <c r="B48" s="4" t="s">
        <v>243</v>
      </c>
      <c r="C48" s="4" t="s">
        <v>280</v>
      </c>
      <c r="D48" s="4" t="s">
        <v>91</v>
      </c>
      <c r="E48" s="9" t="n">
        <v>0.2</v>
      </c>
      <c r="F48" s="20" t="n">
        <v>0</v>
      </c>
      <c r="G48" s="20" t="n">
        <v>0</v>
      </c>
      <c r="H48" s="21" t="n">
        <f aca="false">IFERROR(G48/F48,0)</f>
        <v>0</v>
      </c>
      <c r="I48" s="9" t="n">
        <v>0</v>
      </c>
      <c r="J48" s="9" t="n">
        <f aca="false">IFERROR(I48/G48,0)</f>
        <v>0</v>
      </c>
      <c r="K48" s="20" t="n">
        <v>0</v>
      </c>
      <c r="L48" s="9" t="n">
        <v>0</v>
      </c>
      <c r="M48" s="21" t="n">
        <f aca="false">IFERROR(I48/L48,0)</f>
        <v>0</v>
      </c>
      <c r="N48" s="22" t="n">
        <f aca="false">IFERROR(L48/I48,0)</f>
        <v>0</v>
      </c>
      <c r="O48" s="4"/>
    </row>
    <row r="49" customFormat="false" ht="15" hidden="false" customHeight="false" outlineLevel="0" collapsed="false">
      <c r="A49" s="4" t="s">
        <v>240</v>
      </c>
      <c r="B49" s="4" t="s">
        <v>243</v>
      </c>
      <c r="C49" s="4" t="s">
        <v>249</v>
      </c>
      <c r="D49" s="4" t="s">
        <v>91</v>
      </c>
      <c r="E49" s="9" t="n">
        <v>0.2</v>
      </c>
      <c r="F49" s="20" t="n">
        <v>0</v>
      </c>
      <c r="G49" s="20" t="n">
        <v>0</v>
      </c>
      <c r="H49" s="21" t="n">
        <f aca="false">IFERROR(G49/F49,0)</f>
        <v>0</v>
      </c>
      <c r="I49" s="9" t="n">
        <v>0</v>
      </c>
      <c r="J49" s="9" t="n">
        <f aca="false">IFERROR(I49/G49,0)</f>
        <v>0</v>
      </c>
      <c r="K49" s="20" t="n">
        <v>0</v>
      </c>
      <c r="L49" s="9" t="n">
        <v>0</v>
      </c>
      <c r="M49" s="21" t="n">
        <f aca="false">IFERROR(I49/L49,0)</f>
        <v>0</v>
      </c>
      <c r="N49" s="22" t="n">
        <f aca="false">IFERROR(L49/I49,0)</f>
        <v>0</v>
      </c>
      <c r="O49" s="4"/>
    </row>
    <row r="50" customFormat="false" ht="15" hidden="false" customHeight="false" outlineLevel="0" collapsed="false">
      <c r="A50" s="4" t="s">
        <v>240</v>
      </c>
      <c r="B50" s="4" t="s">
        <v>243</v>
      </c>
      <c r="C50" s="4" t="s">
        <v>281</v>
      </c>
      <c r="D50" s="4" t="s">
        <v>91</v>
      </c>
      <c r="E50" s="9" t="n">
        <v>0.13</v>
      </c>
      <c r="F50" s="20" t="n">
        <v>0</v>
      </c>
      <c r="G50" s="20" t="n">
        <v>0</v>
      </c>
      <c r="H50" s="21" t="n">
        <f aca="false">IFERROR(G50/F50,0)</f>
        <v>0</v>
      </c>
      <c r="I50" s="9" t="n">
        <v>0</v>
      </c>
      <c r="J50" s="9" t="n">
        <f aca="false">IFERROR(I50/G50,0)</f>
        <v>0</v>
      </c>
      <c r="K50" s="20" t="n">
        <v>0</v>
      </c>
      <c r="L50" s="9" t="n">
        <v>0</v>
      </c>
      <c r="M50" s="21" t="n">
        <f aca="false">IFERROR(I50/L50,0)</f>
        <v>0</v>
      </c>
      <c r="N50" s="22" t="n">
        <f aca="false">IFERROR(L50/I50,0)</f>
        <v>0</v>
      </c>
      <c r="O50" s="4"/>
    </row>
    <row r="51" customFormat="false" ht="15" hidden="false" customHeight="false" outlineLevel="0" collapsed="false">
      <c r="A51" s="4" t="s">
        <v>240</v>
      </c>
      <c r="B51" s="4" t="s">
        <v>243</v>
      </c>
      <c r="C51" s="4" t="s">
        <v>281</v>
      </c>
      <c r="D51" s="4" t="s">
        <v>95</v>
      </c>
      <c r="E51" s="9" t="n">
        <v>0.13</v>
      </c>
      <c r="F51" s="20" t="n">
        <v>0</v>
      </c>
      <c r="G51" s="20" t="n">
        <v>0</v>
      </c>
      <c r="H51" s="21" t="n">
        <f aca="false">IFERROR(G51/F51,0)</f>
        <v>0</v>
      </c>
      <c r="I51" s="9" t="n">
        <v>0</v>
      </c>
      <c r="J51" s="9" t="n">
        <f aca="false">IFERROR(I51/G51,0)</f>
        <v>0</v>
      </c>
      <c r="K51" s="20" t="n">
        <v>0</v>
      </c>
      <c r="L51" s="9" t="n">
        <v>0</v>
      </c>
      <c r="M51" s="21" t="n">
        <f aca="false">IFERROR(I51/L51,0)</f>
        <v>0</v>
      </c>
      <c r="N51" s="22" t="n">
        <f aca="false">IFERROR(L51/I51,0)</f>
        <v>0</v>
      </c>
      <c r="O51" s="4"/>
    </row>
    <row r="52" customFormat="false" ht="15" hidden="false" customHeight="false" outlineLevel="0" collapsed="false">
      <c r="A52" s="4" t="s">
        <v>240</v>
      </c>
      <c r="B52" s="4" t="s">
        <v>243</v>
      </c>
      <c r="C52" s="4" t="s">
        <v>281</v>
      </c>
      <c r="D52" s="4" t="s">
        <v>259</v>
      </c>
      <c r="E52" s="9" t="n">
        <v>0.13</v>
      </c>
      <c r="F52" s="20" t="n">
        <v>0</v>
      </c>
      <c r="G52" s="20" t="n">
        <v>0</v>
      </c>
      <c r="H52" s="21" t="n">
        <f aca="false">IFERROR(G52/F52,0)</f>
        <v>0</v>
      </c>
      <c r="I52" s="9" t="n">
        <v>0</v>
      </c>
      <c r="J52" s="9" t="n">
        <f aca="false">IFERROR(I52/G52,0)</f>
        <v>0</v>
      </c>
      <c r="K52" s="20" t="n">
        <v>0</v>
      </c>
      <c r="L52" s="9" t="n">
        <v>0</v>
      </c>
      <c r="M52" s="21" t="n">
        <f aca="false">IFERROR(I52/L52,0)</f>
        <v>0</v>
      </c>
      <c r="N52" s="22" t="n">
        <f aca="false">IFERROR(L52/I52,0)</f>
        <v>0</v>
      </c>
      <c r="O52" s="4"/>
    </row>
    <row r="53" customFormat="false" ht="15" hidden="false" customHeight="false" outlineLevel="0" collapsed="false">
      <c r="A53" s="4" t="s">
        <v>240</v>
      </c>
      <c r="B53" s="4" t="s">
        <v>243</v>
      </c>
      <c r="C53" s="4" t="s">
        <v>282</v>
      </c>
      <c r="D53" s="4" t="s">
        <v>91</v>
      </c>
      <c r="E53" s="9" t="n">
        <v>0.13</v>
      </c>
      <c r="F53" s="20" t="n">
        <v>0</v>
      </c>
      <c r="G53" s="20" t="n">
        <v>0</v>
      </c>
      <c r="H53" s="21" t="n">
        <f aca="false">IFERROR(G53/F53,0)</f>
        <v>0</v>
      </c>
      <c r="I53" s="9" t="n">
        <v>0</v>
      </c>
      <c r="J53" s="9" t="n">
        <f aca="false">IFERROR(I53/G53,0)</f>
        <v>0</v>
      </c>
      <c r="K53" s="20" t="n">
        <v>0</v>
      </c>
      <c r="L53" s="9" t="n">
        <v>0</v>
      </c>
      <c r="M53" s="21" t="n">
        <f aca="false">IFERROR(I53/L53,0)</f>
        <v>0</v>
      </c>
      <c r="N53" s="22" t="n">
        <f aca="false">IFERROR(L53/I53,0)</f>
        <v>0</v>
      </c>
      <c r="O53" s="4"/>
    </row>
    <row r="54" customFormat="false" ht="15" hidden="false" customHeight="false" outlineLevel="0" collapsed="false">
      <c r="A54" s="4" t="s">
        <v>240</v>
      </c>
      <c r="B54" s="4" t="s">
        <v>243</v>
      </c>
      <c r="C54" s="4" t="s">
        <v>282</v>
      </c>
      <c r="D54" s="4" t="s">
        <v>95</v>
      </c>
      <c r="E54" s="9" t="n">
        <v>0.13</v>
      </c>
      <c r="F54" s="20" t="n">
        <v>0</v>
      </c>
      <c r="G54" s="20" t="n">
        <v>0</v>
      </c>
      <c r="H54" s="21" t="n">
        <f aca="false">IFERROR(G54/F54,0)</f>
        <v>0</v>
      </c>
      <c r="I54" s="9" t="n">
        <v>0</v>
      </c>
      <c r="J54" s="9" t="n">
        <f aca="false">IFERROR(I54/G54,0)</f>
        <v>0</v>
      </c>
      <c r="K54" s="20" t="n">
        <v>0</v>
      </c>
      <c r="L54" s="9" t="n">
        <v>0</v>
      </c>
      <c r="M54" s="21" t="n">
        <f aca="false">IFERROR(I54/L54,0)</f>
        <v>0</v>
      </c>
      <c r="N54" s="22" t="n">
        <f aca="false">IFERROR(L54/I54,0)</f>
        <v>0</v>
      </c>
      <c r="O54" s="4"/>
    </row>
    <row r="55" customFormat="false" ht="15" hidden="false" customHeight="false" outlineLevel="0" collapsed="false">
      <c r="A55" s="4" t="s">
        <v>240</v>
      </c>
      <c r="B55" s="4" t="s">
        <v>243</v>
      </c>
      <c r="C55" s="4" t="s">
        <v>282</v>
      </c>
      <c r="D55" s="4" t="s">
        <v>259</v>
      </c>
      <c r="E55" s="9" t="n">
        <v>0.13</v>
      </c>
      <c r="F55" s="20" t="n">
        <v>0</v>
      </c>
      <c r="G55" s="20" t="n">
        <v>0</v>
      </c>
      <c r="H55" s="21" t="n">
        <f aca="false">IFERROR(G55/F55,0)</f>
        <v>0</v>
      </c>
      <c r="I55" s="9" t="n">
        <v>0</v>
      </c>
      <c r="J55" s="9" t="n">
        <f aca="false">IFERROR(I55/G55,0)</f>
        <v>0</v>
      </c>
      <c r="K55" s="20" t="n">
        <v>0</v>
      </c>
      <c r="L55" s="9" t="n">
        <v>0</v>
      </c>
      <c r="M55" s="21" t="n">
        <f aca="false">IFERROR(I55/L55,0)</f>
        <v>0</v>
      </c>
      <c r="N55" s="22" t="n">
        <f aca="false">IFERROR(L55/I55,0)</f>
        <v>0</v>
      </c>
      <c r="O55" s="4"/>
    </row>
    <row r="56" customFormat="false" ht="15" hidden="false" customHeight="false" outlineLevel="0" collapsed="false">
      <c r="A56" s="4" t="s">
        <v>240</v>
      </c>
      <c r="B56" s="4" t="s">
        <v>243</v>
      </c>
      <c r="C56" s="4" t="s">
        <v>283</v>
      </c>
      <c r="D56" s="4" t="s">
        <v>91</v>
      </c>
      <c r="E56" s="9" t="n">
        <v>0.2</v>
      </c>
      <c r="F56" s="20" t="n">
        <v>0</v>
      </c>
      <c r="G56" s="20" t="n">
        <v>0</v>
      </c>
      <c r="H56" s="21" t="n">
        <f aca="false">IFERROR(G56/F56,0)</f>
        <v>0</v>
      </c>
      <c r="I56" s="9" t="n">
        <v>0</v>
      </c>
      <c r="J56" s="9" t="n">
        <f aca="false">IFERROR(I56/G56,0)</f>
        <v>0</v>
      </c>
      <c r="K56" s="20" t="n">
        <v>0</v>
      </c>
      <c r="L56" s="9" t="n">
        <v>0</v>
      </c>
      <c r="M56" s="21" t="n">
        <f aca="false">IFERROR(I56/L56,0)</f>
        <v>0</v>
      </c>
      <c r="N56" s="22" t="n">
        <f aca="false">IFERROR(L56/I56,0)</f>
        <v>0</v>
      </c>
      <c r="O56" s="4"/>
    </row>
    <row r="57" customFormat="false" ht="15" hidden="false" customHeight="false" outlineLevel="0" collapsed="false">
      <c r="A57" s="4" t="s">
        <v>240</v>
      </c>
      <c r="B57" s="4" t="s">
        <v>241</v>
      </c>
      <c r="C57" s="4" t="s">
        <v>250</v>
      </c>
      <c r="D57" s="4" t="s">
        <v>91</v>
      </c>
      <c r="E57" s="9" t="n">
        <v>0.14</v>
      </c>
      <c r="F57" s="20" t="n">
        <v>0</v>
      </c>
      <c r="G57" s="20" t="n">
        <v>0</v>
      </c>
      <c r="H57" s="21" t="n">
        <f aca="false">IFERROR(G57/F57,0)</f>
        <v>0</v>
      </c>
      <c r="I57" s="9" t="n">
        <v>0</v>
      </c>
      <c r="J57" s="9" t="n">
        <f aca="false">IFERROR(I57/G57,0)</f>
        <v>0</v>
      </c>
      <c r="K57" s="20" t="n">
        <v>0</v>
      </c>
      <c r="L57" s="9" t="n">
        <v>0</v>
      </c>
      <c r="M57" s="21" t="n">
        <f aca="false">IFERROR(I57/L57,0)</f>
        <v>0</v>
      </c>
      <c r="N57" s="22" t="n">
        <f aca="false">IFERROR(L57/I57,0)</f>
        <v>0</v>
      </c>
      <c r="O57" s="4"/>
    </row>
    <row r="58" customFormat="false" ht="15" hidden="false" customHeight="false" outlineLevel="0" collapsed="false">
      <c r="A58" s="4" t="s">
        <v>240</v>
      </c>
      <c r="B58" s="4" t="s">
        <v>241</v>
      </c>
      <c r="C58" s="4" t="s">
        <v>284</v>
      </c>
      <c r="D58" s="4" t="s">
        <v>91</v>
      </c>
      <c r="E58" s="9" t="n">
        <v>0.14</v>
      </c>
      <c r="F58" s="20" t="n">
        <v>0</v>
      </c>
      <c r="G58" s="20" t="n">
        <v>0</v>
      </c>
      <c r="H58" s="21" t="n">
        <f aca="false">IFERROR(G58/F58,0)</f>
        <v>0</v>
      </c>
      <c r="I58" s="9" t="n">
        <v>0</v>
      </c>
      <c r="J58" s="9" t="n">
        <f aca="false">IFERROR(I58/G58,0)</f>
        <v>0</v>
      </c>
      <c r="K58" s="20" t="n">
        <v>0</v>
      </c>
      <c r="L58" s="9" t="n">
        <v>0</v>
      </c>
      <c r="M58" s="21" t="n">
        <f aca="false">IFERROR(I58/L58,0)</f>
        <v>0</v>
      </c>
      <c r="N58" s="22" t="n">
        <f aca="false">IFERROR(L58/I58,0)</f>
        <v>0</v>
      </c>
      <c r="O58" s="4"/>
    </row>
    <row r="59" customFormat="false" ht="15" hidden="false" customHeight="false" outlineLevel="0" collapsed="false">
      <c r="A59" s="4" t="s">
        <v>240</v>
      </c>
      <c r="B59" s="4" t="s">
        <v>241</v>
      </c>
      <c r="C59" s="4" t="s">
        <v>253</v>
      </c>
      <c r="D59" s="4" t="s">
        <v>91</v>
      </c>
      <c r="E59" s="9" t="n">
        <v>0.08</v>
      </c>
      <c r="F59" s="20" t="n">
        <v>0</v>
      </c>
      <c r="G59" s="20" t="n">
        <v>0</v>
      </c>
      <c r="H59" s="21" t="n">
        <f aca="false">IFERROR(G59/F59,0)</f>
        <v>0</v>
      </c>
      <c r="I59" s="9" t="n">
        <v>0</v>
      </c>
      <c r="J59" s="9" t="n">
        <f aca="false">IFERROR(I59/G59,0)</f>
        <v>0</v>
      </c>
      <c r="K59" s="20" t="n">
        <v>0</v>
      </c>
      <c r="L59" s="9" t="n">
        <v>0</v>
      </c>
      <c r="M59" s="21" t="n">
        <f aca="false">IFERROR(I59/L59,0)</f>
        <v>0</v>
      </c>
      <c r="N59" s="22" t="n">
        <f aca="false">IFERROR(L59/I59,0)</f>
        <v>0</v>
      </c>
      <c r="O59" s="4"/>
    </row>
    <row r="60" customFormat="false" ht="15" hidden="false" customHeight="false" outlineLevel="0" collapsed="false">
      <c r="A60" s="4" t="s">
        <v>240</v>
      </c>
      <c r="B60" s="4" t="s">
        <v>241</v>
      </c>
      <c r="C60" s="4" t="s">
        <v>254</v>
      </c>
      <c r="D60" s="4" t="s">
        <v>91</v>
      </c>
      <c r="E60" s="9" t="n">
        <v>0.15</v>
      </c>
      <c r="F60" s="20" t="n">
        <v>0</v>
      </c>
      <c r="G60" s="20" t="n">
        <v>0</v>
      </c>
      <c r="H60" s="21" t="n">
        <f aca="false">IFERROR(G60/F60,0)</f>
        <v>0</v>
      </c>
      <c r="I60" s="9" t="n">
        <v>0</v>
      </c>
      <c r="J60" s="9" t="n">
        <f aca="false">IFERROR(I60/G60,0)</f>
        <v>0</v>
      </c>
      <c r="K60" s="20" t="n">
        <v>0</v>
      </c>
      <c r="L60" s="9" t="n">
        <v>0</v>
      </c>
      <c r="M60" s="21" t="n">
        <f aca="false">IFERROR(I60/L60,0)</f>
        <v>0</v>
      </c>
      <c r="N60" s="22" t="n">
        <f aca="false">IFERROR(L60/I60,0)</f>
        <v>0</v>
      </c>
      <c r="O60" s="4"/>
    </row>
    <row r="61" customFormat="false" ht="15" hidden="false" customHeight="false" outlineLevel="0" collapsed="false">
      <c r="A61" s="4" t="s">
        <v>240</v>
      </c>
      <c r="B61" s="4" t="s">
        <v>241</v>
      </c>
      <c r="C61" s="4" t="s">
        <v>255</v>
      </c>
      <c r="D61" s="4" t="s">
        <v>91</v>
      </c>
      <c r="E61" s="9" t="n">
        <v>0.15</v>
      </c>
      <c r="F61" s="20" t="n">
        <v>0</v>
      </c>
      <c r="G61" s="20" t="n">
        <v>0</v>
      </c>
      <c r="H61" s="21" t="n">
        <f aca="false">IFERROR(G61/F61,0)</f>
        <v>0</v>
      </c>
      <c r="I61" s="9" t="n">
        <v>0</v>
      </c>
      <c r="J61" s="9" t="n">
        <f aca="false">IFERROR(I61/G61,0)</f>
        <v>0</v>
      </c>
      <c r="K61" s="20" t="n">
        <v>0</v>
      </c>
      <c r="L61" s="9" t="n">
        <v>0</v>
      </c>
      <c r="M61" s="21" t="n">
        <f aca="false">IFERROR(I61/L61,0)</f>
        <v>0</v>
      </c>
      <c r="N61" s="22" t="n">
        <f aca="false">IFERROR(L61/I61,0)</f>
        <v>0</v>
      </c>
      <c r="O61" s="4"/>
    </row>
    <row r="62" customFormat="false" ht="15" hidden="false" customHeight="false" outlineLevel="0" collapsed="false">
      <c r="A62" s="4" t="s">
        <v>240</v>
      </c>
      <c r="B62" s="4" t="s">
        <v>241</v>
      </c>
      <c r="C62" s="4" t="s">
        <v>257</v>
      </c>
      <c r="D62" s="4" t="s">
        <v>91</v>
      </c>
      <c r="E62" s="9" t="n">
        <v>0.14</v>
      </c>
      <c r="F62" s="20" t="n">
        <v>0</v>
      </c>
      <c r="G62" s="20" t="n">
        <v>0</v>
      </c>
      <c r="H62" s="21" t="n">
        <f aca="false">IFERROR(G62/F62,0)</f>
        <v>0</v>
      </c>
      <c r="I62" s="9" t="n">
        <v>0</v>
      </c>
      <c r="J62" s="9" t="n">
        <f aca="false">IFERROR(I62/G62,0)</f>
        <v>0</v>
      </c>
      <c r="K62" s="20" t="n">
        <v>0</v>
      </c>
      <c r="L62" s="9" t="n">
        <v>0</v>
      </c>
      <c r="M62" s="21" t="n">
        <f aca="false">IFERROR(I62/L62,0)</f>
        <v>0</v>
      </c>
      <c r="N62" s="22" t="n">
        <f aca="false">IFERROR(L62/I62,0)</f>
        <v>0</v>
      </c>
      <c r="O62" s="4"/>
    </row>
    <row r="63" customFormat="false" ht="15" hidden="false" customHeight="false" outlineLevel="0" collapsed="false">
      <c r="A63" s="4" t="s">
        <v>240</v>
      </c>
      <c r="B63" s="4" t="s">
        <v>241</v>
      </c>
      <c r="C63" s="4" t="s">
        <v>285</v>
      </c>
      <c r="D63" s="4" t="s">
        <v>91</v>
      </c>
      <c r="E63" s="9" t="n">
        <v>0.21</v>
      </c>
      <c r="F63" s="20" t="n">
        <v>0</v>
      </c>
      <c r="G63" s="20" t="n">
        <v>0</v>
      </c>
      <c r="H63" s="21" t="n">
        <f aca="false">IFERROR(G63/F63,0)</f>
        <v>0</v>
      </c>
      <c r="I63" s="9" t="n">
        <v>0</v>
      </c>
      <c r="J63" s="9" t="n">
        <f aca="false">IFERROR(I63/G63,0)</f>
        <v>0</v>
      </c>
      <c r="K63" s="20" t="n">
        <v>0</v>
      </c>
      <c r="L63" s="9" t="n">
        <v>0</v>
      </c>
      <c r="M63" s="21" t="n">
        <f aca="false">IFERROR(I63/L63,0)</f>
        <v>0</v>
      </c>
      <c r="N63" s="22" t="n">
        <f aca="false">IFERROR(L63/I63,0)</f>
        <v>0</v>
      </c>
      <c r="O63" s="4"/>
    </row>
    <row r="64" customFormat="false" ht="15" hidden="false" customHeight="false" outlineLevel="0" collapsed="false">
      <c r="A64" s="4" t="s">
        <v>240</v>
      </c>
      <c r="B64" s="4" t="s">
        <v>241</v>
      </c>
      <c r="C64" s="4" t="s">
        <v>286</v>
      </c>
      <c r="D64" s="4" t="s">
        <v>91</v>
      </c>
      <c r="E64" s="9" t="n">
        <v>0.08</v>
      </c>
      <c r="F64" s="20" t="n">
        <v>0</v>
      </c>
      <c r="G64" s="20" t="n">
        <v>0</v>
      </c>
      <c r="H64" s="21" t="n">
        <f aca="false">IFERROR(G64/F64,0)</f>
        <v>0</v>
      </c>
      <c r="I64" s="9" t="n">
        <v>0</v>
      </c>
      <c r="J64" s="9" t="n">
        <f aca="false">IFERROR(I64/G64,0)</f>
        <v>0</v>
      </c>
      <c r="K64" s="20" t="n">
        <v>0</v>
      </c>
      <c r="L64" s="9" t="n">
        <v>0</v>
      </c>
      <c r="M64" s="21" t="n">
        <f aca="false">IFERROR(I64/L64,0)</f>
        <v>0</v>
      </c>
      <c r="N64" s="22" t="n">
        <f aca="false">IFERROR(L64/I64,0)</f>
        <v>0</v>
      </c>
      <c r="O64" s="4"/>
    </row>
    <row r="65" customFormat="false" ht="15" hidden="false" customHeight="false" outlineLevel="0" collapsed="false">
      <c r="A65" s="4" t="s">
        <v>240</v>
      </c>
      <c r="B65" s="4" t="s">
        <v>241</v>
      </c>
      <c r="C65" s="4" t="s">
        <v>287</v>
      </c>
      <c r="D65" s="4" t="s">
        <v>91</v>
      </c>
      <c r="E65" s="9" t="n">
        <v>0.21</v>
      </c>
      <c r="F65" s="20" t="n">
        <v>0</v>
      </c>
      <c r="G65" s="20" t="n">
        <v>0</v>
      </c>
      <c r="H65" s="21" t="n">
        <f aca="false">IFERROR(G65/F65,0)</f>
        <v>0</v>
      </c>
      <c r="I65" s="9" t="n">
        <v>0</v>
      </c>
      <c r="J65" s="9" t="n">
        <f aca="false">IFERROR(I65/G65,0)</f>
        <v>0</v>
      </c>
      <c r="K65" s="20" t="n">
        <v>0</v>
      </c>
      <c r="L65" s="9" t="n">
        <v>0</v>
      </c>
      <c r="M65" s="21" t="n">
        <f aca="false">IFERROR(I65/L65,0)</f>
        <v>0</v>
      </c>
      <c r="N65" s="22" t="n">
        <f aca="false">IFERROR(L65/I65,0)</f>
        <v>0</v>
      </c>
      <c r="O65" s="4"/>
    </row>
    <row r="66" customFormat="false" ht="15" hidden="false" customHeight="false" outlineLevel="0" collapsed="false">
      <c r="A66" s="4" t="s">
        <v>240</v>
      </c>
      <c r="B66" s="4" t="s">
        <v>241</v>
      </c>
      <c r="C66" s="4" t="s">
        <v>288</v>
      </c>
      <c r="D66" s="4" t="s">
        <v>91</v>
      </c>
      <c r="E66" s="9" t="n">
        <v>0.21</v>
      </c>
      <c r="F66" s="20" t="n">
        <v>0</v>
      </c>
      <c r="G66" s="20" t="n">
        <v>0</v>
      </c>
      <c r="H66" s="21" t="n">
        <f aca="false">IFERROR(G66/F66,0)</f>
        <v>0</v>
      </c>
      <c r="I66" s="9" t="n">
        <v>0</v>
      </c>
      <c r="J66" s="9" t="n">
        <f aca="false">IFERROR(I66/G66,0)</f>
        <v>0</v>
      </c>
      <c r="K66" s="20" t="n">
        <v>0</v>
      </c>
      <c r="L66" s="9" t="n">
        <v>0</v>
      </c>
      <c r="M66" s="21" t="n">
        <f aca="false">IFERROR(I66/L66,0)</f>
        <v>0</v>
      </c>
      <c r="N66" s="22" t="n">
        <f aca="false">IFERROR(L66/I66,0)</f>
        <v>0</v>
      </c>
      <c r="O66" s="4"/>
    </row>
    <row r="67" customFormat="false" ht="15" hidden="false" customHeight="false" outlineLevel="0" collapsed="false">
      <c r="A67" s="4" t="s">
        <v>240</v>
      </c>
      <c r="B67" s="4" t="s">
        <v>241</v>
      </c>
      <c r="C67" s="4" t="s">
        <v>267</v>
      </c>
      <c r="D67" s="4" t="s">
        <v>91</v>
      </c>
      <c r="E67" s="9" t="n">
        <v>0.06</v>
      </c>
      <c r="F67" s="20" t="n">
        <v>0</v>
      </c>
      <c r="G67" s="20" t="n">
        <v>0</v>
      </c>
      <c r="H67" s="21" t="n">
        <f aca="false">IFERROR(G67/F67,0)</f>
        <v>0</v>
      </c>
      <c r="I67" s="9" t="n">
        <v>0</v>
      </c>
      <c r="J67" s="9" t="n">
        <f aca="false">IFERROR(I67/G67,0)</f>
        <v>0</v>
      </c>
      <c r="K67" s="20" t="n">
        <v>0</v>
      </c>
      <c r="L67" s="9" t="n">
        <v>0</v>
      </c>
      <c r="M67" s="21" t="n">
        <f aca="false">IFERROR(I67/L67,0)</f>
        <v>0</v>
      </c>
      <c r="N67" s="22" t="n">
        <f aca="false">IFERROR(L67/I67,0)</f>
        <v>0</v>
      </c>
      <c r="O67" s="4"/>
    </row>
    <row r="68" customFormat="false" ht="15" hidden="false" customHeight="false" outlineLevel="0" collapsed="false">
      <c r="A68" s="4" t="s">
        <v>240</v>
      </c>
      <c r="B68" s="4" t="s">
        <v>241</v>
      </c>
      <c r="C68" s="4" t="s">
        <v>289</v>
      </c>
      <c r="D68" s="4" t="s">
        <v>91</v>
      </c>
      <c r="E68" s="9" t="n">
        <v>0.21</v>
      </c>
      <c r="F68" s="20" t="n">
        <v>0</v>
      </c>
      <c r="G68" s="20" t="n">
        <v>0</v>
      </c>
      <c r="H68" s="21" t="n">
        <f aca="false">IFERROR(G68/F68,0)</f>
        <v>0</v>
      </c>
      <c r="I68" s="9" t="n">
        <v>0</v>
      </c>
      <c r="J68" s="9" t="n">
        <f aca="false">IFERROR(I68/G68,0)</f>
        <v>0</v>
      </c>
      <c r="K68" s="20" t="n">
        <v>0</v>
      </c>
      <c r="L68" s="9" t="n">
        <v>0</v>
      </c>
      <c r="M68" s="21" t="n">
        <f aca="false">IFERROR(I68/L68,0)</f>
        <v>0</v>
      </c>
      <c r="N68" s="22" t="n">
        <f aca="false">IFERROR(L68/I68,0)</f>
        <v>0</v>
      </c>
      <c r="O68" s="4"/>
    </row>
    <row r="69" customFormat="false" ht="15" hidden="false" customHeight="false" outlineLevel="0" collapsed="false">
      <c r="A69" s="4" t="s">
        <v>240</v>
      </c>
      <c r="B69" s="4" t="s">
        <v>241</v>
      </c>
      <c r="C69" s="4" t="s">
        <v>290</v>
      </c>
      <c r="D69" s="4" t="s">
        <v>91</v>
      </c>
      <c r="E69" s="9" t="n">
        <v>0.31</v>
      </c>
      <c r="F69" s="20" t="n">
        <v>0</v>
      </c>
      <c r="G69" s="20" t="n">
        <v>0</v>
      </c>
      <c r="H69" s="21" t="n">
        <f aca="false">IFERROR(G69/F69,0)</f>
        <v>0</v>
      </c>
      <c r="I69" s="9" t="n">
        <v>0</v>
      </c>
      <c r="J69" s="9" t="n">
        <f aca="false">IFERROR(I69/G69,0)</f>
        <v>0</v>
      </c>
      <c r="K69" s="20" t="n">
        <v>0</v>
      </c>
      <c r="L69" s="9" t="n">
        <v>0</v>
      </c>
      <c r="M69" s="21" t="n">
        <f aca="false">IFERROR(I69/L69,0)</f>
        <v>0</v>
      </c>
      <c r="N69" s="22" t="n">
        <f aca="false">IFERROR(L69/I69,0)</f>
        <v>0</v>
      </c>
      <c r="O69" s="4"/>
    </row>
    <row r="70" customFormat="false" ht="15" hidden="false" customHeight="false" outlineLevel="0" collapsed="false">
      <c r="A70" s="4" t="s">
        <v>240</v>
      </c>
      <c r="B70" s="4" t="s">
        <v>241</v>
      </c>
      <c r="C70" s="4" t="s">
        <v>94</v>
      </c>
      <c r="D70" s="4" t="s">
        <v>91</v>
      </c>
      <c r="E70" s="9" t="n">
        <v>0.1</v>
      </c>
      <c r="F70" s="20" t="n">
        <v>0</v>
      </c>
      <c r="G70" s="20" t="n">
        <v>0</v>
      </c>
      <c r="H70" s="21" t="n">
        <f aca="false">IFERROR(G70/F70,0)</f>
        <v>0</v>
      </c>
      <c r="I70" s="9" t="n">
        <v>0</v>
      </c>
      <c r="J70" s="9" t="n">
        <f aca="false">IFERROR(I70/G70,0)</f>
        <v>0</v>
      </c>
      <c r="K70" s="20" t="n">
        <v>0</v>
      </c>
      <c r="L70" s="9" t="n">
        <v>0</v>
      </c>
      <c r="M70" s="21" t="n">
        <f aca="false">IFERROR(I70/L70,0)</f>
        <v>0</v>
      </c>
      <c r="N70" s="22" t="n">
        <f aca="false">IFERROR(L70/I70,0)</f>
        <v>0</v>
      </c>
      <c r="O70" s="4"/>
    </row>
    <row r="71" customFormat="false" ht="15" hidden="false" customHeight="false" outlineLevel="0" collapsed="false">
      <c r="A71" s="4" t="s">
        <v>240</v>
      </c>
      <c r="B71" s="4" t="s">
        <v>241</v>
      </c>
      <c r="C71" s="4" t="s">
        <v>291</v>
      </c>
      <c r="D71" s="4" t="s">
        <v>91</v>
      </c>
      <c r="E71" s="9" t="n">
        <v>0.13</v>
      </c>
      <c r="F71" s="20" t="n">
        <v>0</v>
      </c>
      <c r="G71" s="20" t="n">
        <v>0</v>
      </c>
      <c r="H71" s="21" t="n">
        <f aca="false">IFERROR(G71/F71,0)</f>
        <v>0</v>
      </c>
      <c r="I71" s="9" t="n">
        <v>0</v>
      </c>
      <c r="J71" s="9" t="n">
        <f aca="false">IFERROR(I71/G71,0)</f>
        <v>0</v>
      </c>
      <c r="K71" s="20" t="n">
        <v>0</v>
      </c>
      <c r="L71" s="9" t="n">
        <v>0</v>
      </c>
      <c r="M71" s="21" t="n">
        <f aca="false">IFERROR(I71/L71,0)</f>
        <v>0</v>
      </c>
      <c r="N71" s="22" t="n">
        <f aca="false">IFERROR(L71/I71,0)</f>
        <v>0</v>
      </c>
      <c r="O71" s="4"/>
    </row>
    <row r="72" customFormat="false" ht="15" hidden="false" customHeight="false" outlineLevel="0" collapsed="false">
      <c r="A72" s="4" t="s">
        <v>240</v>
      </c>
      <c r="B72" s="4" t="s">
        <v>241</v>
      </c>
      <c r="C72" s="4" t="s">
        <v>292</v>
      </c>
      <c r="D72" s="4" t="s">
        <v>91</v>
      </c>
      <c r="E72" s="9" t="n">
        <v>0.08</v>
      </c>
      <c r="F72" s="20" t="n">
        <v>0</v>
      </c>
      <c r="G72" s="20" t="n">
        <v>0</v>
      </c>
      <c r="H72" s="21" t="n">
        <f aca="false">IFERROR(G72/F72,0)</f>
        <v>0</v>
      </c>
      <c r="I72" s="9" t="n">
        <v>0</v>
      </c>
      <c r="J72" s="9" t="n">
        <f aca="false">IFERROR(I72/G72,0)</f>
        <v>0</v>
      </c>
      <c r="K72" s="20" t="n">
        <v>0</v>
      </c>
      <c r="L72" s="9" t="n">
        <v>0</v>
      </c>
      <c r="M72" s="21" t="n">
        <f aca="false">IFERROR(I72/L72,0)</f>
        <v>0</v>
      </c>
      <c r="N72" s="22" t="n">
        <f aca="false">IFERROR(L72/I72,0)</f>
        <v>0</v>
      </c>
      <c r="O72" s="4"/>
    </row>
    <row r="73" customFormat="false" ht="15" hidden="false" customHeight="false" outlineLevel="0" collapsed="false">
      <c r="A73" s="4" t="s">
        <v>240</v>
      </c>
      <c r="B73" s="4" t="s">
        <v>241</v>
      </c>
      <c r="C73" s="4" t="s">
        <v>293</v>
      </c>
      <c r="D73" s="4" t="s">
        <v>91</v>
      </c>
      <c r="E73" s="9" t="n">
        <v>0.21</v>
      </c>
      <c r="F73" s="20" t="n">
        <v>0</v>
      </c>
      <c r="G73" s="20" t="n">
        <v>0</v>
      </c>
      <c r="H73" s="21" t="n">
        <f aca="false">IFERROR(G73/F73,0)</f>
        <v>0</v>
      </c>
      <c r="I73" s="9" t="n">
        <v>0</v>
      </c>
      <c r="J73" s="9" t="n">
        <f aca="false">IFERROR(I73/G73,0)</f>
        <v>0</v>
      </c>
      <c r="K73" s="20" t="n">
        <v>0</v>
      </c>
      <c r="L73" s="9" t="n">
        <v>0</v>
      </c>
      <c r="M73" s="21" t="n">
        <f aca="false">IFERROR(I73/L73,0)</f>
        <v>0</v>
      </c>
      <c r="N73" s="22" t="n">
        <f aca="false">IFERROR(L73/I73,0)</f>
        <v>0</v>
      </c>
      <c r="O73" s="4"/>
    </row>
    <row r="74" customFormat="false" ht="15" hidden="false" customHeight="false" outlineLevel="0" collapsed="false">
      <c r="A74" s="4" t="s">
        <v>240</v>
      </c>
      <c r="B74" s="4" t="s">
        <v>241</v>
      </c>
      <c r="C74" s="4" t="s">
        <v>294</v>
      </c>
      <c r="D74" s="4" t="s">
        <v>91</v>
      </c>
      <c r="E74" s="9" t="n">
        <v>0.08</v>
      </c>
      <c r="F74" s="20" t="n">
        <v>0</v>
      </c>
      <c r="G74" s="20" t="n">
        <v>0</v>
      </c>
      <c r="H74" s="21" t="n">
        <f aca="false">IFERROR(G74/F74,0)</f>
        <v>0</v>
      </c>
      <c r="I74" s="9" t="n">
        <v>0</v>
      </c>
      <c r="J74" s="9" t="n">
        <f aca="false">IFERROR(I74/G74,0)</f>
        <v>0</v>
      </c>
      <c r="K74" s="20" t="n">
        <v>0</v>
      </c>
      <c r="L74" s="9" t="n">
        <v>0</v>
      </c>
      <c r="M74" s="21" t="n">
        <f aca="false">IFERROR(I74/L74,0)</f>
        <v>0</v>
      </c>
      <c r="N74" s="22" t="n">
        <f aca="false">IFERROR(L74/I74,0)</f>
        <v>0</v>
      </c>
      <c r="O74" s="4"/>
    </row>
    <row r="75" customFormat="false" ht="15" hidden="false" customHeight="false" outlineLevel="0" collapsed="false">
      <c r="A75" s="4" t="s">
        <v>240</v>
      </c>
      <c r="B75" s="4" t="s">
        <v>241</v>
      </c>
      <c r="C75" s="4" t="s">
        <v>295</v>
      </c>
      <c r="D75" s="4" t="s">
        <v>91</v>
      </c>
      <c r="E75" s="9" t="n">
        <v>0.08</v>
      </c>
      <c r="F75" s="20" t="n">
        <v>0</v>
      </c>
      <c r="G75" s="20" t="n">
        <v>0</v>
      </c>
      <c r="H75" s="21" t="n">
        <f aca="false">IFERROR(G75/F75,0)</f>
        <v>0</v>
      </c>
      <c r="I75" s="9" t="n">
        <v>0</v>
      </c>
      <c r="J75" s="9" t="n">
        <f aca="false">IFERROR(I75/G75,0)</f>
        <v>0</v>
      </c>
      <c r="K75" s="20" t="n">
        <v>0</v>
      </c>
      <c r="L75" s="9" t="n">
        <v>0</v>
      </c>
      <c r="M75" s="21" t="n">
        <f aca="false">IFERROR(I75/L75,0)</f>
        <v>0</v>
      </c>
      <c r="N75" s="22" t="n">
        <f aca="false">IFERROR(L75/I75,0)</f>
        <v>0</v>
      </c>
      <c r="O75" s="4"/>
    </row>
    <row r="76" customFormat="false" ht="15" hidden="false" customHeight="false" outlineLevel="0" collapsed="false">
      <c r="A76" s="4" t="s">
        <v>240</v>
      </c>
      <c r="B76" s="4" t="s">
        <v>241</v>
      </c>
      <c r="C76" s="4" t="s">
        <v>246</v>
      </c>
      <c r="D76" s="4" t="s">
        <v>91</v>
      </c>
      <c r="E76" s="9" t="n">
        <v>0.15</v>
      </c>
      <c r="F76" s="20" t="n">
        <v>0</v>
      </c>
      <c r="G76" s="20" t="n">
        <v>0</v>
      </c>
      <c r="H76" s="21" t="n">
        <f aca="false">IFERROR(G76/F76,0)</f>
        <v>0</v>
      </c>
      <c r="I76" s="9" t="n">
        <v>0</v>
      </c>
      <c r="J76" s="9" t="n">
        <f aca="false">IFERROR(I76/G76,0)</f>
        <v>0</v>
      </c>
      <c r="K76" s="20" t="n">
        <v>0</v>
      </c>
      <c r="L76" s="9" t="n">
        <v>0</v>
      </c>
      <c r="M76" s="21" t="n">
        <f aca="false">IFERROR(I76/L76,0)</f>
        <v>0</v>
      </c>
      <c r="N76" s="22" t="n">
        <f aca="false">IFERROR(L76/I76,0)</f>
        <v>0</v>
      </c>
      <c r="O76" s="4"/>
    </row>
    <row r="77" customFormat="false" ht="15" hidden="false" customHeight="false" outlineLevel="0" collapsed="false">
      <c r="A77" s="4" t="s">
        <v>240</v>
      </c>
      <c r="B77" s="4" t="s">
        <v>241</v>
      </c>
      <c r="C77" s="4" t="s">
        <v>296</v>
      </c>
      <c r="D77" s="4" t="s">
        <v>91</v>
      </c>
      <c r="E77" s="9" t="n">
        <v>0.21</v>
      </c>
      <c r="F77" s="20" t="n">
        <v>0</v>
      </c>
      <c r="G77" s="20" t="n">
        <v>0</v>
      </c>
      <c r="H77" s="21" t="n">
        <f aca="false">IFERROR(G77/F77,0)</f>
        <v>0</v>
      </c>
      <c r="I77" s="9" t="n">
        <v>0</v>
      </c>
      <c r="J77" s="9" t="n">
        <f aca="false">IFERROR(I77/G77,0)</f>
        <v>0</v>
      </c>
      <c r="K77" s="20" t="n">
        <v>0</v>
      </c>
      <c r="L77" s="9" t="n">
        <v>0</v>
      </c>
      <c r="M77" s="21" t="n">
        <f aca="false">IFERROR(I77/L77,0)</f>
        <v>0</v>
      </c>
      <c r="N77" s="22" t="n">
        <f aca="false">IFERROR(L77/I77,0)</f>
        <v>0</v>
      </c>
      <c r="O77" s="4"/>
    </row>
    <row r="78" customFormat="false" ht="15" hidden="false" customHeight="false" outlineLevel="0" collapsed="false">
      <c r="A78" s="4" t="s">
        <v>240</v>
      </c>
      <c r="B78" s="4" t="s">
        <v>241</v>
      </c>
      <c r="C78" s="4" t="s">
        <v>297</v>
      </c>
      <c r="D78" s="4" t="s">
        <v>91</v>
      </c>
      <c r="E78" s="9" t="n">
        <v>0.08</v>
      </c>
      <c r="F78" s="20" t="n">
        <v>0</v>
      </c>
      <c r="G78" s="20" t="n">
        <v>0</v>
      </c>
      <c r="H78" s="21" t="n">
        <f aca="false">IFERROR(G78/F78,0)</f>
        <v>0</v>
      </c>
      <c r="I78" s="9" t="n">
        <v>0</v>
      </c>
      <c r="J78" s="9" t="n">
        <f aca="false">IFERROR(I78/G78,0)</f>
        <v>0</v>
      </c>
      <c r="K78" s="20" t="n">
        <v>0</v>
      </c>
      <c r="L78" s="9" t="n">
        <v>0</v>
      </c>
      <c r="M78" s="21" t="n">
        <f aca="false">IFERROR(I78/L78,0)</f>
        <v>0</v>
      </c>
      <c r="N78" s="22" t="n">
        <f aca="false">IFERROR(L78/I78,0)</f>
        <v>0</v>
      </c>
      <c r="O78" s="4"/>
    </row>
    <row r="79" customFormat="false" ht="15" hidden="false" customHeight="false" outlineLevel="0" collapsed="false">
      <c r="A79" s="4" t="s">
        <v>240</v>
      </c>
      <c r="B79" s="4" t="s">
        <v>241</v>
      </c>
      <c r="C79" s="4" t="s">
        <v>248</v>
      </c>
      <c r="D79" s="4" t="s">
        <v>91</v>
      </c>
      <c r="E79" s="9" t="n">
        <v>0.1</v>
      </c>
      <c r="F79" s="20" t="n">
        <v>0</v>
      </c>
      <c r="G79" s="20" t="n">
        <v>0</v>
      </c>
      <c r="H79" s="21" t="n">
        <f aca="false">IFERROR(G79/F79,0)</f>
        <v>0</v>
      </c>
      <c r="I79" s="9" t="n">
        <v>0</v>
      </c>
      <c r="J79" s="9" t="n">
        <f aca="false">IFERROR(I79/G79,0)</f>
        <v>0</v>
      </c>
      <c r="K79" s="20" t="n">
        <v>0</v>
      </c>
      <c r="L79" s="9" t="n">
        <v>0</v>
      </c>
      <c r="M79" s="21" t="n">
        <f aca="false">IFERROR(I79/L79,0)</f>
        <v>0</v>
      </c>
      <c r="N79" s="22" t="n">
        <f aca="false">IFERROR(L79/I79,0)</f>
        <v>0</v>
      </c>
      <c r="O79" s="4"/>
    </row>
    <row r="80" customFormat="false" ht="15" hidden="false" customHeight="false" outlineLevel="0" collapsed="false">
      <c r="A80" s="4" t="s">
        <v>240</v>
      </c>
      <c r="B80" s="4" t="s">
        <v>241</v>
      </c>
      <c r="C80" s="4" t="s">
        <v>276</v>
      </c>
      <c r="D80" s="4" t="s">
        <v>91</v>
      </c>
      <c r="E80" s="9" t="n">
        <v>0.14</v>
      </c>
      <c r="F80" s="20" t="n">
        <v>0</v>
      </c>
      <c r="G80" s="20" t="n">
        <v>0</v>
      </c>
      <c r="H80" s="21" t="n">
        <f aca="false">IFERROR(G80/F80,0)</f>
        <v>0</v>
      </c>
      <c r="I80" s="9" t="n">
        <v>0</v>
      </c>
      <c r="J80" s="9" t="n">
        <f aca="false">IFERROR(I80/G80,0)</f>
        <v>0</v>
      </c>
      <c r="K80" s="20" t="n">
        <v>0</v>
      </c>
      <c r="L80" s="9" t="n">
        <v>0</v>
      </c>
      <c r="M80" s="21" t="n">
        <f aca="false">IFERROR(I80/L80,0)</f>
        <v>0</v>
      </c>
      <c r="N80" s="22" t="n">
        <f aca="false">IFERROR(L80/I80,0)</f>
        <v>0</v>
      </c>
      <c r="O80" s="4"/>
    </row>
    <row r="81" customFormat="false" ht="15" hidden="false" customHeight="false" outlineLevel="0" collapsed="false">
      <c r="A81" s="4" t="s">
        <v>240</v>
      </c>
      <c r="B81" s="4" t="s">
        <v>241</v>
      </c>
      <c r="C81" s="4" t="s">
        <v>298</v>
      </c>
      <c r="D81" s="4" t="s">
        <v>91</v>
      </c>
      <c r="E81" s="9" t="n">
        <v>0.21</v>
      </c>
      <c r="F81" s="20" t="n">
        <v>0</v>
      </c>
      <c r="G81" s="20" t="n">
        <v>0</v>
      </c>
      <c r="H81" s="21" t="n">
        <f aca="false">IFERROR(G81/F81,0)</f>
        <v>0</v>
      </c>
      <c r="I81" s="9" t="n">
        <v>0</v>
      </c>
      <c r="J81" s="9" t="n">
        <f aca="false">IFERROR(I81/G81,0)</f>
        <v>0</v>
      </c>
      <c r="K81" s="20" t="n">
        <v>0</v>
      </c>
      <c r="L81" s="9" t="n">
        <v>0</v>
      </c>
      <c r="M81" s="21" t="n">
        <f aca="false">IFERROR(I81/L81,0)</f>
        <v>0</v>
      </c>
      <c r="N81" s="22" t="n">
        <f aca="false">IFERROR(L81/I81,0)</f>
        <v>0</v>
      </c>
      <c r="O81" s="4"/>
    </row>
    <row r="82" customFormat="false" ht="15" hidden="false" customHeight="false" outlineLevel="0" collapsed="false">
      <c r="A82" s="4" t="s">
        <v>240</v>
      </c>
      <c r="B82" s="4" t="s">
        <v>241</v>
      </c>
      <c r="C82" s="4" t="s">
        <v>299</v>
      </c>
      <c r="D82" s="4" t="s">
        <v>91</v>
      </c>
      <c r="E82" s="9" t="n">
        <v>0.19</v>
      </c>
      <c r="F82" s="20" t="n">
        <v>0</v>
      </c>
      <c r="G82" s="20" t="n">
        <v>0</v>
      </c>
      <c r="H82" s="21" t="n">
        <f aca="false">IFERROR(G82/F82,0)</f>
        <v>0</v>
      </c>
      <c r="I82" s="9" t="n">
        <v>0</v>
      </c>
      <c r="J82" s="9" t="n">
        <f aca="false">IFERROR(I82/G82,0)</f>
        <v>0</v>
      </c>
      <c r="K82" s="20" t="n">
        <v>0</v>
      </c>
      <c r="L82" s="9" t="n">
        <v>0</v>
      </c>
      <c r="M82" s="21" t="n">
        <f aca="false">IFERROR(I82/L82,0)</f>
        <v>0</v>
      </c>
      <c r="N82" s="22" t="n">
        <f aca="false">IFERROR(L82/I82,0)</f>
        <v>0</v>
      </c>
      <c r="O82" s="4"/>
    </row>
    <row r="83" customFormat="false" ht="15" hidden="false" customHeight="false" outlineLevel="0" collapsed="false">
      <c r="A83" s="4" t="s">
        <v>240</v>
      </c>
      <c r="B83" s="4" t="s">
        <v>241</v>
      </c>
      <c r="C83" s="4" t="s">
        <v>300</v>
      </c>
      <c r="D83" s="4" t="s">
        <v>91</v>
      </c>
      <c r="E83" s="9" t="n">
        <v>0.21</v>
      </c>
      <c r="F83" s="20" t="n">
        <v>0</v>
      </c>
      <c r="G83" s="20" t="n">
        <v>0</v>
      </c>
      <c r="H83" s="21" t="n">
        <f aca="false">IFERROR(G83/F83,0)</f>
        <v>0</v>
      </c>
      <c r="I83" s="9" t="n">
        <v>0</v>
      </c>
      <c r="J83" s="9" t="n">
        <f aca="false">IFERROR(I83/G83,0)</f>
        <v>0</v>
      </c>
      <c r="K83" s="20" t="n">
        <v>0</v>
      </c>
      <c r="L83" s="9" t="n">
        <v>0</v>
      </c>
      <c r="M83" s="21" t="n">
        <f aca="false">IFERROR(I83/L83,0)</f>
        <v>0</v>
      </c>
      <c r="N83" s="22" t="n">
        <f aca="false">IFERROR(L83/I83,0)</f>
        <v>0</v>
      </c>
      <c r="O83" s="4"/>
    </row>
    <row r="84" customFormat="false" ht="15" hidden="false" customHeight="false" outlineLevel="0" collapsed="false">
      <c r="A84" s="4" t="s">
        <v>240</v>
      </c>
      <c r="B84" s="4" t="s">
        <v>241</v>
      </c>
      <c r="C84" s="4" t="s">
        <v>277</v>
      </c>
      <c r="D84" s="4" t="s">
        <v>91</v>
      </c>
      <c r="E84" s="9" t="n">
        <v>0.14</v>
      </c>
      <c r="F84" s="20" t="n">
        <v>0</v>
      </c>
      <c r="G84" s="20" t="n">
        <v>0</v>
      </c>
      <c r="H84" s="21" t="n">
        <f aca="false">IFERROR(G84/F84,0)</f>
        <v>0</v>
      </c>
      <c r="I84" s="9" t="n">
        <v>0</v>
      </c>
      <c r="J84" s="9" t="n">
        <f aca="false">IFERROR(I84/G84,0)</f>
        <v>0</v>
      </c>
      <c r="K84" s="20" t="n">
        <v>0</v>
      </c>
      <c r="L84" s="9" t="n">
        <v>0</v>
      </c>
      <c r="M84" s="21" t="n">
        <f aca="false">IFERROR(I84/L84,0)</f>
        <v>0</v>
      </c>
      <c r="N84" s="22" t="n">
        <f aca="false">IFERROR(L84/I84,0)</f>
        <v>0</v>
      </c>
      <c r="O84" s="4"/>
    </row>
    <row r="85" customFormat="false" ht="15" hidden="false" customHeight="false" outlineLevel="0" collapsed="false">
      <c r="A85" s="4" t="s">
        <v>240</v>
      </c>
      <c r="B85" s="4" t="s">
        <v>241</v>
      </c>
      <c r="C85" s="4" t="s">
        <v>301</v>
      </c>
      <c r="D85" s="4" t="s">
        <v>91</v>
      </c>
      <c r="E85" s="9" t="n">
        <v>0.12</v>
      </c>
      <c r="F85" s="20" t="n">
        <v>0</v>
      </c>
      <c r="G85" s="20" t="n">
        <v>0</v>
      </c>
      <c r="H85" s="21" t="n">
        <f aca="false">IFERROR(G85/F85,0)</f>
        <v>0</v>
      </c>
      <c r="I85" s="9" t="n">
        <v>0</v>
      </c>
      <c r="J85" s="9" t="n">
        <f aca="false">IFERROR(I85/G85,0)</f>
        <v>0</v>
      </c>
      <c r="K85" s="20" t="n">
        <v>0</v>
      </c>
      <c r="L85" s="9" t="n">
        <v>0</v>
      </c>
      <c r="M85" s="21" t="n">
        <f aca="false">IFERROR(I85/L85,0)</f>
        <v>0</v>
      </c>
      <c r="N85" s="22" t="n">
        <f aca="false">IFERROR(L85/I85,0)</f>
        <v>0</v>
      </c>
      <c r="O85" s="4"/>
    </row>
    <row r="86" customFormat="false" ht="15" hidden="false" customHeight="false" outlineLevel="0" collapsed="false">
      <c r="A86" s="4" t="s">
        <v>240</v>
      </c>
      <c r="B86" s="4" t="s">
        <v>241</v>
      </c>
      <c r="C86" s="4" t="s">
        <v>278</v>
      </c>
      <c r="D86" s="4" t="s">
        <v>91</v>
      </c>
      <c r="E86" s="9" t="n">
        <v>0.1</v>
      </c>
      <c r="F86" s="20" t="n">
        <v>0</v>
      </c>
      <c r="G86" s="20" t="n">
        <v>0</v>
      </c>
      <c r="H86" s="21" t="n">
        <f aca="false">IFERROR(G86/F86,0)</f>
        <v>0</v>
      </c>
      <c r="I86" s="9" t="n">
        <v>0</v>
      </c>
      <c r="J86" s="9" t="n">
        <f aca="false">IFERROR(I86/G86,0)</f>
        <v>0</v>
      </c>
      <c r="K86" s="20" t="n">
        <v>0</v>
      </c>
      <c r="L86" s="9" t="n">
        <v>0</v>
      </c>
      <c r="M86" s="21" t="n">
        <f aca="false">IFERROR(I86/L86,0)</f>
        <v>0</v>
      </c>
      <c r="N86" s="22" t="n">
        <f aca="false">IFERROR(L86/I86,0)</f>
        <v>0</v>
      </c>
      <c r="O86" s="4"/>
    </row>
    <row r="87" customFormat="false" ht="15" hidden="false" customHeight="false" outlineLevel="0" collapsed="false">
      <c r="A87" s="4" t="s">
        <v>240</v>
      </c>
      <c r="B87" s="4" t="s">
        <v>241</v>
      </c>
      <c r="C87" s="4" t="s">
        <v>279</v>
      </c>
      <c r="D87" s="4" t="s">
        <v>91</v>
      </c>
      <c r="E87" s="9" t="n">
        <v>0.08</v>
      </c>
      <c r="F87" s="20" t="n">
        <v>0</v>
      </c>
      <c r="G87" s="20" t="n">
        <v>0</v>
      </c>
      <c r="H87" s="21" t="n">
        <f aca="false">IFERROR(G87/F87,0)</f>
        <v>0</v>
      </c>
      <c r="I87" s="9" t="n">
        <v>0</v>
      </c>
      <c r="J87" s="9" t="n">
        <f aca="false">IFERROR(I87/G87,0)</f>
        <v>0</v>
      </c>
      <c r="K87" s="20" t="n">
        <v>0</v>
      </c>
      <c r="L87" s="9" t="n">
        <v>0</v>
      </c>
      <c r="M87" s="21" t="n">
        <f aca="false">IFERROR(I87/L87,0)</f>
        <v>0</v>
      </c>
      <c r="N87" s="22" t="n">
        <f aca="false">IFERROR(L87/I87,0)</f>
        <v>0</v>
      </c>
      <c r="O87" s="4"/>
    </row>
    <row r="88" customFormat="false" ht="15" hidden="false" customHeight="false" outlineLevel="0" collapsed="false">
      <c r="A88" s="4" t="s">
        <v>240</v>
      </c>
      <c r="B88" s="4" t="s">
        <v>241</v>
      </c>
      <c r="C88" s="4" t="s">
        <v>280</v>
      </c>
      <c r="D88" s="4" t="s">
        <v>91</v>
      </c>
      <c r="E88" s="9" t="n">
        <v>0.21</v>
      </c>
      <c r="F88" s="20" t="n">
        <v>0</v>
      </c>
      <c r="G88" s="20" t="n">
        <v>0</v>
      </c>
      <c r="H88" s="21" t="n">
        <f aca="false">IFERROR(G88/F88,0)</f>
        <v>0</v>
      </c>
      <c r="I88" s="9" t="n">
        <v>0</v>
      </c>
      <c r="J88" s="9" t="n">
        <f aca="false">IFERROR(I88/G88,0)</f>
        <v>0</v>
      </c>
      <c r="K88" s="20" t="n">
        <v>0</v>
      </c>
      <c r="L88" s="9" t="n">
        <v>0</v>
      </c>
      <c r="M88" s="21" t="n">
        <f aca="false">IFERROR(I88/L88,0)</f>
        <v>0</v>
      </c>
      <c r="N88" s="22" t="n">
        <f aca="false">IFERROR(L88/I88,0)</f>
        <v>0</v>
      </c>
      <c r="O88" s="4"/>
    </row>
    <row r="89" customFormat="false" ht="15" hidden="false" customHeight="false" outlineLevel="0" collapsed="false">
      <c r="A89" s="4" t="s">
        <v>240</v>
      </c>
      <c r="B89" s="4" t="s">
        <v>241</v>
      </c>
      <c r="C89" s="4" t="s">
        <v>302</v>
      </c>
      <c r="D89" s="4" t="s">
        <v>91</v>
      </c>
      <c r="E89" s="9" t="n">
        <v>0.21</v>
      </c>
      <c r="F89" s="20" t="n">
        <v>0</v>
      </c>
      <c r="G89" s="20" t="n">
        <v>0</v>
      </c>
      <c r="H89" s="21" t="n">
        <f aca="false">IFERROR(G89/F89,0)</f>
        <v>0</v>
      </c>
      <c r="I89" s="9" t="n">
        <v>0</v>
      </c>
      <c r="J89" s="9" t="n">
        <f aca="false">IFERROR(I89/G89,0)</f>
        <v>0</v>
      </c>
      <c r="K89" s="20" t="n">
        <v>0</v>
      </c>
      <c r="L89" s="9" t="n">
        <v>0</v>
      </c>
      <c r="M89" s="21" t="n">
        <f aca="false">IFERROR(I89/L89,0)</f>
        <v>0</v>
      </c>
      <c r="N89" s="22" t="n">
        <f aca="false">IFERROR(L89/I89,0)</f>
        <v>0</v>
      </c>
      <c r="O89" s="4"/>
    </row>
  </sheetData>
  <autoFilter ref="A3:O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2026-09-26T14:29:04Z</dcterms:created>
  <dc:creator>openpyxl</dc:creator>
  <dc:description/>
  <dc:language>en-US</dc:language>
  <cp:lastModifiedBy/>
  <dcterms:modified xsi:type="dcterms:W3CDTF">2026-09-26T14:29:05Z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