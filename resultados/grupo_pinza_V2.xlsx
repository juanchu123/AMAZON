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Grupo de anuncios" sheetId="2" state="visible" r:id="rId4"/>
    <sheet name="Segmentación" sheetId="3" state="visible" r:id="rId5"/>
    <sheet name="Seguimiento" sheetId="4" state="visible" r:id="rId6"/>
    <sheet name="Tickets" sheetId="5" state="visible" r:id="rId7"/>
    <sheet name="Históric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Es la campaña donde la pinza ha vendido (grupo 'Pinza', 99% del gasto de la pinza). Su grupo antiguo 'Pinza' tiene estas mismas keywords: debe seguir EN PAUSA para no pujar contra ti mismo. Alternativa: campaña nueva solo para este grupo (control de presupuesto más limpio).</t>
        </r>
      </text>
    </comment>
    <comment ref="B8" authorId="0">
      <text>
        <r>
          <rPr>
            <sz val="10"/>
            <rFont val="Arial"/>
            <family val="2"/>
          </rPr>
          <t xml:space="preserve">Puja que usa Amazon para keywords sin puja propia. Todas las keywords de este grupo tienen puja propia, así que es solo un valor de reserva.</t>
        </r>
      </text>
    </comment>
    <comment ref="B9" authorId="0">
      <text>
        <r>
          <rPr>
            <sz val="10"/>
            <rFont val="Arial"/>
            <family val="2"/>
          </rPr>
          <t xml:space="preserve">'Solo reducir': Amazon puede bajar la puja si cree que no habrá venta, nunca subirla. Evita pagar más de la puja (lo que pasó con 'soporte movil coche': 0,76 € de CPC con 0,57 € de puja).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4" authorId="0">
      <text>
        <r>
          <rPr>
            <sz val="10"/>
            <rFont val="Arial"/>
            <family val="2"/>
          </rPr>
          <t xml:space="preserve">Puja con la que se crea la keyword en este grupo. El rango de ±50% (pedido por Juan) se calcula sobre este valor.</t>
        </r>
      </text>
    </comment>
    <comment ref="R4" authorId="0">
      <text>
        <r>
          <rPr>
            <sz val="10"/>
            <rFont val="Arial"/>
            <family val="2"/>
          </rPr>
          <t xml:space="preserve">Puja máx. rentable = compra/clic × ticket medio × ACOS objetivo. Históricas: con su compra/clic real. Especiales: con la compra/clic que predice keyword_ml.py.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Con qué se compara el ACOS 'Después'. Keywords históricas: su ACOS en el grupo antiguo. Especiales: el objetivo (35%). Cambios de puja futuros: el ACOS acumulado justo antes del cambio (Base: Coste ÷ Base: Ventas).</t>
        </r>
      </text>
    </comment>
    <comment ref="O3" authorId="0">
      <text>
        <r>
          <rPr>
            <sz val="10"/>
            <rFont val="Arial"/>
            <family val="2"/>
          </rPr>
          <t xml:space="preserve">Acumulado de esta keyword EN ESTE GRUPO en el momento de aplicar el cambio (cópialo de 'Segmentación'). Para las keywords nuevas es 0.</t>
        </r>
      </text>
    </comment>
  </commentList>
</comments>
</file>

<file path=xl/sharedStrings.xml><?xml version="1.0" encoding="utf-8"?>
<sst xmlns="http://schemas.openxmlformats.org/spreadsheetml/2006/main" count="1451" uniqueCount="390">
  <si>
    <t xml:space="preserve">Grupo de anuncios Pinza V2 — plan de cambios y seguimiento</t>
  </si>
  <si>
    <t xml:space="preserve">Producto: Soporte Móvil para Coche con Pinza Ajustable 360° para Salpicadero/Parasol/Espejo Retrovisor, A…  |  ASIN B0DCZS1NR6  |  SKU O8-5W7J-DSK1  |  Creado 25/09/2026</t>
  </si>
  <si>
    <t xml:space="preserve">PARÁMETROS</t>
  </si>
  <si>
    <t xml:space="preserve">ACOS objetivo</t>
  </si>
  <si>
    <t xml:space="preserve">Confirmado por Juan (25/09/2026).</t>
  </si>
  <si>
    <t xml:space="preserve">Ticket medio (€/venta)</t>
  </si>
  <si>
    <t xml:space="preserve">Ventas ÷ compras del soporte de pinza en los exports de Amazon Ads (35 compras).</t>
  </si>
  <si>
    <t xml:space="preserve">Presupuesto mensual total</t>
  </si>
  <si>
    <t xml:space="preserve">CLAUDE.md: límite duro de 100 €/mes.</t>
  </si>
  <si>
    <t xml:space="preserve">% del presupuesto para pruebas</t>
  </si>
  <si>
    <t xml:space="preserve">Pedido por Juan (26/09/2026): 50% para la campaña de pruebas (ASIN de competencia + categoría).</t>
  </si>
  <si>
    <t xml:space="preserve">Presupuesto diario campaña principal</t>
  </si>
  <si>
    <t xml:space="preserve">Resto del presupuesto ÷ 30 días. En Amazon el presupuesto es por campaña.</t>
  </si>
  <si>
    <t xml:space="preserve">Días entre revisiones de puja</t>
  </si>
  <si>
    <t xml:space="preserve">Pedido por Juan.</t>
  </si>
  <si>
    <t xml:space="preserve">Rango de puja sobre la original</t>
  </si>
  <si>
    <t xml:space="preserve">Pedido por Juan: ±50% de la puja original.</t>
  </si>
  <si>
    <t xml:space="preserve">Stop-loss: clics sin ventas</t>
  </si>
  <si>
    <t xml:space="preserve">Propuesto; pendiente de confirmar por Juan.</t>
  </si>
  <si>
    <t xml:space="preserve">Clics mínimos para evaluar un cambio</t>
  </si>
  <si>
    <t xml:space="preserve">Igual que CLAUDE.md: con menos clics es ruido.</t>
  </si>
  <si>
    <t xml:space="preserve">Presupuesto diario campaña de pruebas</t>
  </si>
  <si>
    <t xml:space="preserve">50% de 100 € ÷ 30 días.</t>
  </si>
  <si>
    <t xml:space="preserve">Días para evaluar un cambio</t>
  </si>
  <si>
    <t xml:space="preserve">Sponsored Products atribuye ventas hasta 7 días después del clic: antes, los datos están incompletos.</t>
  </si>
  <si>
    <t xml:space="preserve">CÓMO USAR ESTE EXCEL</t>
  </si>
  <si>
    <t xml:space="preserve">1. Aplica en Amazon Ads los tickets 'Pendiente de aplicar' en orden (grupo principal y keywords, cartera, campaña de pruebas y sus productos, negativas). Al aplicar cada uno, pon la fecha en Tickets → 'Fecha aplicado' y cambia el estado a 'Aplicado'.</t>
  </si>
  <si>
    <t xml:space="preserve">2. Cada 3 días: en Amazon Ads, pestaña Segmentación de este grupo, exporta con rango DESDE EL DÍA DE CREACIÓN HASTA HOY (acumulado). Copia una fila por keyword en 'Seguimiento' (fecha + Puja, Impresiones, Clics, Coste, Compras, Ventas). Todo lo demás se calcula solo.</t>
  </si>
  <si>
    <t xml:space="preserve">3. 'Segmentación' muestra el estado actual de cada keyword como en Amazon, con la acción sugerida y los avisos de stop-loss.</t>
  </si>
  <si>
    <t xml:space="preserve">4. Cuando cambies una puja o pauses algo: añade un ticket nuevo en 'Tickets' (hay filas preparadas). En 'Base' copia los Clics/Coste/Compras/Ventas acumulados que muestra 'Segmentación' en ese momento: así el ticket mide SOLO lo que pasa después de ese cambio.</t>
  </si>
  <si>
    <t xml:space="preserve">5. Cada ticket se evalúa solo: 'Veredicto' dice Mejora/Empeora cuando hay al menos 10 clics nuevos. No lo des por bueno antes de 'Revisar a partir de' (7 días): las ventas llegan hasta 7 días después del clic.</t>
  </si>
  <si>
    <t xml:space="preserve">6. Cada 2 semanas: descarga el informe de TÉRMINOS DE BÚSQUEDA (Amazon solo guarda 65 días). Términos con ≥10 clics y 0 ventas → negativa exacta (ticket nuevo). Términos con ventas y ACOS ≤ 35% que no sean keyword → keyword nueva en Exacta.</t>
  </si>
  <si>
    <t xml:space="preserve">7. A las 2 semanas: mira el informe de UBICACIÓN. Si 'Parte superior de la búsqueda' tiene mejor ACOS que el resto, súbele el ajuste (+10-25%) con un ticket; si es peor, déjalo en 0%.</t>
  </si>
  <si>
    <t xml:space="preserve">COLORES</t>
  </si>
  <si>
    <t xml:space="preserve">Ejemplo</t>
  </si>
  <si>
    <t xml:space="preserve">Celda para rellenar / editar (texto azul, fondo amarillo)</t>
  </si>
  <si>
    <t xml:space="preserve">Keyword histórica: ya demostró que vende</t>
  </si>
  <si>
    <t xml:space="preserve">Keyword especial propuesta por la IA (no es prueba: mismas reglas que las históricas)</t>
  </si>
  <si>
    <t xml:space="preserve">Campaña de pruebas: segmentación por producto (ASIN) o categoría</t>
  </si>
  <si>
    <t xml:space="preserve">Texto verde: dato que viene de otra hoja</t>
  </si>
  <si>
    <t xml:space="preserve">AVISOS</t>
  </si>
  <si>
    <t xml:space="preserve">• Las campañas antiguas siguen en pausa. Si alguna se reactiva, sus keywords competirían con las de este grupo en la misma subasta (tú contra ti). Mantenlas en pausa o pausa ahí estas mismas keywords.</t>
  </si>
  <si>
    <t xml:space="preserve">• El presupuesto diario en Amazon es por CAMPAÑA: si este grupo va en una campaña con otros grupos, el presupuesto lo comparten.</t>
  </si>
  <si>
    <t xml:space="preserve">• Los anuncios solo salen si tienes la OFERTA DESTACADA (Buy Box) y stock. Si un día hay 0 impresiones, mira eso antes de tocar pujas.</t>
  </si>
  <si>
    <t xml:space="preserve">• Los ASIN de competencia se sacaron de una búsqueda web: comprueba en amazon.es que siguen vendiéndose y que son más caros o con peores reseñas que el tuyo antes de aplicarlos.</t>
  </si>
  <si>
    <t xml:space="preserve">• Las 5 keywords especiales no tienen datos propios: su puja sale del modelo (keyword_ml.py) y no del histórico. Por eso se revisan con más cuidado las primeras semanas.</t>
  </si>
  <si>
    <t xml:space="preserve">Configuración del grupo de anuncios (tal cual se rellena en Amazon Ads)</t>
  </si>
  <si>
    <t xml:space="preserve">Campo</t>
  </si>
  <si>
    <t xml:space="preserve">Valor</t>
  </si>
  <si>
    <t xml:space="preserve">Campaña</t>
  </si>
  <si>
    <t xml:space="preserve">Soporte móvil pinza  (ID A0335903WCRWL9CYXAOF)</t>
  </si>
  <si>
    <t xml:space="preserve">Tipo de campaña</t>
  </si>
  <si>
    <t xml:space="preserve">Sponsored Products — Segmentación manual</t>
  </si>
  <si>
    <t xml:space="preserve">Nombre del grupo de anuncios</t>
  </si>
  <si>
    <t xml:space="preserve">Pinza - Principal V2</t>
  </si>
  <si>
    <t xml:space="preserve">Estado</t>
  </si>
  <si>
    <t xml:space="preserve">Activado</t>
  </si>
  <si>
    <t xml:space="preserve">Puja predeterminada del grupo (EUR)</t>
  </si>
  <si>
    <t xml:space="preserve">Estrategia de puja de la campaña</t>
  </si>
  <si>
    <t xml:space="preserve">Pujas dinámicas: solo reducir</t>
  </si>
  <si>
    <t xml:space="preserve">Presupuesto diario de la campaña (EUR)</t>
  </si>
  <si>
    <t xml:space="preserve">Anuncio: ASIN</t>
  </si>
  <si>
    <t xml:space="preserve">B0DCZS1NR6</t>
  </si>
  <si>
    <t xml:space="preserve">Anuncio: SKU</t>
  </si>
  <si>
    <t xml:space="preserve">O8-5W7J-DSK1</t>
  </si>
  <si>
    <t xml:space="preserve">Anuncio: Nombre</t>
  </si>
  <si>
    <t xml:space="preserve">Soporte Móvil para Coche con Pinza Ajustable 360° para Salpicadero/Parasol/Espejo Retrovisor, Antideslizante y Estable | Compatible con iPhone, Samsung, Xiaomi y Más</t>
  </si>
  <si>
    <t xml:space="preserve">Segmentación</t>
  </si>
  <si>
    <t xml:space="preserve">Palabras clave (10) — ver hoja 'Segmentación'</t>
  </si>
  <si>
    <t xml:space="preserve">Ticket de creación</t>
  </si>
  <si>
    <t xml:space="preserve">T-001</t>
  </si>
  <si>
    <t xml:space="preserve">Cartera (portfolio)</t>
  </si>
  <si>
    <t xml:space="preserve">FreshFinder - 100 €/mes: límite de presupuesto MENSUAL recurrente de 100 €, con esta campaña y la de pruebas dentro</t>
  </si>
  <si>
    <t xml:space="preserve">Ajuste por ubicación: parte superior de la búsqueda</t>
  </si>
  <si>
    <t xml:space="preserve">0% al empezar; revisar el informe de ubicación a las 2 semanas</t>
  </si>
  <si>
    <t xml:space="preserve">Ajuste por ubicación: resto de la búsqueda</t>
  </si>
  <si>
    <t xml:space="preserve">0%</t>
  </si>
  <si>
    <t xml:space="preserve">Ajuste por ubicación: páginas de producto</t>
  </si>
  <si>
    <t xml:space="preserve">CAMPAÑA DE PRUEBAS</t>
  </si>
  <si>
    <t xml:space="preserve">Pinza - Pruebas (nueva)</t>
  </si>
  <si>
    <t xml:space="preserve">Sponsored Products — Segmentación manual por producto</t>
  </si>
  <si>
    <t xml:space="preserve">Presupuesto diario (EUR)</t>
  </si>
  <si>
    <t xml:space="preserve">Estrategia de puja</t>
  </si>
  <si>
    <t xml:space="preserve">Cartera</t>
  </si>
  <si>
    <t xml:space="preserve">FreshFinder - 100 €/mes</t>
  </si>
  <si>
    <t xml:space="preserve">Grupo de anuncios</t>
  </si>
  <si>
    <t xml:space="preserve">Pruebas - Competencia</t>
  </si>
  <si>
    <t xml:space="preserve">Puja predeterminada (EUR)</t>
  </si>
  <si>
    <t xml:space="preserve">Anuncio</t>
  </si>
  <si>
    <t xml:space="preserve">B0DCZS1NR6 (O8-5W7J-DSK1)</t>
  </si>
  <si>
    <t xml:space="preserve">4 ASIN de competencia + 1 categoría con filtros — ver 'Segmentación' (filas naranjas)</t>
  </si>
  <si>
    <t xml:space="preserve">Producto negativo</t>
  </si>
  <si>
    <t xml:space="preserve">asin="B0DCZS1NR6" (tu propia ficha)</t>
  </si>
  <si>
    <t xml:space="preserve">Tickets</t>
  </si>
  <si>
    <t xml:space="preserve">T-012 (cartera), T-013 (campaña) … ver 'Tickets'</t>
  </si>
  <si>
    <t xml:space="preserve">Segmentación — grupo 'Pinza - Principal V2' (verde/azul) y campaña 'Pinza - Pruebas' (naranja). Mismas columnas que el export de Amazon Ads; se actualiza desde 'Seguimiento'.</t>
  </si>
  <si>
    <t xml:space="preserve">Palabra clave</t>
  </si>
  <si>
    <t xml:space="preserve">Tipo de coincidencia objetivo</t>
  </si>
  <si>
    <t xml:space="preserve">Puja (EUR)</t>
  </si>
  <si>
    <t xml:space="preserve">Impresiones</t>
  </si>
  <si>
    <t xml:space="preserve">Clics</t>
  </si>
  <si>
    <t xml:space="preserve">CTR</t>
  </si>
  <si>
    <t xml:space="preserve">Coste total (EUR)</t>
  </si>
  <si>
    <t xml:space="preserve">CPC (EUR)</t>
  </si>
  <si>
    <t xml:space="preserve">Compras</t>
  </si>
  <si>
    <t xml:space="preserve">Ventas (EUR)</t>
  </si>
  <si>
    <t xml:space="preserve">ACOS</t>
  </si>
  <si>
    <t xml:space="preserve">ROAS</t>
  </si>
  <si>
    <t xml:space="preserve">Origen</t>
  </si>
  <si>
    <t xml:space="preserve">Puja original (EUR)</t>
  </si>
  <si>
    <t xml:space="preserve">Puja mín. -50% (EUR)</t>
  </si>
  <si>
    <t xml:space="preserve">Puja máx. +50% (EUR)</t>
  </si>
  <si>
    <t xml:space="preserve">Puja máx. rentable (EUR)</t>
  </si>
  <si>
    <t xml:space="preserve">Ticket</t>
  </si>
  <si>
    <t xml:space="preserve">Última foto</t>
  </si>
  <si>
    <t xml:space="preserve">Stop-loss</t>
  </si>
  <si>
    <t xml:space="preserve">Acción sugerida</t>
  </si>
  <si>
    <t xml:space="preserve">Clave</t>
  </si>
  <si>
    <t xml:space="preserve">soporte móvil para coche con pinza</t>
  </si>
  <si>
    <t xml:space="preserve">Frase</t>
  </si>
  <si>
    <t xml:space="preserve">Histórica</t>
  </si>
  <si>
    <t xml:space="preserve">T-002</t>
  </si>
  <si>
    <t xml:space="preserve">soporte móvil para coche de pinza para salpicadero</t>
  </si>
  <si>
    <t xml:space="preserve">Amplia</t>
  </si>
  <si>
    <t xml:space="preserve">T-003</t>
  </si>
  <si>
    <t xml:space="preserve">soporte móvil para coche de pinza</t>
  </si>
  <si>
    <t xml:space="preserve">Exacta</t>
  </si>
  <si>
    <t xml:space="preserve">T-004</t>
  </si>
  <si>
    <t xml:space="preserve">T-005</t>
  </si>
  <si>
    <t xml:space="preserve">T-006</t>
  </si>
  <si>
    <t xml:space="preserve">soporte móvil coche pinza 360</t>
  </si>
  <si>
    <t xml:space="preserve">Especial IA</t>
  </si>
  <si>
    <t xml:space="preserve">T-007</t>
  </si>
  <si>
    <t xml:space="preserve">soporte móvil coche pinza para espejo retrovisor</t>
  </si>
  <si>
    <t xml:space="preserve">T-008</t>
  </si>
  <si>
    <t xml:space="preserve">soporte móvil coche pinza para parasol</t>
  </si>
  <si>
    <t xml:space="preserve">T-009</t>
  </si>
  <si>
    <t xml:space="preserve">soporte móvil coche pinza ajustable</t>
  </si>
  <si>
    <t xml:space="preserve">T-010</t>
  </si>
  <si>
    <t xml:space="preserve">soporte móvil coche pinza para iphone</t>
  </si>
  <si>
    <t xml:space="preserve">T-011</t>
  </si>
  <si>
    <t xml:space="preserve">asin="B07H996QMD"</t>
  </si>
  <si>
    <t xml:space="preserve">Producto</t>
  </si>
  <si>
    <t xml:space="preserve">Prueba producto</t>
  </si>
  <si>
    <t xml:space="preserve">T-014</t>
  </si>
  <si>
    <t xml:space="preserve">asin="B0BS1TQJH2"</t>
  </si>
  <si>
    <t xml:space="preserve">T-015</t>
  </si>
  <si>
    <t xml:space="preserve">asin="B08N4KR6PK"</t>
  </si>
  <si>
    <t xml:space="preserve">T-016</t>
  </si>
  <si>
    <t xml:space="preserve">asin="B09P3SZB6P"</t>
  </si>
  <si>
    <t xml:space="preserve">T-017</t>
  </si>
  <si>
    <t xml:space="preserve">categoría="Soportes montados en salpicadero para automóviles" precio&gt;12€ estrellas≤4</t>
  </si>
  <si>
    <t xml:space="preserve">Categoría</t>
  </si>
  <si>
    <t xml:space="preserve">Prueba categoría</t>
  </si>
  <si>
    <t xml:space="preserve">T-018</t>
  </si>
  <si>
    <t xml:space="preserve">TOTAL GRUPO</t>
  </si>
  <si>
    <t xml:space="preserve">Seguimiento — una fila por keyword en cada revisión (cada 3 días). Datos ACUMULADOS desde la creación del grupo, copiados del export de Segmentación de Amazon Ads.</t>
  </si>
  <si>
    <t xml:space="preserve">Fecha</t>
  </si>
  <si>
    <t xml:space="preserve">Nota</t>
  </si>
  <si>
    <t xml:space="preserve">Clave+fecha</t>
  </si>
  <si>
    <t xml:space="preserve">Día 0: creación del grupo (sin datos todavía)</t>
  </si>
  <si>
    <t xml:space="preserve">Tickets — un ticket por cada cambio. 'Base' = acumulado en este grupo al aplicar el cambio; 'Después' = solo lo ocurrido desde entonces.</t>
  </si>
  <si>
    <t xml:space="preserve">Fecha creación</t>
  </si>
  <si>
    <t xml:space="preserve">Tipo de cambio</t>
  </si>
  <si>
    <t xml:space="preserve">Tipo de coincidencia</t>
  </si>
  <si>
    <t xml:space="preserve">Valor antes</t>
  </si>
  <si>
    <t xml:space="preserve">Valor después</t>
  </si>
  <si>
    <t xml:space="preserve">Cambio %</t>
  </si>
  <si>
    <t xml:space="preserve">Motivo / hipótesis</t>
  </si>
  <si>
    <t xml:space="preserve">ACOS de referencia</t>
  </si>
  <si>
    <t xml:space="preserve">Qué es la referencia</t>
  </si>
  <si>
    <t xml:space="preserve">Estado del ticket</t>
  </si>
  <si>
    <t xml:space="preserve">Fecha aplicado</t>
  </si>
  <si>
    <t xml:space="preserve">Revisar a partir de</t>
  </si>
  <si>
    <t xml:space="preserve">Base: Clics</t>
  </si>
  <si>
    <t xml:space="preserve">Base: Coste</t>
  </si>
  <si>
    <t xml:space="preserve">Base: Compras</t>
  </si>
  <si>
    <t xml:space="preserve">Base: Ventas</t>
  </si>
  <si>
    <t xml:space="preserve">Después: Clics</t>
  </si>
  <si>
    <t xml:space="preserve">Después: Coste</t>
  </si>
  <si>
    <t xml:space="preserve">Después: Compras</t>
  </si>
  <si>
    <t xml:space="preserve">Después: Ventas</t>
  </si>
  <si>
    <t xml:space="preserve">Después: ACOS</t>
  </si>
  <si>
    <t xml:space="preserve">Veredicto</t>
  </si>
  <si>
    <t xml:space="preserve">Notas</t>
  </si>
  <si>
    <t xml:space="preserve">Crear grupo de anuncios</t>
  </si>
  <si>
    <t xml:space="preserve">Crear 'Pinza - Principal V2' con el anuncio B0DCZS1NR6 (O8-5W7J-DSK1) y las 10 keywords de T-002…T-011. Objetivo: concentrar el gasto en lo que ya vende y en 5 frases nuevas con alta intención, con ACOS ≤ 35%.</t>
  </si>
  <si>
    <t xml:space="preserve">Pendiente de aplicar</t>
  </si>
  <si>
    <t xml:space="preserve">Añadir keyword (histórica)</t>
  </si>
  <si>
    <t xml:space="preserve">Histórico (suma de 2 grupos): 27 clics, 6 compras, 12.36 € de gasto, 65.35 € de ventas. ACOS 18.9% &lt; 30% → subir 25%.</t>
  </si>
  <si>
    <t xml:space="preserve">ACOS en el grupo antiguo</t>
  </si>
  <si>
    <t xml:space="preserve">Histórico: 9 clics, 1 compras, 3.12 € de gasto, 10.39 € de ventas. ACOS 30.0% en objetivo → se mantiene.</t>
  </si>
  <si>
    <t xml:space="preserve">Histórico (suma de 2 grupos): 14 clics, 2 compras, 7.41 € de gasto, 23.98 € de ventas. ACOS 30.9% en objetivo → se mantiene.</t>
  </si>
  <si>
    <t xml:space="preserve">Histórico (suma de 2 grupos): 37 clics, 4 compras, 13.64 € de gasto, 43.16 € de ventas. ACOS 31.6% en objetivo → se mantiene (limitada a la puja máx. rentable 0.41€).</t>
  </si>
  <si>
    <t xml:space="preserve">Histórico: 18 clics, 2 compras, 10.83 € de gasto, 22.78 € de ventas. ACOS 47.5% &gt; 40% → bajar 25%.</t>
  </si>
  <si>
    <t xml:space="preserve">Añadir keyword (especial IA)</t>
  </si>
  <si>
    <t xml:space="preserve">Top del modelo con el histórico completo (11,4% compra/clic): junta 'pinza' + 'coche' (lo que más vende) con '360', una ventaja del título. Modelo: 11.3% compra/clic → puja máx. rentable 0.44 € para ACOS 35%.</t>
  </si>
  <si>
    <t xml:space="preserve">El retrovisor es uno de los 3 sitios de montaje del título y ninguna keyword lo cubre. Quien lo busca sabe exactamente qué quiere. Modelo: 11.7% compra/clic → puja máx. rentable 0.46 € para ACOS 35%.</t>
  </si>
  <si>
    <t xml:space="preserve">El parasol es otro sitio de montaje del título, sin cubrir. Búsqueda muy específica: poca competencia, intención alta. Modelo: 11.4% compra/clic → puja máx. rentable 0.45 € para ACOS 35%.</t>
  </si>
  <si>
    <t xml:space="preserve">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</si>
  <si>
    <t xml:space="preserve">Mucha gente busca por modelo de móvil. El título dice 'compatible con iPhone': cubre esa búsqueda sin pagar por lo genérico. Modelo: 11.4% compra/clic → puja máx. rentable 0.45 € para ACOS 35%.</t>
  </si>
  <si>
    <t xml:space="preserve">T-012</t>
  </si>
  <si>
    <t xml:space="preserve">Crear cartera</t>
  </si>
  <si>
    <t xml:space="preserve">Cartera 'FreshFinder - 100 €/mes' con límite mensual recurrente de 100 €, y meter dentro la campaña principal y la de pruebas. Así el tope de 100 €/mes lo aplica Amazon, no un script.</t>
  </si>
  <si>
    <t xml:space="preserve">T-013</t>
  </si>
  <si>
    <t xml:space="preserve">Crear campaña de pruebas</t>
  </si>
  <si>
    <t xml:space="preserve">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</si>
  <si>
    <t xml:space="preserve">Añadir segmentación por producto (prueba)</t>
  </si>
  <si>
    <t xml:space="preserve">OcioDual — soporte de pinza para salpicadero. Competidor directo (mismo tipo de montaje). Puja fija de prueba 0,30 € (sin datos previos). Stop-loss: 15 clics sin venta.</t>
  </si>
  <si>
    <t xml:space="preserve">Soporte con pinza para salpicadero (sistema de gravedad). Competidor directo. Puja fija de prueba 0,30 € (sin datos previos). Stop-loss: 15 clics sin venta.</t>
  </si>
  <si>
    <t xml:space="preserve">BEENLE — soporte salpicadero + espejo retrovisor. Cubre los mismos sitios de montaje que el tuyo. Puja fija de prueba 0,30 € (sin datos previos). Stop-loss: 15 clics sin venta.</t>
  </si>
  <si>
    <t xml:space="preserve">AUTOZOCO — soporte de pinza para salpicadero con resorte. Competidor directo. Puja fija de prueba 0,30 € (sin datos previos). Stop-loss: 15 clics sin venta.</t>
  </si>
  <si>
    <t xml:space="preserve">Categoría de 'más vendidos' de Amazon.es donde compite tu pinza. Filtrada a fichas más caras que la tuya o con peores reseñas: ahí el tuyo gana por precio/valoración. Puja fija de prueba 0,30 € (sin datos previos). Stop-loss: 15 clics sin venta.</t>
  </si>
  <si>
    <t xml:space="preserve">T-019</t>
  </si>
  <si>
    <t xml:space="preserve">Añadir negativa</t>
  </si>
  <si>
    <t xml:space="preserve">ventosa</t>
  </si>
  <si>
    <t xml:space="preserve">Frase negativa</t>
  </si>
  <si>
    <t xml:space="preserve">Grupo Pinza - Principal V2: Otro tipo de montaje (tienes otro producto con ventosa).</t>
  </si>
  <si>
    <t xml:space="preserve">T-020</t>
  </si>
  <si>
    <t xml:space="preserve">rejilla</t>
  </si>
  <si>
    <t xml:space="preserve">Grupo Pinza - Principal V2: Es el soporte de rejilla (B0DHYBY6MS), no la pinza.</t>
  </si>
  <si>
    <t xml:space="preserve">T-021</t>
  </si>
  <si>
    <t xml:space="preserve">magnetico</t>
  </si>
  <si>
    <t xml:space="preserve">Grupo Pinza - Principal V2: Soportes magnéticos: otro producto.</t>
  </si>
  <si>
    <t xml:space="preserve">T-022</t>
  </si>
  <si>
    <t xml:space="preserve">iman</t>
  </si>
  <si>
    <t xml:space="preserve">Grupo Pinza - Principal V2: Soportes de imán: otro producto.</t>
  </si>
  <si>
    <t xml:space="preserve">T-023</t>
  </si>
  <si>
    <t xml:space="preserve">parabrisas</t>
  </si>
  <si>
    <t xml:space="preserve">Grupo Pinza - Principal V2: La pinza no va al parabrisas (salpicadero, parasol o retrovisor).</t>
  </si>
  <si>
    <t xml:space="preserve">T-024</t>
  </si>
  <si>
    <t xml:space="preserve">moto</t>
  </si>
  <si>
    <t xml:space="preserve">Grupo Pinza - Principal V2: Soportes de moto: otro producto.</t>
  </si>
  <si>
    <t xml:space="preserve">T-025</t>
  </si>
  <si>
    <t xml:space="preserve">bicicleta</t>
  </si>
  <si>
    <t xml:space="preserve">Grupo Pinza - Principal V2: Soportes de bici: otro producto.</t>
  </si>
  <si>
    <t xml:space="preserve">T-026</t>
  </si>
  <si>
    <t xml:space="preserve">cargador</t>
  </si>
  <si>
    <t xml:space="preserve">Grupo Pinza - Principal V2: Soportes con carga inalámbrica: otro producto y otro precio.</t>
  </si>
  <si>
    <t xml:space="preserve">T-027</t>
  </si>
  <si>
    <t xml:space="preserve">asin="B0DCZS1NR6"</t>
  </si>
  <si>
    <t xml:space="preserve">Grupo Pruebas - Competencia: Tu propia ficha: no pagar por salir en ella.</t>
  </si>
  <si>
    <t xml:space="preserve">T-028</t>
  </si>
  <si>
    <t xml:space="preserve">T-029</t>
  </si>
  <si>
    <t xml:space="preserve">T-030</t>
  </si>
  <si>
    <t xml:space="preserve">T-031</t>
  </si>
  <si>
    <t xml:space="preserve">T-032</t>
  </si>
  <si>
    <t xml:space="preserve">T-033</t>
  </si>
  <si>
    <t xml:space="preserve">T-034</t>
  </si>
  <si>
    <t xml:space="preserve">T-035</t>
  </si>
  <si>
    <t xml:space="preserve">T-036</t>
  </si>
  <si>
    <t xml:space="preserve">T-037</t>
  </si>
  <si>
    <t xml:space="preserve">T-038</t>
  </si>
  <si>
    <t xml:space="preserve">T-039</t>
  </si>
  <si>
    <t xml:space="preserve">T-040</t>
  </si>
  <si>
    <t xml:space="preserve">T-041</t>
  </si>
  <si>
    <t xml:space="preserve">T-042</t>
  </si>
  <si>
    <t xml:space="preserve">T-043</t>
  </si>
  <si>
    <t xml:space="preserve">T-044</t>
  </si>
  <si>
    <t xml:space="preserve">T-045</t>
  </si>
  <si>
    <t xml:space="preserve">T-046</t>
  </si>
  <si>
    <t xml:space="preserve">T-047</t>
  </si>
  <si>
    <t xml:space="preserve">T-048</t>
  </si>
  <si>
    <t xml:space="preserve">T-049</t>
  </si>
  <si>
    <t xml:space="preserve">T-050</t>
  </si>
  <si>
    <t xml:space="preserve">T-051</t>
  </si>
  <si>
    <t xml:space="preserve">T-052</t>
  </si>
  <si>
    <t xml:space="preserve">T-053</t>
  </si>
  <si>
    <t xml:space="preserve">T-054</t>
  </si>
  <si>
    <t xml:space="preserve">T-055</t>
  </si>
  <si>
    <t xml:space="preserve">T-056</t>
  </si>
  <si>
    <t xml:space="preserve">T-057</t>
  </si>
  <si>
    <t xml:space="preserve">T-058</t>
  </si>
  <si>
    <t xml:space="preserve">T-059</t>
  </si>
  <si>
    <t xml:space="preserve">T-060</t>
  </si>
  <si>
    <t xml:space="preserve">T-061</t>
  </si>
  <si>
    <t xml:space="preserve">T-062</t>
  </si>
  <si>
    <t xml:space="preserve">T-063</t>
  </si>
  <si>
    <t xml:space="preserve">T-064</t>
  </si>
  <si>
    <t xml:space="preserve">T-065</t>
  </si>
  <si>
    <t xml:space="preserve">T-066</t>
  </si>
  <si>
    <t xml:space="preserve">T-067</t>
  </si>
  <si>
    <t xml:space="preserve">T-068</t>
  </si>
  <si>
    <t xml:space="preserve">T-069</t>
  </si>
  <si>
    <t xml:space="preserve">T-070</t>
  </si>
  <si>
    <t xml:space="preserve">T-071</t>
  </si>
  <si>
    <t xml:space="preserve">T-072</t>
  </si>
  <si>
    <t xml:space="preserve">T-073</t>
  </si>
  <si>
    <t xml:space="preserve">T-074</t>
  </si>
  <si>
    <t xml:space="preserve">T-075</t>
  </si>
  <si>
    <t xml:space="preserve">T-076</t>
  </si>
  <si>
    <t xml:space="preserve">T-077</t>
  </si>
  <si>
    <t xml:space="preserve">T-078</t>
  </si>
  <si>
    <t xml:space="preserve">T-079</t>
  </si>
  <si>
    <t xml:space="preserve">T-080</t>
  </si>
  <si>
    <t xml:space="preserve">Histórico del soporte de pinza (B0DCZS1NR6) — exports de Amazon Ads relacionados con el anuncio por totales. Base de la selección.</t>
  </si>
  <si>
    <t xml:space="preserve">Campaña / grupo de anuncios</t>
  </si>
  <si>
    <t xml:space="preserve">¿Seleccionada?</t>
  </si>
  <si>
    <t xml:space="preserve">Motivo</t>
  </si>
  <si>
    <t xml:space="preserve">En pausa (campaña)</t>
  </si>
  <si>
    <t xml:space="preserve">Campaña - 2/5/2025 11:00:04.617 / el malo va bien :(</t>
  </si>
  <si>
    <t xml:space="preserve">Sí</t>
  </si>
  <si>
    <t xml:space="preserve">Top 5 por ACOS entre las que tienen ventas</t>
  </si>
  <si>
    <t xml:space="preserve">Soporte móvil pinza / Pinza</t>
  </si>
  <si>
    <t xml:space="preserve">No</t>
  </si>
  <si>
    <t xml:space="preserve">ACOS 48.7%: la que más vende, pero por encima del objetivo. Su versión Exacta y Amplia rinden mejor.</t>
  </si>
  <si>
    <t xml:space="preserve">soporte móvil coche</t>
  </si>
  <si>
    <t xml:space="preserve">Campaign - 13/4/2025 9:51:56.744 / Promoción mala</t>
  </si>
  <si>
    <t xml:space="preserve">ACOS 193%: gasta casi 3 € por cada € vendido</t>
  </si>
  <si>
    <t xml:space="preserve">soporte movil coche</t>
  </si>
  <si>
    <t xml:space="preserve">Campaña con ajustes preestablecidos - B0DCZS1NR6 - 27/9/2024 19:18:30 / Grupo de anuncios - 27/9/2024 19:18:30</t>
  </si>
  <si>
    <t xml:space="preserve">ACOS 293%: gasta casi 3 € por cada € vendido</t>
  </si>
  <si>
    <t xml:space="preserve">soporte para movil coche</t>
  </si>
  <si>
    <t xml:space="preserve">Nuevo producto - B0DCZS1NR6 - 21/10/2024 9:39:18 / Grupo de anuncios - 21/10/2024 9:39:18</t>
  </si>
  <si>
    <t xml:space="preserve">Sin ventas</t>
  </si>
  <si>
    <t xml:space="preserve">SP Campaign Recommendation - Suggested Products - 04/03/2025 ded33a / Genérico - Car Electronics Other</t>
  </si>
  <si>
    <t xml:space="preserve">soporte coche</t>
  </si>
  <si>
    <t xml:space="preserve">sujetar movil en el coche</t>
  </si>
  <si>
    <t xml:space="preserve">Soporte pinza bruh / Grupo de anuncios - 11/1/2025 0:00:19.292</t>
  </si>
  <si>
    <t xml:space="preserve">sujeta moviles para coche</t>
  </si>
  <si>
    <t xml:space="preserve">soporte móvil para coche</t>
  </si>
  <si>
    <t xml:space="preserve">Soporte pinza a ver / Pinza</t>
  </si>
  <si>
    <t xml:space="preserve">car mount</t>
  </si>
  <si>
    <t xml:space="preserve">soporte móvil para coche salpicadero</t>
  </si>
  <si>
    <t xml:space="preserve">soport movil</t>
  </si>
  <si>
    <t xml:space="preserve">coche</t>
  </si>
  <si>
    <t xml:space="preserve">soporte telefono 360</t>
  </si>
  <si>
    <t xml:space="preserve">soporte teléfono coche</t>
  </si>
  <si>
    <t xml:space="preserve">soporte para el movil coche</t>
  </si>
  <si>
    <t xml:space="preserve">sujeta móvil de pinza para coche</t>
  </si>
  <si>
    <t xml:space="preserve">sujeta móvil de pinza</t>
  </si>
  <si>
    <t xml:space="preserve">soporte de móvil para coche pinza</t>
  </si>
  <si>
    <t xml:space="preserve">Sin clics: sin datos</t>
  </si>
  <si>
    <t xml:space="preserve">suporte telemovel carro</t>
  </si>
  <si>
    <t xml:space="preserve">soportes para moviles coche</t>
  </si>
  <si>
    <t xml:space="preserve">movil coche</t>
  </si>
  <si>
    <t xml:space="preserve">car phone holder</t>
  </si>
  <si>
    <t xml:space="preserve">soporte movil</t>
  </si>
  <si>
    <t xml:space="preserve">soporte para movil</t>
  </si>
  <si>
    <t xml:space="preserve">soporte movil coche iman</t>
  </si>
  <si>
    <t xml:space="preserve">soporte para telefono movil coche</t>
  </si>
  <si>
    <t xml:space="preserve">soportes para moviles</t>
  </si>
  <si>
    <t xml:space="preserve">porta movil coche</t>
  </si>
  <si>
    <t xml:space="preserve">soporte para coche para móvil</t>
  </si>
  <si>
    <t xml:space="preserve">porta telefono para coche</t>
  </si>
  <si>
    <t xml:space="preserve">soporte movil camion</t>
  </si>
  <si>
    <t xml:space="preserve">soporte de pinza para móvil</t>
  </si>
  <si>
    <t xml:space="preserve">soport movil coch</t>
  </si>
  <si>
    <t xml:space="preserve">soporte de móvil para coche</t>
  </si>
  <si>
    <t xml:space="preserve">soporte magnetico movil coche</t>
  </si>
  <si>
    <t xml:space="preserve">soporte movil coche pinza</t>
  </si>
  <si>
    <t xml:space="preserve">soporte movil coche ventosa</t>
  </si>
  <si>
    <t xml:space="preserve">sujeción movil coche</t>
  </si>
  <si>
    <t xml:space="preserve">soporte movil ajustable 360</t>
  </si>
  <si>
    <t xml:space="preserve">soporte de movil para coche</t>
  </si>
  <si>
    <t xml:space="preserve">soporte mobil coche</t>
  </si>
  <si>
    <t xml:space="preserve">soporte movil coche salpicadero</t>
  </si>
  <si>
    <t xml:space="preserve">soporte móvil coche pinza</t>
  </si>
  <si>
    <t xml:space="preserve">soporte móvil para salpicadero</t>
  </si>
  <si>
    <t xml:space="preserve">soporte de móvil para coche salpicadero</t>
  </si>
  <si>
    <t xml:space="preserve">soporte movil para coche</t>
  </si>
  <si>
    <t xml:space="preserve">soporte para moviles coche</t>
  </si>
  <si>
    <t xml:space="preserve">soporte para móvil en coche</t>
  </si>
  <si>
    <t xml:space="preserve">accesorios coche</t>
  </si>
  <si>
    <t xml:space="preserve">enganche movil coche</t>
  </si>
  <si>
    <t xml:space="preserve">portamoviles coche</t>
  </si>
  <si>
    <t xml:space="preserve">soporte coche telefono</t>
  </si>
  <si>
    <t xml:space="preserve">soporte de telefono para coche</t>
  </si>
  <si>
    <t xml:space="preserve">soporte de teléfono para coche</t>
  </si>
  <si>
    <t xml:space="preserve">soporte gps coche</t>
  </si>
  <si>
    <t xml:space="preserve">soporte movil coche rejilla</t>
  </si>
  <si>
    <t xml:space="preserve">soporte movil salpicadero</t>
  </si>
  <si>
    <t xml:space="preserve">sujeta movil coche</t>
  </si>
  <si>
    <t xml:space="preserve">sujetador de movil para coche</t>
  </si>
  <si>
    <t xml:space="preserve">soporte movil coche ajustable 360</t>
  </si>
  <si>
    <t xml:space="preserve">soporte para movil 360 ajustable</t>
  </si>
  <si>
    <t xml:space="preserve">soporte telefono coche ajustable</t>
  </si>
  <si>
    <t xml:space="preserve">TOTAL</t>
  </si>
  <si>
    <t xml:space="preserve">Fuente: FreshFinder_Amazon_Ads_historico.xlsx (rango 'Duración de la campaña'). Solo keywords de grupos donde la pinza tiene ≥ 90% del gasto:</t>
  </si>
  <si>
    <t xml:space="preserve">   ✔ usado  Campaña con ajustes preestablecidos - B0DCZS1NR6 - 27/9/2024 19:18:30 / Grupo de anuncios - 27/9/2024 19:18:30 — 100% del gasto del grupo</t>
  </si>
  <si>
    <t xml:space="preserve">   ✔ usado  Campaign - 13/4/2025 9:51:56.744 / Promoción mala — 100% del gasto del grupo</t>
  </si>
  <si>
    <t xml:space="preserve">   ✔ usado  Nuevo producto - B0DCZS1NR6 - 21/10/2024 9:39:18 / Grupo de anuncios - 21/10/2024 9:39:18 — 100% del gasto del grupo</t>
  </si>
  <si>
    <t xml:space="preserve">   ✔ usado  SP Campaign Recommendation - Suggested Products - 04/03/2025 ded33a / Genérico - Car Electronics Other — 100% del gasto del grupo</t>
  </si>
  <si>
    <t xml:space="preserve">   ✔ usado  Soporte pinza bruh / Grupo de anuncios - 11/1/2025 0:00:19.292 — 100% del gasto del grupo</t>
  </si>
  <si>
    <t xml:space="preserve">   ✔ usado  Campaña - 2/5/2025 11:00:04.617 / el malo va bien :( — 100% del gasto del grupo</t>
  </si>
  <si>
    <t xml:space="preserve">   ✔ usado  Soporte pinza a ver / Pinza — 100% del gasto del grupo</t>
  </si>
  <si>
    <t xml:space="preserve">   ✔ usado  Soporte móvil pinza / Pinza — 99% del gasto del grupo</t>
  </si>
  <si>
    <t xml:space="preserve">   ✘ fuera   Soporte móvil AC / Básico — 79% del gasto del grupo</t>
  </si>
  <si>
    <t xml:space="preserve">   ✘ fuera   Soporte móvil pinza / Salpicadero sin ventosa — 68% del gasto del grupo</t>
  </si>
  <si>
    <t xml:space="preserve">La selección suma la misma keyword + coincidencia de todos los grupos (p. ej. 'de pinza' Amplia está en 2 grupos).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</si>
</sst>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-0.0%;\-"/>
    <numFmt numFmtId="166" formatCode="#,##0.00&quot; €&quot;;\-#,##0.00&quot; €&quot;;\-"/>
    <numFmt numFmtId="167" formatCode="0"/>
    <numFmt numFmtId="168" formatCode="#,##0;\-#,##0;\-"/>
    <numFmt numFmtId="169" formatCode="0.00;\-0.00;\-"/>
    <numFmt numFmtId="170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232F3E"/>
        <bgColor rgb="FF333300"/>
      </patternFill>
    </fill>
    <fill>
      <patternFill patternType="solid">
        <fgColor rgb="FF37475A"/>
        <bgColor rgb="FF232F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7475A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0.35</v>
      </c>
      <c r="C5" s="4" t="s">
        <v>4</v>
      </c>
    </row>
    <row r="6" customFormat="false" ht="15" hidden="false" customHeight="false" outlineLevel="0" collapsed="false">
      <c r="A6" s="4" t="s">
        <v>5</v>
      </c>
      <c r="B6" s="6" t="n">
        <v>11.24</v>
      </c>
      <c r="C6" s="4" t="s">
        <v>6</v>
      </c>
    </row>
    <row r="7" customFormat="false" ht="15" hidden="false" customHeight="false" outlineLevel="0" collapsed="false">
      <c r="A7" s="4" t="s">
        <v>7</v>
      </c>
      <c r="B7" s="6" t="n">
        <v>100</v>
      </c>
      <c r="C7" s="4" t="s">
        <v>8</v>
      </c>
    </row>
    <row r="8" customFormat="false" ht="15" hidden="false" customHeight="false" outlineLevel="0" collapsed="false">
      <c r="A8" s="4" t="s">
        <v>9</v>
      </c>
      <c r="B8" s="5" t="n">
        <v>0.5</v>
      </c>
      <c r="C8" s="4" t="s">
        <v>10</v>
      </c>
    </row>
    <row r="9" customFormat="false" ht="15" hidden="false" customHeight="false" outlineLevel="0" collapsed="false">
      <c r="A9" s="4" t="s">
        <v>11</v>
      </c>
      <c r="B9" s="7" t="n">
        <f aca="false">ROUND(B7*(1-B8)/30,2)</f>
        <v>1.67</v>
      </c>
      <c r="C9" s="4" t="s">
        <v>12</v>
      </c>
    </row>
    <row r="10" customFormat="false" ht="15" hidden="false" customHeight="false" outlineLevel="0" collapsed="false">
      <c r="A10" s="4" t="s">
        <v>13</v>
      </c>
      <c r="B10" s="8" t="n">
        <v>3</v>
      </c>
      <c r="C10" s="4" t="s">
        <v>14</v>
      </c>
    </row>
    <row r="11" customFormat="false" ht="15" hidden="false" customHeight="false" outlineLevel="0" collapsed="false">
      <c r="A11" s="4" t="s">
        <v>15</v>
      </c>
      <c r="B11" s="5" t="n">
        <v>0.5</v>
      </c>
      <c r="C11" s="4" t="s">
        <v>16</v>
      </c>
    </row>
    <row r="12" customFormat="false" ht="15" hidden="false" customHeight="false" outlineLevel="0" collapsed="false">
      <c r="A12" s="4" t="s">
        <v>17</v>
      </c>
      <c r="B12" s="8" t="n">
        <v>15</v>
      </c>
      <c r="C12" s="4" t="s">
        <v>18</v>
      </c>
    </row>
    <row r="13" customFormat="false" ht="15" hidden="false" customHeight="false" outlineLevel="0" collapsed="false">
      <c r="A13" s="4" t="s">
        <v>19</v>
      </c>
      <c r="B13" s="8" t="n">
        <v>10</v>
      </c>
      <c r="C13" s="4" t="s">
        <v>20</v>
      </c>
    </row>
    <row r="14" customFormat="false" ht="15" hidden="false" customHeight="false" outlineLevel="0" collapsed="false">
      <c r="A14" s="4" t="s">
        <v>21</v>
      </c>
      <c r="B14" s="7" t="n">
        <f aca="false">ROUND(B7*B8/30,2)</f>
        <v>1.67</v>
      </c>
      <c r="C14" s="4" t="s">
        <v>22</v>
      </c>
    </row>
    <row r="15" customFormat="false" ht="15" hidden="false" customHeight="false" outlineLevel="0" collapsed="false">
      <c r="A15" s="4" t="s">
        <v>23</v>
      </c>
      <c r="B15" s="8" t="n">
        <v>7</v>
      </c>
      <c r="C15" s="4" t="s">
        <v>24</v>
      </c>
    </row>
    <row r="17" customFormat="false" ht="15" hidden="false" customHeight="false" outlineLevel="0" collapsed="false">
      <c r="A17" s="3" t="s">
        <v>25</v>
      </c>
    </row>
    <row r="18" customFormat="false" ht="42" hidden="false" customHeight="true" outlineLevel="0" collapsed="false">
      <c r="A18" s="9" t="s">
        <v>26</v>
      </c>
      <c r="B18" s="9"/>
      <c r="C18" s="9"/>
    </row>
    <row r="19" customFormat="false" ht="42" hidden="false" customHeight="true" outlineLevel="0" collapsed="false">
      <c r="A19" s="9" t="s">
        <v>27</v>
      </c>
      <c r="B19" s="9"/>
      <c r="C19" s="9"/>
    </row>
    <row r="20" customFormat="false" ht="42" hidden="false" customHeight="true" outlineLevel="0" collapsed="false">
      <c r="A20" s="9" t="s">
        <v>28</v>
      </c>
      <c r="B20" s="9"/>
      <c r="C20" s="9"/>
    </row>
    <row r="21" customFormat="false" ht="42" hidden="false" customHeight="true" outlineLevel="0" collapsed="false">
      <c r="A21" s="9" t="s">
        <v>29</v>
      </c>
      <c r="B21" s="9"/>
      <c r="C21" s="9"/>
    </row>
    <row r="22" customFormat="false" ht="42" hidden="false" customHeight="true" outlineLevel="0" collapsed="false">
      <c r="A22" s="9" t="s">
        <v>30</v>
      </c>
      <c r="B22" s="9"/>
      <c r="C22" s="9"/>
    </row>
    <row r="23" customFormat="false" ht="42" hidden="false" customHeight="true" outlineLevel="0" collapsed="false">
      <c r="A23" s="9" t="s">
        <v>31</v>
      </c>
      <c r="B23" s="9"/>
      <c r="C23" s="9"/>
    </row>
    <row r="24" customFormat="false" ht="42" hidden="false" customHeight="true" outlineLevel="0" collapsed="false">
      <c r="A24" s="9" t="s">
        <v>32</v>
      </c>
      <c r="B24" s="9"/>
      <c r="C24" s="9"/>
    </row>
    <row r="26" customFormat="false" ht="15" hidden="false" customHeight="false" outlineLevel="0" collapsed="false">
      <c r="A26" s="3" t="s">
        <v>33</v>
      </c>
    </row>
    <row r="27" customFormat="false" ht="15" hidden="false" customHeight="false" outlineLevel="0" collapsed="false">
      <c r="A27" s="10" t="s">
        <v>34</v>
      </c>
      <c r="B27" s="11" t="s">
        <v>35</v>
      </c>
      <c r="C27" s="11"/>
    </row>
    <row r="28" customFormat="false" ht="15" hidden="false" customHeight="false" outlineLevel="0" collapsed="false">
      <c r="A28" s="12" t="s">
        <v>34</v>
      </c>
      <c r="B28" s="11" t="s">
        <v>36</v>
      </c>
      <c r="C28" s="11"/>
    </row>
    <row r="29" customFormat="false" ht="15" hidden="false" customHeight="false" outlineLevel="0" collapsed="false">
      <c r="A29" s="13" t="s">
        <v>34</v>
      </c>
      <c r="B29" s="11" t="s">
        <v>37</v>
      </c>
      <c r="C29" s="11"/>
    </row>
    <row r="30" customFormat="false" ht="15" hidden="false" customHeight="false" outlineLevel="0" collapsed="false">
      <c r="A30" s="14" t="s">
        <v>34</v>
      </c>
      <c r="B30" s="11" t="s">
        <v>38</v>
      </c>
      <c r="C30" s="11"/>
    </row>
    <row r="31" customFormat="false" ht="15" hidden="false" customHeight="false" outlineLevel="0" collapsed="false">
      <c r="A31" s="15" t="s">
        <v>34</v>
      </c>
      <c r="B31" s="11" t="s">
        <v>39</v>
      </c>
      <c r="C31" s="11"/>
    </row>
    <row r="33" customFormat="false" ht="15" hidden="false" customHeight="false" outlineLevel="0" collapsed="false">
      <c r="A33" s="3" t="s">
        <v>40</v>
      </c>
    </row>
    <row r="34" customFormat="false" ht="30" hidden="false" customHeight="true" outlineLevel="0" collapsed="false">
      <c r="A34" s="9" t="s">
        <v>41</v>
      </c>
      <c r="B34" s="9"/>
      <c r="C34" s="9"/>
    </row>
    <row r="35" customFormat="false" ht="30" hidden="false" customHeight="true" outlineLevel="0" collapsed="false">
      <c r="A35" s="9" t="s">
        <v>42</v>
      </c>
      <c r="B35" s="9"/>
      <c r="C35" s="9"/>
    </row>
    <row r="36" customFormat="false" ht="30" hidden="false" customHeight="true" outlineLevel="0" collapsed="false">
      <c r="A36" s="9" t="s">
        <v>43</v>
      </c>
      <c r="B36" s="9"/>
      <c r="C36" s="9"/>
    </row>
    <row r="37" customFormat="false" ht="30" hidden="false" customHeight="true" outlineLevel="0" collapsed="false">
      <c r="A37" s="9" t="s">
        <v>44</v>
      </c>
      <c r="B37" s="9"/>
      <c r="C37" s="9"/>
    </row>
    <row r="38" customFormat="false" ht="30" hidden="false" customHeight="true" outlineLevel="0" collapsed="false">
      <c r="A38" s="9" t="s">
        <v>45</v>
      </c>
      <c r="B38" s="9"/>
      <c r="C38" s="9"/>
    </row>
  </sheetData>
  <mergeCells count="17">
    <mergeCell ref="A18:C18"/>
    <mergeCell ref="A19:C19"/>
    <mergeCell ref="A20:C20"/>
    <mergeCell ref="A21:C21"/>
    <mergeCell ref="A22:C22"/>
    <mergeCell ref="A23:C23"/>
    <mergeCell ref="A24:C24"/>
    <mergeCell ref="B27:C27"/>
    <mergeCell ref="B28:C28"/>
    <mergeCell ref="B29:C29"/>
    <mergeCell ref="B30:C30"/>
    <mergeCell ref="B31:C31"/>
    <mergeCell ref="A34:C34"/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46</v>
      </c>
    </row>
    <row r="3" customFormat="false" ht="15" hidden="false" customHeight="false" outlineLevel="0" collapsed="false">
      <c r="A3" s="16" t="s">
        <v>47</v>
      </c>
      <c r="B3" s="16" t="s">
        <v>48</v>
      </c>
    </row>
    <row r="4" customFormat="false" ht="15" hidden="false" customHeight="false" outlineLevel="0" collapsed="false">
      <c r="A4" s="17" t="s">
        <v>49</v>
      </c>
      <c r="B4" s="18" t="s">
        <v>50</v>
      </c>
    </row>
    <row r="5" customFormat="false" ht="15" hidden="false" customHeight="false" outlineLevel="0" collapsed="false">
      <c r="A5" s="17" t="s">
        <v>51</v>
      </c>
      <c r="B5" s="19" t="s">
        <v>52</v>
      </c>
    </row>
    <row r="6" customFormat="false" ht="15" hidden="false" customHeight="false" outlineLevel="0" collapsed="false">
      <c r="A6" s="17" t="s">
        <v>53</v>
      </c>
      <c r="B6" s="18" t="s">
        <v>54</v>
      </c>
    </row>
    <row r="7" customFormat="false" ht="15" hidden="false" customHeight="false" outlineLevel="0" collapsed="false">
      <c r="A7" s="17" t="s">
        <v>55</v>
      </c>
      <c r="B7" s="19" t="s">
        <v>56</v>
      </c>
    </row>
    <row r="8" customFormat="false" ht="15" hidden="false" customHeight="false" outlineLevel="0" collapsed="false">
      <c r="A8" s="17" t="s">
        <v>57</v>
      </c>
      <c r="B8" s="20" t="n">
        <v>0.4</v>
      </c>
    </row>
    <row r="9" customFormat="false" ht="15" hidden="false" customHeight="false" outlineLevel="0" collapsed="false">
      <c r="A9" s="17" t="s">
        <v>58</v>
      </c>
      <c r="B9" s="18" t="s">
        <v>59</v>
      </c>
    </row>
    <row r="10" customFormat="false" ht="15" hidden="false" customHeight="false" outlineLevel="0" collapsed="false">
      <c r="A10" s="17" t="s">
        <v>60</v>
      </c>
      <c r="B10" s="21" t="n">
        <f aca="false">Leyenda!B9</f>
        <v>1.67</v>
      </c>
    </row>
    <row r="11" customFormat="false" ht="15" hidden="false" customHeight="false" outlineLevel="0" collapsed="false">
      <c r="A11" s="17" t="s">
        <v>61</v>
      </c>
      <c r="B11" s="19" t="s">
        <v>62</v>
      </c>
    </row>
    <row r="12" customFormat="false" ht="15" hidden="false" customHeight="false" outlineLevel="0" collapsed="false">
      <c r="A12" s="17" t="s">
        <v>63</v>
      </c>
      <c r="B12" s="19" t="s">
        <v>64</v>
      </c>
    </row>
    <row r="13" customFormat="false" ht="23.85" hidden="false" customHeight="false" outlineLevel="0" collapsed="false">
      <c r="A13" s="17" t="s">
        <v>65</v>
      </c>
      <c r="B13" s="19" t="s">
        <v>66</v>
      </c>
    </row>
    <row r="14" customFormat="false" ht="15" hidden="false" customHeight="false" outlineLevel="0" collapsed="false">
      <c r="A14" s="17" t="s">
        <v>67</v>
      </c>
      <c r="B14" s="19" t="s">
        <v>68</v>
      </c>
    </row>
    <row r="15" customFormat="false" ht="15" hidden="false" customHeight="false" outlineLevel="0" collapsed="false">
      <c r="A15" s="17" t="s">
        <v>69</v>
      </c>
      <c r="B15" s="19" t="s">
        <v>70</v>
      </c>
    </row>
    <row r="16" customFormat="false" ht="15" hidden="false" customHeight="false" outlineLevel="0" collapsed="false">
      <c r="A16" s="17" t="s">
        <v>71</v>
      </c>
      <c r="B16" s="18" t="s">
        <v>72</v>
      </c>
    </row>
    <row r="17" customFormat="false" ht="15" hidden="false" customHeight="false" outlineLevel="0" collapsed="false">
      <c r="A17" s="17" t="s">
        <v>73</v>
      </c>
      <c r="B17" s="18" t="s">
        <v>74</v>
      </c>
    </row>
    <row r="18" customFormat="false" ht="15" hidden="false" customHeight="false" outlineLevel="0" collapsed="false">
      <c r="A18" s="17" t="s">
        <v>75</v>
      </c>
      <c r="B18" s="18" t="s">
        <v>76</v>
      </c>
    </row>
    <row r="19" customFormat="false" ht="15" hidden="false" customHeight="false" outlineLevel="0" collapsed="false">
      <c r="A19" s="17" t="s">
        <v>77</v>
      </c>
      <c r="B19" s="18" t="s">
        <v>76</v>
      </c>
    </row>
    <row r="20" customFormat="false" ht="15" hidden="false" customHeight="false" outlineLevel="0" collapsed="false">
      <c r="A20" s="17"/>
      <c r="B20" s="19"/>
    </row>
    <row r="21" customFormat="false" ht="15" hidden="false" customHeight="false" outlineLevel="0" collapsed="false">
      <c r="A21" s="22" t="s">
        <v>78</v>
      </c>
      <c r="B21" s="19"/>
    </row>
    <row r="22" customFormat="false" ht="15" hidden="false" customHeight="false" outlineLevel="0" collapsed="false">
      <c r="A22" s="17" t="s">
        <v>49</v>
      </c>
      <c r="B22" s="18" t="s">
        <v>79</v>
      </c>
    </row>
    <row r="23" customFormat="false" ht="15" hidden="false" customHeight="false" outlineLevel="0" collapsed="false">
      <c r="A23" s="17" t="s">
        <v>51</v>
      </c>
      <c r="B23" s="19" t="s">
        <v>80</v>
      </c>
    </row>
    <row r="24" customFormat="false" ht="15" hidden="false" customHeight="false" outlineLevel="0" collapsed="false">
      <c r="A24" s="17" t="s">
        <v>81</v>
      </c>
      <c r="B24" s="21" t="n">
        <f aca="false">Leyenda!B14</f>
        <v>1.67</v>
      </c>
    </row>
    <row r="25" customFormat="false" ht="15" hidden="false" customHeight="false" outlineLevel="0" collapsed="false">
      <c r="A25" s="17" t="s">
        <v>82</v>
      </c>
      <c r="B25" s="18" t="s">
        <v>59</v>
      </c>
    </row>
    <row r="26" customFormat="false" ht="15" hidden="false" customHeight="false" outlineLevel="0" collapsed="false">
      <c r="A26" s="17" t="s">
        <v>83</v>
      </c>
      <c r="B26" s="19" t="s">
        <v>84</v>
      </c>
    </row>
    <row r="27" customFormat="false" ht="15" hidden="false" customHeight="false" outlineLevel="0" collapsed="false">
      <c r="A27" s="17" t="s">
        <v>85</v>
      </c>
      <c r="B27" s="18" t="s">
        <v>86</v>
      </c>
    </row>
    <row r="28" customFormat="false" ht="15" hidden="false" customHeight="false" outlineLevel="0" collapsed="false">
      <c r="A28" s="17" t="s">
        <v>87</v>
      </c>
      <c r="B28" s="20" t="n">
        <v>0.3</v>
      </c>
    </row>
    <row r="29" customFormat="false" ht="15" hidden="false" customHeight="false" outlineLevel="0" collapsed="false">
      <c r="A29" s="17" t="s">
        <v>88</v>
      </c>
      <c r="B29" s="19" t="s">
        <v>89</v>
      </c>
    </row>
    <row r="30" customFormat="false" ht="15" hidden="false" customHeight="false" outlineLevel="0" collapsed="false">
      <c r="A30" s="17" t="s">
        <v>67</v>
      </c>
      <c r="B30" s="19" t="s">
        <v>90</v>
      </c>
    </row>
    <row r="31" customFormat="false" ht="15" hidden="false" customHeight="false" outlineLevel="0" collapsed="false">
      <c r="A31" s="17" t="s">
        <v>91</v>
      </c>
      <c r="B31" s="19" t="s">
        <v>92</v>
      </c>
    </row>
    <row r="32" customFormat="false" ht="15" hidden="false" customHeight="false" outlineLevel="0" collapsed="false">
      <c r="A32" s="17" t="s">
        <v>93</v>
      </c>
      <c r="B32" s="19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7" min="15" style="0" width="11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22"/>
    <col collapsed="false" customWidth="true" hidden="false" outlineLevel="0" max="22" min="22" style="0" width="30"/>
    <col collapsed="false" customWidth="true" hidden="true" outlineLevel="0" max="23" min="23" style="0" width="0.1"/>
  </cols>
  <sheetData>
    <row r="1" customFormat="false" ht="15" hidden="false" customHeight="false" outlineLevel="0" collapsed="false">
      <c r="A1" s="3" t="s">
        <v>95</v>
      </c>
    </row>
    <row r="3" customFormat="false" ht="42" hidden="false" customHeight="true" outlineLevel="0" collapsed="false">
      <c r="A3" s="16" t="s">
        <v>55</v>
      </c>
      <c r="B3" s="16" t="s">
        <v>96</v>
      </c>
      <c r="C3" s="16" t="s">
        <v>97</v>
      </c>
      <c r="D3" s="16" t="s">
        <v>98</v>
      </c>
      <c r="E3" s="16" t="s">
        <v>99</v>
      </c>
      <c r="F3" s="16" t="s">
        <v>100</v>
      </c>
      <c r="G3" s="16" t="s">
        <v>101</v>
      </c>
      <c r="H3" s="16" t="s">
        <v>102</v>
      </c>
      <c r="I3" s="16" t="s">
        <v>103</v>
      </c>
      <c r="J3" s="16" t="s">
        <v>104</v>
      </c>
      <c r="K3" s="16" t="s">
        <v>105</v>
      </c>
      <c r="L3" s="16" t="s">
        <v>106</v>
      </c>
      <c r="M3" s="16" t="s">
        <v>107</v>
      </c>
      <c r="N3" s="23" t="s">
        <v>108</v>
      </c>
      <c r="O3" s="23" t="s">
        <v>109</v>
      </c>
      <c r="P3" s="23" t="s">
        <v>110</v>
      </c>
      <c r="Q3" s="23" t="s">
        <v>111</v>
      </c>
      <c r="R3" s="23" t="s">
        <v>112</v>
      </c>
      <c r="S3" s="23" t="s">
        <v>113</v>
      </c>
      <c r="T3" s="23" t="s">
        <v>114</v>
      </c>
      <c r="U3" s="23" t="s">
        <v>115</v>
      </c>
      <c r="V3" s="23" t="s">
        <v>116</v>
      </c>
      <c r="W3" s="23" t="s">
        <v>117</v>
      </c>
    </row>
    <row r="4" customFormat="false" ht="15" hidden="false" customHeight="false" outlineLevel="0" collapsed="false">
      <c r="A4" s="4" t="str">
        <f aca="false">IFERROR(INDEX(Seguimiento!$D:$D,MATCH(W4&amp;"#"&amp;_xlfn.MAXIFS(Seguimiento!$A:$A,Seguimiento!$Q:$Q,W4),Seguimiento!$R:$R,0)),"Activado")</f>
        <v>Activado</v>
      </c>
      <c r="B4" s="12" t="s">
        <v>118</v>
      </c>
      <c r="C4" s="4" t="s">
        <v>119</v>
      </c>
      <c r="D4" s="7" t="n">
        <f aca="false">IFERROR(IF(_xlfn.MAXIFS(Seguimiento!$A:$A,Seguimiento!$Q:$Q,W4)=0,O4,SUMIFS(Seguimiento!$F:$F,Seguimiento!$Q:$Q,W4,Seguimiento!$A:$A,_xlfn.MAXIFS(Seguimiento!$A:$A,Seguimiento!$Q:$Q,W4))),O4)</f>
        <v>0.78</v>
      </c>
      <c r="E4" s="24" t="n">
        <f aca="false">IFERROR(SUMIFS(Seguimiento!$G:$G,Seguimiento!$Q:$Q,W4,Seguimiento!$A:$A,_xlfn.MAXIFS(Seguimiento!$A:$A,Seguimiento!$Q:$Q,W4)),0)</f>
        <v>0</v>
      </c>
      <c r="F4" s="24" t="n">
        <f aca="false">IFERROR(SUMIFS(Seguimiento!$H:$H,Seguimiento!$Q:$Q,W4,Seguimiento!$A:$A,_xlfn.MAXIFS(Seguimiento!$A:$A,Seguimiento!$Q:$Q,W4)),0)</f>
        <v>0</v>
      </c>
      <c r="G4" s="25" t="n">
        <f aca="false">IFERROR(F4/E4,0)</f>
        <v>0</v>
      </c>
      <c r="H4" s="7" t="n">
        <f aca="false">IFERROR(SUMIFS(Seguimiento!$I:$I,Seguimiento!$Q:$Q,W4,Seguimiento!$A:$A,_xlfn.MAXIFS(Seguimiento!$A:$A,Seguimiento!$Q:$Q,W4)),0)</f>
        <v>0</v>
      </c>
      <c r="I4" s="7" t="n">
        <f aca="false">IFERROR(H4/F4,0)</f>
        <v>0</v>
      </c>
      <c r="J4" s="24" t="n">
        <f aca="false">IFERROR(SUMIFS(Seguimiento!$J:$J,Seguimiento!$Q:$Q,W4,Seguimiento!$A:$A,_xlfn.MAXIFS(Seguimiento!$A:$A,Seguimiento!$Q:$Q,W4)),0)</f>
        <v>0</v>
      </c>
      <c r="K4" s="7" t="n">
        <f aca="false">IFERROR(SUMIFS(Seguimiento!$K:$K,Seguimiento!$Q:$Q,W4,Seguimiento!$A:$A,_xlfn.MAXIFS(Seguimiento!$A:$A,Seguimiento!$Q:$Q,W4)),0)</f>
        <v>0</v>
      </c>
      <c r="L4" s="25" t="n">
        <f aca="false">IFERROR(H4/K4,0)</f>
        <v>0</v>
      </c>
      <c r="M4" s="26" t="n">
        <f aca="false">IFERROR(K4/H4,0)</f>
        <v>0</v>
      </c>
      <c r="N4" s="12" t="s">
        <v>120</v>
      </c>
      <c r="O4" s="6" t="n">
        <v>0.78</v>
      </c>
      <c r="P4" s="7" t="n">
        <f aca="false">ROUND(O4*(1-Leyenda!$B$11),2)</f>
        <v>0.39</v>
      </c>
      <c r="Q4" s="7" t="n">
        <f aca="false">ROUND(O4*(1+Leyenda!$B$11),2)</f>
        <v>1.17</v>
      </c>
      <c r="R4" s="7" t="n">
        <v>0.85</v>
      </c>
      <c r="S4" s="4" t="s">
        <v>121</v>
      </c>
      <c r="T4" s="27" t="n">
        <f aca="false">IFERROR(IF(_xlfn.MAXIFS(Seguimiento!$A:$A,Seguimiento!$Q:$Q,W4)=0,"",_xlfn.MAXIFS(Seguimiento!$A:$A,Seguimiento!$Q:$Q,W4)),"")</f>
        <v>46290</v>
      </c>
      <c r="U4" s="4" t="str">
        <f aca="false">IF(AND(F4&gt;=Leyenda!$B$12,J4=0),"PAUSAR (≥15 clics sin venta)",IF(AND(D4&lt;=P4,F4&gt;=20,L4&gt;0.5),"PAUSAR (puja mínima y ACOS&gt;50%)",""))</f>
        <v/>
      </c>
      <c r="V4" s="4" t="str">
        <f aca="false">IF(LEFT(U4,6)="PAUSAR","Pausar y crear ticket",IF(F4&lt;Leyenda!$B$13,"Esperar (menos de 10 clics)",IF(J4=0,"Sin ventas aún: vigilar",IF(L4&lt;0.3,"Subir 10-25% (máx. "&amp;TEXT(MIN(Q4,R4),"0.00")&amp;" €)",IF(L4&lt;=Leyenda!$B$5,"En objetivo: no tocar",IF(L4&lt;=0.5,"Bajar 10-25% (mín. "&amp;TEXT(P4,"0.00")&amp;" €)","Bajar 25-50% (mín. "&amp;TEXT(P4,"0.00")&amp;" €)"))))))</f>
        <v>Esperar (menos de 10 clics)</v>
      </c>
      <c r="W4" s="4" t="str">
        <f aca="false">B4&amp;" | "&amp;C4</f>
        <v>soporte móvil para coche con pinza | Frase</v>
      </c>
    </row>
    <row r="5" customFormat="false" ht="15" hidden="false" customHeight="false" outlineLevel="0" collapsed="false">
      <c r="A5" s="4" t="str">
        <f aca="false">IFERROR(INDEX(Seguimiento!$D:$D,MATCH(W5&amp;"#"&amp;_xlfn.MAXIFS(Seguimiento!$A:$A,Seguimiento!$Q:$Q,W5),Seguimiento!$R:$R,0)),"Activado")</f>
        <v>Activado</v>
      </c>
      <c r="B5" s="12" t="s">
        <v>122</v>
      </c>
      <c r="C5" s="4" t="s">
        <v>123</v>
      </c>
      <c r="D5" s="7" t="n">
        <f aca="false">IFERROR(IF(_xlfn.MAXIFS(Seguimiento!$A:$A,Seguimiento!$Q:$Q,W5)=0,O5,SUMIFS(Seguimiento!$F:$F,Seguimiento!$Q:$Q,W5,Seguimiento!$A:$A,_xlfn.MAXIFS(Seguimiento!$A:$A,Seguimiento!$Q:$Q,W5))),O5)</f>
        <v>0.3</v>
      </c>
      <c r="E5" s="24" t="n">
        <f aca="false">IFERROR(SUMIFS(Seguimiento!$G:$G,Seguimiento!$Q:$Q,W5,Seguimiento!$A:$A,_xlfn.MAXIFS(Seguimiento!$A:$A,Seguimiento!$Q:$Q,W5)),0)</f>
        <v>0</v>
      </c>
      <c r="F5" s="24" t="n">
        <f aca="false">IFERROR(SUMIFS(Seguimiento!$H:$H,Seguimiento!$Q:$Q,W5,Seguimiento!$A:$A,_xlfn.MAXIFS(Seguimiento!$A:$A,Seguimiento!$Q:$Q,W5)),0)</f>
        <v>0</v>
      </c>
      <c r="G5" s="25" t="n">
        <f aca="false">IFERROR(F5/E5,0)</f>
        <v>0</v>
      </c>
      <c r="H5" s="7" t="n">
        <f aca="false">IFERROR(SUMIFS(Seguimiento!$I:$I,Seguimiento!$Q:$Q,W5,Seguimiento!$A:$A,_xlfn.MAXIFS(Seguimiento!$A:$A,Seguimiento!$Q:$Q,W5)),0)</f>
        <v>0</v>
      </c>
      <c r="I5" s="7" t="n">
        <f aca="false">IFERROR(H5/F5,0)</f>
        <v>0</v>
      </c>
      <c r="J5" s="24" t="n">
        <f aca="false">IFERROR(SUMIFS(Seguimiento!$J:$J,Seguimiento!$Q:$Q,W5,Seguimiento!$A:$A,_xlfn.MAXIFS(Seguimiento!$A:$A,Seguimiento!$Q:$Q,W5)),0)</f>
        <v>0</v>
      </c>
      <c r="K5" s="7" t="n">
        <f aca="false">IFERROR(SUMIFS(Seguimiento!$K:$K,Seguimiento!$Q:$Q,W5,Seguimiento!$A:$A,_xlfn.MAXIFS(Seguimiento!$A:$A,Seguimiento!$Q:$Q,W5)),0)</f>
        <v>0</v>
      </c>
      <c r="L5" s="25" t="n">
        <f aca="false">IFERROR(H5/K5,0)</f>
        <v>0</v>
      </c>
      <c r="M5" s="26" t="n">
        <f aca="false">IFERROR(K5/H5,0)</f>
        <v>0</v>
      </c>
      <c r="N5" s="12" t="s">
        <v>120</v>
      </c>
      <c r="O5" s="6" t="n">
        <v>0.3</v>
      </c>
      <c r="P5" s="7" t="n">
        <f aca="false">ROUND(O5*(1-Leyenda!$B$11),2)</f>
        <v>0.15</v>
      </c>
      <c r="Q5" s="7" t="n">
        <f aca="false">ROUND(O5*(1+Leyenda!$B$11),2)</f>
        <v>0.45</v>
      </c>
      <c r="R5" s="7" t="n">
        <v>0.4</v>
      </c>
      <c r="S5" s="4" t="s">
        <v>124</v>
      </c>
      <c r="T5" s="27" t="n">
        <f aca="false">IFERROR(IF(_xlfn.MAXIFS(Seguimiento!$A:$A,Seguimiento!$Q:$Q,W5)=0,"",_xlfn.MAXIFS(Seguimiento!$A:$A,Seguimiento!$Q:$Q,W5)),"")</f>
        <v>46290</v>
      </c>
      <c r="U5" s="4" t="str">
        <f aca="false">IF(AND(F5&gt;=Leyenda!$B$12,J5=0),"PAUSAR (≥15 clics sin venta)",IF(AND(D5&lt;=P5,F5&gt;=20,L5&gt;0.5),"PAUSAR (puja mínima y ACOS&gt;50%)",""))</f>
        <v/>
      </c>
      <c r="V5" s="4" t="str">
        <f aca="false">IF(LEFT(U5,6)="PAUSAR","Pausar y crear ticket",IF(F5&lt;Leyenda!$B$13,"Esperar (menos de 10 clics)",IF(J5=0,"Sin ventas aún: vigilar",IF(L5&lt;0.3,"Subir 10-25% (máx. "&amp;TEXT(MIN(Q5,R5),"0.00")&amp;" €)",IF(L5&lt;=Leyenda!$B$5,"En objetivo: no tocar",IF(L5&lt;=0.5,"Bajar 10-25% (mín. "&amp;TEXT(P5,"0.00")&amp;" €)","Bajar 25-50% (mín. "&amp;TEXT(P5,"0.00")&amp;" €)"))))))</f>
        <v>Esperar (menos de 10 clics)</v>
      </c>
      <c r="W5" s="4" t="str">
        <f aca="false">B5&amp;" | "&amp;C5</f>
        <v>soporte móvil para coche de pinza para salpicadero | Amplia</v>
      </c>
    </row>
    <row r="6" customFormat="false" ht="15" hidden="false" customHeight="false" outlineLevel="0" collapsed="false">
      <c r="A6" s="4" t="str">
        <f aca="false">IFERROR(INDEX(Seguimiento!$D:$D,MATCH(W6&amp;"#"&amp;_xlfn.MAXIFS(Seguimiento!$A:$A,Seguimiento!$Q:$Q,W6),Seguimiento!$R:$R,0)),"Activado")</f>
        <v>Activado</v>
      </c>
      <c r="B6" s="12" t="s">
        <v>125</v>
      </c>
      <c r="C6" s="4" t="s">
        <v>126</v>
      </c>
      <c r="D6" s="7" t="n">
        <f aca="false">IFERROR(IF(_xlfn.MAXIFS(Seguimiento!$A:$A,Seguimiento!$Q:$Q,W6)=0,O6,SUMIFS(Seguimiento!$F:$F,Seguimiento!$Q:$Q,W6,Seguimiento!$A:$A,_xlfn.MAXIFS(Seguimiento!$A:$A,Seguimiento!$Q:$Q,W6))),O6)</f>
        <v>0.51</v>
      </c>
      <c r="E6" s="24" t="n">
        <f aca="false">IFERROR(SUMIFS(Seguimiento!$G:$G,Seguimiento!$Q:$Q,W6,Seguimiento!$A:$A,_xlfn.MAXIFS(Seguimiento!$A:$A,Seguimiento!$Q:$Q,W6)),0)</f>
        <v>0</v>
      </c>
      <c r="F6" s="24" t="n">
        <f aca="false">IFERROR(SUMIFS(Seguimiento!$H:$H,Seguimiento!$Q:$Q,W6,Seguimiento!$A:$A,_xlfn.MAXIFS(Seguimiento!$A:$A,Seguimiento!$Q:$Q,W6)),0)</f>
        <v>0</v>
      </c>
      <c r="G6" s="25" t="n">
        <f aca="false">IFERROR(F6/E6,0)</f>
        <v>0</v>
      </c>
      <c r="H6" s="7" t="n">
        <f aca="false">IFERROR(SUMIFS(Seguimiento!$I:$I,Seguimiento!$Q:$Q,W6,Seguimiento!$A:$A,_xlfn.MAXIFS(Seguimiento!$A:$A,Seguimiento!$Q:$Q,W6)),0)</f>
        <v>0</v>
      </c>
      <c r="I6" s="7" t="n">
        <f aca="false">IFERROR(H6/F6,0)</f>
        <v>0</v>
      </c>
      <c r="J6" s="24" t="n">
        <f aca="false">IFERROR(SUMIFS(Seguimiento!$J:$J,Seguimiento!$Q:$Q,W6,Seguimiento!$A:$A,_xlfn.MAXIFS(Seguimiento!$A:$A,Seguimiento!$Q:$Q,W6)),0)</f>
        <v>0</v>
      </c>
      <c r="K6" s="7" t="n">
        <f aca="false">IFERROR(SUMIFS(Seguimiento!$K:$K,Seguimiento!$Q:$Q,W6,Seguimiento!$A:$A,_xlfn.MAXIFS(Seguimiento!$A:$A,Seguimiento!$Q:$Q,W6)),0)</f>
        <v>0</v>
      </c>
      <c r="L6" s="25" t="n">
        <f aca="false">IFERROR(H6/K6,0)</f>
        <v>0</v>
      </c>
      <c r="M6" s="26" t="n">
        <f aca="false">IFERROR(K6/H6,0)</f>
        <v>0</v>
      </c>
      <c r="N6" s="12" t="s">
        <v>120</v>
      </c>
      <c r="O6" s="6" t="n">
        <v>0.51</v>
      </c>
      <c r="P6" s="7" t="n">
        <f aca="false">ROUND(O6*(1-Leyenda!$B$11),2)</f>
        <v>0.26</v>
      </c>
      <c r="Q6" s="7" t="n">
        <f aca="false">ROUND(O6*(1+Leyenda!$B$11),2)</f>
        <v>0.77</v>
      </c>
      <c r="R6" s="7" t="n">
        <v>0.6</v>
      </c>
      <c r="S6" s="4" t="s">
        <v>127</v>
      </c>
      <c r="T6" s="27" t="n">
        <f aca="false">IFERROR(IF(_xlfn.MAXIFS(Seguimiento!$A:$A,Seguimiento!$Q:$Q,W6)=0,"",_xlfn.MAXIFS(Seguimiento!$A:$A,Seguimiento!$Q:$Q,W6)),"")</f>
        <v>46290</v>
      </c>
      <c r="U6" s="4" t="str">
        <f aca="false">IF(AND(F6&gt;=Leyenda!$B$12,J6=0),"PAUSAR (≥15 clics sin venta)",IF(AND(D6&lt;=P6,F6&gt;=20,L6&gt;0.5),"PAUSAR (puja mínima y ACOS&gt;50%)",""))</f>
        <v/>
      </c>
      <c r="V6" s="4" t="str">
        <f aca="false">IF(LEFT(U6,6)="PAUSAR","Pausar y crear ticket",IF(F6&lt;Leyenda!$B$13,"Esperar (menos de 10 clics)",IF(J6=0,"Sin ventas aún: vigilar",IF(L6&lt;0.3,"Subir 10-25% (máx. "&amp;TEXT(MIN(Q6,R6),"0.00")&amp;" €)",IF(L6&lt;=Leyenda!$B$5,"En objetivo: no tocar",IF(L6&lt;=0.5,"Bajar 10-25% (mín. "&amp;TEXT(P6,"0.00")&amp;" €)","Bajar 25-50% (mín. "&amp;TEXT(P6,"0.00")&amp;" €)"))))))</f>
        <v>Esperar (menos de 10 clics)</v>
      </c>
      <c r="W6" s="4" t="str">
        <f aca="false">B6&amp;" | "&amp;C6</f>
        <v>soporte móvil para coche de pinza | Exacta</v>
      </c>
    </row>
    <row r="7" customFormat="false" ht="15" hidden="false" customHeight="false" outlineLevel="0" collapsed="false">
      <c r="A7" s="4" t="str">
        <f aca="false">IFERROR(INDEX(Seguimiento!$D:$D,MATCH(W7&amp;"#"&amp;_xlfn.MAXIFS(Seguimiento!$A:$A,Seguimiento!$Q:$Q,W7),Seguimiento!$R:$R,0)),"Activado")</f>
        <v>Activado</v>
      </c>
      <c r="B7" s="12" t="s">
        <v>125</v>
      </c>
      <c r="C7" s="4" t="s">
        <v>123</v>
      </c>
      <c r="D7" s="7" t="n">
        <f aca="false">IFERROR(IF(_xlfn.MAXIFS(Seguimiento!$A:$A,Seguimiento!$Q:$Q,W7)=0,O7,SUMIFS(Seguimiento!$F:$F,Seguimiento!$Q:$Q,W7,Seguimiento!$A:$A,_xlfn.MAXIFS(Seguimiento!$A:$A,Seguimiento!$Q:$Q,W7))),O7)</f>
        <v>0.41</v>
      </c>
      <c r="E7" s="24" t="n">
        <f aca="false">IFERROR(SUMIFS(Seguimiento!$G:$G,Seguimiento!$Q:$Q,W7,Seguimiento!$A:$A,_xlfn.MAXIFS(Seguimiento!$A:$A,Seguimiento!$Q:$Q,W7)),0)</f>
        <v>0</v>
      </c>
      <c r="F7" s="24" t="n">
        <f aca="false">IFERROR(SUMIFS(Seguimiento!$H:$H,Seguimiento!$Q:$Q,W7,Seguimiento!$A:$A,_xlfn.MAXIFS(Seguimiento!$A:$A,Seguimiento!$Q:$Q,W7)),0)</f>
        <v>0</v>
      </c>
      <c r="G7" s="25" t="n">
        <f aca="false">IFERROR(F7/E7,0)</f>
        <v>0</v>
      </c>
      <c r="H7" s="7" t="n">
        <f aca="false">IFERROR(SUMIFS(Seguimiento!$I:$I,Seguimiento!$Q:$Q,W7,Seguimiento!$A:$A,_xlfn.MAXIFS(Seguimiento!$A:$A,Seguimiento!$Q:$Q,W7)),0)</f>
        <v>0</v>
      </c>
      <c r="I7" s="7" t="n">
        <f aca="false">IFERROR(H7/F7,0)</f>
        <v>0</v>
      </c>
      <c r="J7" s="24" t="n">
        <f aca="false">IFERROR(SUMIFS(Seguimiento!$J:$J,Seguimiento!$Q:$Q,W7,Seguimiento!$A:$A,_xlfn.MAXIFS(Seguimiento!$A:$A,Seguimiento!$Q:$Q,W7)),0)</f>
        <v>0</v>
      </c>
      <c r="K7" s="7" t="n">
        <f aca="false">IFERROR(SUMIFS(Seguimiento!$K:$K,Seguimiento!$Q:$Q,W7,Seguimiento!$A:$A,_xlfn.MAXIFS(Seguimiento!$A:$A,Seguimiento!$Q:$Q,W7)),0)</f>
        <v>0</v>
      </c>
      <c r="L7" s="25" t="n">
        <f aca="false">IFERROR(H7/K7,0)</f>
        <v>0</v>
      </c>
      <c r="M7" s="26" t="n">
        <f aca="false">IFERROR(K7/H7,0)</f>
        <v>0</v>
      </c>
      <c r="N7" s="12" t="s">
        <v>120</v>
      </c>
      <c r="O7" s="6" t="n">
        <v>0.41</v>
      </c>
      <c r="P7" s="7" t="n">
        <f aca="false">ROUND(O7*(1-Leyenda!$B$11),2)</f>
        <v>0.21</v>
      </c>
      <c r="Q7" s="7" t="n">
        <f aca="false">ROUND(O7*(1+Leyenda!$B$11),2)</f>
        <v>0.62</v>
      </c>
      <c r="R7" s="7" t="n">
        <v>0.41</v>
      </c>
      <c r="S7" s="4" t="s">
        <v>128</v>
      </c>
      <c r="T7" s="27" t="n">
        <f aca="false">IFERROR(IF(_xlfn.MAXIFS(Seguimiento!$A:$A,Seguimiento!$Q:$Q,W7)=0,"",_xlfn.MAXIFS(Seguimiento!$A:$A,Seguimiento!$Q:$Q,W7)),"")</f>
        <v>46290</v>
      </c>
      <c r="U7" s="4" t="str">
        <f aca="false">IF(AND(F7&gt;=Leyenda!$B$12,J7=0),"PAUSAR (≥15 clics sin venta)",IF(AND(D7&lt;=P7,F7&gt;=20,L7&gt;0.5),"PAUSAR (puja mínima y ACOS&gt;50%)",""))</f>
        <v/>
      </c>
      <c r="V7" s="4" t="str">
        <f aca="false">IF(LEFT(U7,6)="PAUSAR","Pausar y crear ticket",IF(F7&lt;Leyenda!$B$13,"Esperar (menos de 10 clics)",IF(J7=0,"Sin ventas aún: vigilar",IF(L7&lt;0.3,"Subir 10-25% (máx. "&amp;TEXT(MIN(Q7,R7),"0.00")&amp;" €)",IF(L7&lt;=Leyenda!$B$5,"En objetivo: no tocar",IF(L7&lt;=0.5,"Bajar 10-25% (mín. "&amp;TEXT(P7,"0.00")&amp;" €)","Bajar 25-50% (mín. "&amp;TEXT(P7,"0.00")&amp;" €)"))))))</f>
        <v>Esperar (menos de 10 clics)</v>
      </c>
      <c r="W7" s="4" t="str">
        <f aca="false">B7&amp;" | "&amp;C7</f>
        <v>soporte móvil para coche de pinza | Amplia</v>
      </c>
    </row>
    <row r="8" customFormat="false" ht="15" hidden="false" customHeight="false" outlineLevel="0" collapsed="false">
      <c r="A8" s="4" t="str">
        <f aca="false">IFERROR(INDEX(Seguimiento!$D:$D,MATCH(W8&amp;"#"&amp;_xlfn.MAXIFS(Seguimiento!$A:$A,Seguimiento!$Q:$Q,W8),Seguimiento!$R:$R,0)),"Activado")</f>
        <v>Activado</v>
      </c>
      <c r="B8" s="12" t="s">
        <v>118</v>
      </c>
      <c r="C8" s="4" t="s">
        <v>123</v>
      </c>
      <c r="D8" s="7" t="n">
        <f aca="false">IFERROR(IF(_xlfn.MAXIFS(Seguimiento!$A:$A,Seguimiento!$Q:$Q,W8)=0,O8,SUMIFS(Seguimiento!$F:$F,Seguimiento!$Q:$Q,W8,Seguimiento!$A:$A,_xlfn.MAXIFS(Seguimiento!$A:$A,Seguimiento!$Q:$Q,W8))),O8)</f>
        <v>0.41</v>
      </c>
      <c r="E8" s="24" t="n">
        <f aca="false">IFERROR(SUMIFS(Seguimiento!$G:$G,Seguimiento!$Q:$Q,W8,Seguimiento!$A:$A,_xlfn.MAXIFS(Seguimiento!$A:$A,Seguimiento!$Q:$Q,W8)),0)</f>
        <v>0</v>
      </c>
      <c r="F8" s="24" t="n">
        <f aca="false">IFERROR(SUMIFS(Seguimiento!$H:$H,Seguimiento!$Q:$Q,W8,Seguimiento!$A:$A,_xlfn.MAXIFS(Seguimiento!$A:$A,Seguimiento!$Q:$Q,W8)),0)</f>
        <v>0</v>
      </c>
      <c r="G8" s="25" t="n">
        <f aca="false">IFERROR(F8/E8,0)</f>
        <v>0</v>
      </c>
      <c r="H8" s="7" t="n">
        <f aca="false">IFERROR(SUMIFS(Seguimiento!$I:$I,Seguimiento!$Q:$Q,W8,Seguimiento!$A:$A,_xlfn.MAXIFS(Seguimiento!$A:$A,Seguimiento!$Q:$Q,W8)),0)</f>
        <v>0</v>
      </c>
      <c r="I8" s="7" t="n">
        <f aca="false">IFERROR(H8/F8,0)</f>
        <v>0</v>
      </c>
      <c r="J8" s="24" t="n">
        <f aca="false">IFERROR(SUMIFS(Seguimiento!$J:$J,Seguimiento!$Q:$Q,W8,Seguimiento!$A:$A,_xlfn.MAXIFS(Seguimiento!$A:$A,Seguimiento!$Q:$Q,W8)),0)</f>
        <v>0</v>
      </c>
      <c r="K8" s="7" t="n">
        <f aca="false">IFERROR(SUMIFS(Seguimiento!$K:$K,Seguimiento!$Q:$Q,W8,Seguimiento!$A:$A,_xlfn.MAXIFS(Seguimiento!$A:$A,Seguimiento!$Q:$Q,W8)),0)</f>
        <v>0</v>
      </c>
      <c r="L8" s="25" t="n">
        <f aca="false">IFERROR(H8/K8,0)</f>
        <v>0</v>
      </c>
      <c r="M8" s="26" t="n">
        <f aca="false">IFERROR(K8/H8,0)</f>
        <v>0</v>
      </c>
      <c r="N8" s="12" t="s">
        <v>120</v>
      </c>
      <c r="O8" s="6" t="n">
        <v>0.41</v>
      </c>
      <c r="P8" s="7" t="n">
        <f aca="false">ROUND(O8*(1-Leyenda!$B$11),2)</f>
        <v>0.21</v>
      </c>
      <c r="Q8" s="7" t="n">
        <f aca="false">ROUND(O8*(1+Leyenda!$B$11),2)</f>
        <v>0.62</v>
      </c>
      <c r="R8" s="7" t="n">
        <v>0.44</v>
      </c>
      <c r="S8" s="4" t="s">
        <v>129</v>
      </c>
      <c r="T8" s="27" t="n">
        <f aca="false">IFERROR(IF(_xlfn.MAXIFS(Seguimiento!$A:$A,Seguimiento!$Q:$Q,W8)=0,"",_xlfn.MAXIFS(Seguimiento!$A:$A,Seguimiento!$Q:$Q,W8)),"")</f>
        <v>46290</v>
      </c>
      <c r="U8" s="4" t="str">
        <f aca="false">IF(AND(F8&gt;=Leyenda!$B$12,J8=0),"PAUSAR (≥15 clics sin venta)",IF(AND(D8&lt;=P8,F8&gt;=20,L8&gt;0.5),"PAUSAR (puja mínima y ACOS&gt;50%)",""))</f>
        <v/>
      </c>
      <c r="V8" s="4" t="str">
        <f aca="false">IF(LEFT(U8,6)="PAUSAR","Pausar y crear ticket",IF(F8&lt;Leyenda!$B$13,"Esperar (menos de 10 clics)",IF(J8=0,"Sin ventas aún: vigilar",IF(L8&lt;0.3,"Subir 10-25% (máx. "&amp;TEXT(MIN(Q8,R8),"0.00")&amp;" €)",IF(L8&lt;=Leyenda!$B$5,"En objetivo: no tocar",IF(L8&lt;=0.5,"Bajar 10-25% (mín. "&amp;TEXT(P8,"0.00")&amp;" €)","Bajar 25-50% (mín. "&amp;TEXT(P8,"0.00")&amp;" €)"))))))</f>
        <v>Esperar (menos de 10 clics)</v>
      </c>
      <c r="W8" s="4" t="str">
        <f aca="false">B8&amp;" | "&amp;C8</f>
        <v>soporte móvil para coche con pinza | Amplia</v>
      </c>
    </row>
    <row r="9" customFormat="false" ht="15" hidden="false" customHeight="false" outlineLevel="0" collapsed="false">
      <c r="A9" s="4" t="str">
        <f aca="false">IFERROR(INDEX(Seguimiento!$D:$D,MATCH(W9&amp;"#"&amp;_xlfn.MAXIFS(Seguimiento!$A:$A,Seguimiento!$Q:$Q,W9),Seguimiento!$R:$R,0)),"Activado")</f>
        <v>Activado</v>
      </c>
      <c r="B9" s="13" t="s">
        <v>130</v>
      </c>
      <c r="C9" s="4" t="s">
        <v>119</v>
      </c>
      <c r="D9" s="7" t="n">
        <f aca="false">IFERROR(IF(_xlfn.MAXIFS(Seguimiento!$A:$A,Seguimiento!$Q:$Q,W9)=0,O9,SUMIFS(Seguimiento!$F:$F,Seguimiento!$Q:$Q,W9,Seguimiento!$A:$A,_xlfn.MAXIFS(Seguimiento!$A:$A,Seguimiento!$Q:$Q,W9))),O9)</f>
        <v>0.44</v>
      </c>
      <c r="E9" s="24" t="n">
        <f aca="false">IFERROR(SUMIFS(Seguimiento!$G:$G,Seguimiento!$Q:$Q,W9,Seguimiento!$A:$A,_xlfn.MAXIFS(Seguimiento!$A:$A,Seguimiento!$Q:$Q,W9)),0)</f>
        <v>0</v>
      </c>
      <c r="F9" s="24" t="n">
        <f aca="false">IFERROR(SUMIFS(Seguimiento!$H:$H,Seguimiento!$Q:$Q,W9,Seguimiento!$A:$A,_xlfn.MAXIFS(Seguimiento!$A:$A,Seguimiento!$Q:$Q,W9)),0)</f>
        <v>0</v>
      </c>
      <c r="G9" s="25" t="n">
        <f aca="false">IFERROR(F9/E9,0)</f>
        <v>0</v>
      </c>
      <c r="H9" s="7" t="n">
        <f aca="false">IFERROR(SUMIFS(Seguimiento!$I:$I,Seguimiento!$Q:$Q,W9,Seguimiento!$A:$A,_xlfn.MAXIFS(Seguimiento!$A:$A,Seguimiento!$Q:$Q,W9)),0)</f>
        <v>0</v>
      </c>
      <c r="I9" s="7" t="n">
        <f aca="false">IFERROR(H9/F9,0)</f>
        <v>0</v>
      </c>
      <c r="J9" s="24" t="n">
        <f aca="false">IFERROR(SUMIFS(Seguimiento!$J:$J,Seguimiento!$Q:$Q,W9,Seguimiento!$A:$A,_xlfn.MAXIFS(Seguimiento!$A:$A,Seguimiento!$Q:$Q,W9)),0)</f>
        <v>0</v>
      </c>
      <c r="K9" s="7" t="n">
        <f aca="false">IFERROR(SUMIFS(Seguimiento!$K:$K,Seguimiento!$Q:$Q,W9,Seguimiento!$A:$A,_xlfn.MAXIFS(Seguimiento!$A:$A,Seguimiento!$Q:$Q,W9)),0)</f>
        <v>0</v>
      </c>
      <c r="L9" s="25" t="n">
        <f aca="false">IFERROR(H9/K9,0)</f>
        <v>0</v>
      </c>
      <c r="M9" s="26" t="n">
        <f aca="false">IFERROR(K9/H9,0)</f>
        <v>0</v>
      </c>
      <c r="N9" s="13" t="s">
        <v>131</v>
      </c>
      <c r="O9" s="6" t="n">
        <v>0.44</v>
      </c>
      <c r="P9" s="7" t="n">
        <f aca="false">ROUND(O9*(1-Leyenda!$B$11),2)</f>
        <v>0.22</v>
      </c>
      <c r="Q9" s="7" t="n">
        <f aca="false">ROUND(O9*(1+Leyenda!$B$11),2)</f>
        <v>0.66</v>
      </c>
      <c r="R9" s="7" t="n">
        <v>0.44</v>
      </c>
      <c r="S9" s="4" t="s">
        <v>132</v>
      </c>
      <c r="T9" s="27" t="n">
        <f aca="false">IFERROR(IF(_xlfn.MAXIFS(Seguimiento!$A:$A,Seguimiento!$Q:$Q,W9)=0,"",_xlfn.MAXIFS(Seguimiento!$A:$A,Seguimiento!$Q:$Q,W9)),"")</f>
        <v>46290</v>
      </c>
      <c r="U9" s="4" t="str">
        <f aca="false">IF(AND(F9&gt;=Leyenda!$B$12,J9=0),"PAUSAR (≥15 clics sin venta)",IF(AND(D9&lt;=P9,F9&gt;=20,L9&gt;0.5),"PAUSAR (puja mínima y ACOS&gt;50%)",""))</f>
        <v/>
      </c>
      <c r="V9" s="4" t="str">
        <f aca="false">IF(LEFT(U9,6)="PAUSAR","Pausar y crear ticket",IF(F9&lt;Leyenda!$B$13,"Esperar (menos de 10 clics)",IF(J9=0,"Sin ventas aún: vigilar",IF(L9&lt;0.3,"Subir 10-25% (máx. "&amp;TEXT(MIN(Q9,R9),"0.00")&amp;" €)",IF(L9&lt;=Leyenda!$B$5,"En objetivo: no tocar",IF(L9&lt;=0.5,"Bajar 10-25% (mín. "&amp;TEXT(P9,"0.00")&amp;" €)","Bajar 25-50% (mín. "&amp;TEXT(P9,"0.00")&amp;" €)"))))))</f>
        <v>Esperar (menos de 10 clics)</v>
      </c>
      <c r="W9" s="4" t="str">
        <f aca="false">B9&amp;" | "&amp;C9</f>
        <v>soporte móvil coche pinza 360 | Frase</v>
      </c>
    </row>
    <row r="10" customFormat="false" ht="15" hidden="false" customHeight="false" outlineLevel="0" collapsed="false">
      <c r="A10" s="4" t="str">
        <f aca="false">IFERROR(INDEX(Seguimiento!$D:$D,MATCH(W10&amp;"#"&amp;_xlfn.MAXIFS(Seguimiento!$A:$A,Seguimiento!$Q:$Q,W10),Seguimiento!$R:$R,0)),"Activado")</f>
        <v>Activado</v>
      </c>
      <c r="B10" s="13" t="s">
        <v>133</v>
      </c>
      <c r="C10" s="4" t="s">
        <v>119</v>
      </c>
      <c r="D10" s="7" t="n">
        <f aca="false">IFERROR(IF(_xlfn.MAXIFS(Seguimiento!$A:$A,Seguimiento!$Q:$Q,W10)=0,O10,SUMIFS(Seguimiento!$F:$F,Seguimiento!$Q:$Q,W10,Seguimiento!$A:$A,_xlfn.MAXIFS(Seguimiento!$A:$A,Seguimiento!$Q:$Q,W10))),O10)</f>
        <v>0.46</v>
      </c>
      <c r="E10" s="24" t="n">
        <f aca="false">IFERROR(SUMIFS(Seguimiento!$G:$G,Seguimiento!$Q:$Q,W10,Seguimiento!$A:$A,_xlfn.MAXIFS(Seguimiento!$A:$A,Seguimiento!$Q:$Q,W10)),0)</f>
        <v>0</v>
      </c>
      <c r="F10" s="24" t="n">
        <f aca="false">IFERROR(SUMIFS(Seguimiento!$H:$H,Seguimiento!$Q:$Q,W10,Seguimiento!$A:$A,_xlfn.MAXIFS(Seguimiento!$A:$A,Seguimiento!$Q:$Q,W10)),0)</f>
        <v>0</v>
      </c>
      <c r="G10" s="25" t="n">
        <f aca="false">IFERROR(F10/E10,0)</f>
        <v>0</v>
      </c>
      <c r="H10" s="7" t="n">
        <f aca="false">IFERROR(SUMIFS(Seguimiento!$I:$I,Seguimiento!$Q:$Q,W10,Seguimiento!$A:$A,_xlfn.MAXIFS(Seguimiento!$A:$A,Seguimiento!$Q:$Q,W10)),0)</f>
        <v>0</v>
      </c>
      <c r="I10" s="7" t="n">
        <f aca="false">IFERROR(H10/F10,0)</f>
        <v>0</v>
      </c>
      <c r="J10" s="24" t="n">
        <f aca="false">IFERROR(SUMIFS(Seguimiento!$J:$J,Seguimiento!$Q:$Q,W10,Seguimiento!$A:$A,_xlfn.MAXIFS(Seguimiento!$A:$A,Seguimiento!$Q:$Q,W10)),0)</f>
        <v>0</v>
      </c>
      <c r="K10" s="7" t="n">
        <f aca="false">IFERROR(SUMIFS(Seguimiento!$K:$K,Seguimiento!$Q:$Q,W10,Seguimiento!$A:$A,_xlfn.MAXIFS(Seguimiento!$A:$A,Seguimiento!$Q:$Q,W10)),0)</f>
        <v>0</v>
      </c>
      <c r="L10" s="25" t="n">
        <f aca="false">IFERROR(H10/K10,0)</f>
        <v>0</v>
      </c>
      <c r="M10" s="26" t="n">
        <f aca="false">IFERROR(K10/H10,0)</f>
        <v>0</v>
      </c>
      <c r="N10" s="13" t="s">
        <v>131</v>
      </c>
      <c r="O10" s="6" t="n">
        <v>0.46</v>
      </c>
      <c r="P10" s="7" t="n">
        <f aca="false">ROUND(O10*(1-Leyenda!$B$11),2)</f>
        <v>0.23</v>
      </c>
      <c r="Q10" s="7" t="n">
        <f aca="false">ROUND(O10*(1+Leyenda!$B$11),2)</f>
        <v>0.69</v>
      </c>
      <c r="R10" s="7" t="n">
        <v>0.46</v>
      </c>
      <c r="S10" s="4" t="s">
        <v>134</v>
      </c>
      <c r="T10" s="27" t="n">
        <f aca="false">IFERROR(IF(_xlfn.MAXIFS(Seguimiento!$A:$A,Seguimiento!$Q:$Q,W10)=0,"",_xlfn.MAXIFS(Seguimiento!$A:$A,Seguimiento!$Q:$Q,W10)),"")</f>
        <v>46290</v>
      </c>
      <c r="U10" s="4" t="str">
        <f aca="false">IF(AND(F10&gt;=Leyenda!$B$12,J10=0),"PAUSAR (≥15 clics sin venta)",IF(AND(D10&lt;=P10,F10&gt;=20,L10&gt;0.5),"PAUSAR (puja mínima y ACOS&gt;50%)",""))</f>
        <v/>
      </c>
      <c r="V10" s="4" t="str">
        <f aca="false">IF(LEFT(U10,6)="PAUSAR","Pausar y crear ticket",IF(F10&lt;Leyenda!$B$13,"Esperar (menos de 10 clics)",IF(J10=0,"Sin ventas aún: vigilar",IF(L10&lt;0.3,"Subir 10-25% (máx. "&amp;TEXT(MIN(Q10,R10),"0.00")&amp;" €)",IF(L10&lt;=Leyenda!$B$5,"En objetivo: no tocar",IF(L10&lt;=0.5,"Bajar 10-25% (mín. "&amp;TEXT(P10,"0.00")&amp;" €)","Bajar 25-50% (mín. "&amp;TEXT(P10,"0.00")&amp;" €)"))))))</f>
        <v>Esperar (menos de 10 clics)</v>
      </c>
      <c r="W10" s="4" t="str">
        <f aca="false">B10&amp;" | "&amp;C10</f>
        <v>soporte móvil coche pinza para espejo retrovisor | Frase</v>
      </c>
    </row>
    <row r="11" customFormat="false" ht="15" hidden="false" customHeight="false" outlineLevel="0" collapsed="false">
      <c r="A11" s="4" t="str">
        <f aca="false">IFERROR(INDEX(Seguimiento!$D:$D,MATCH(W11&amp;"#"&amp;_xlfn.MAXIFS(Seguimiento!$A:$A,Seguimiento!$Q:$Q,W11),Seguimiento!$R:$R,0)),"Activado")</f>
        <v>Activado</v>
      </c>
      <c r="B11" s="13" t="s">
        <v>135</v>
      </c>
      <c r="C11" s="4" t="s">
        <v>119</v>
      </c>
      <c r="D11" s="7" t="n">
        <f aca="false">IFERROR(IF(_xlfn.MAXIFS(Seguimiento!$A:$A,Seguimiento!$Q:$Q,W11)=0,O11,SUMIFS(Seguimiento!$F:$F,Seguimiento!$Q:$Q,W11,Seguimiento!$A:$A,_xlfn.MAXIFS(Seguimiento!$A:$A,Seguimiento!$Q:$Q,W11))),O11)</f>
        <v>0.45</v>
      </c>
      <c r="E11" s="24" t="n">
        <f aca="false">IFERROR(SUMIFS(Seguimiento!$G:$G,Seguimiento!$Q:$Q,W11,Seguimiento!$A:$A,_xlfn.MAXIFS(Seguimiento!$A:$A,Seguimiento!$Q:$Q,W11)),0)</f>
        <v>0</v>
      </c>
      <c r="F11" s="24" t="n">
        <f aca="false">IFERROR(SUMIFS(Seguimiento!$H:$H,Seguimiento!$Q:$Q,W11,Seguimiento!$A:$A,_xlfn.MAXIFS(Seguimiento!$A:$A,Seguimiento!$Q:$Q,W11)),0)</f>
        <v>0</v>
      </c>
      <c r="G11" s="25" t="n">
        <f aca="false">IFERROR(F11/E11,0)</f>
        <v>0</v>
      </c>
      <c r="H11" s="7" t="n">
        <f aca="false">IFERROR(SUMIFS(Seguimiento!$I:$I,Seguimiento!$Q:$Q,W11,Seguimiento!$A:$A,_xlfn.MAXIFS(Seguimiento!$A:$A,Seguimiento!$Q:$Q,W11)),0)</f>
        <v>0</v>
      </c>
      <c r="I11" s="7" t="n">
        <f aca="false">IFERROR(H11/F11,0)</f>
        <v>0</v>
      </c>
      <c r="J11" s="24" t="n">
        <f aca="false">IFERROR(SUMIFS(Seguimiento!$J:$J,Seguimiento!$Q:$Q,W11,Seguimiento!$A:$A,_xlfn.MAXIFS(Seguimiento!$A:$A,Seguimiento!$Q:$Q,W11)),0)</f>
        <v>0</v>
      </c>
      <c r="K11" s="7" t="n">
        <f aca="false">IFERROR(SUMIFS(Seguimiento!$K:$K,Seguimiento!$Q:$Q,W11,Seguimiento!$A:$A,_xlfn.MAXIFS(Seguimiento!$A:$A,Seguimiento!$Q:$Q,W11)),0)</f>
        <v>0</v>
      </c>
      <c r="L11" s="25" t="n">
        <f aca="false">IFERROR(H11/K11,0)</f>
        <v>0</v>
      </c>
      <c r="M11" s="26" t="n">
        <f aca="false">IFERROR(K11/H11,0)</f>
        <v>0</v>
      </c>
      <c r="N11" s="13" t="s">
        <v>131</v>
      </c>
      <c r="O11" s="6" t="n">
        <v>0.45</v>
      </c>
      <c r="P11" s="7" t="n">
        <f aca="false">ROUND(O11*(1-Leyenda!$B$11),2)</f>
        <v>0.23</v>
      </c>
      <c r="Q11" s="7" t="n">
        <f aca="false">ROUND(O11*(1+Leyenda!$B$11),2)</f>
        <v>0.68</v>
      </c>
      <c r="R11" s="7" t="n">
        <v>0.45</v>
      </c>
      <c r="S11" s="4" t="s">
        <v>136</v>
      </c>
      <c r="T11" s="27" t="n">
        <f aca="false">IFERROR(IF(_xlfn.MAXIFS(Seguimiento!$A:$A,Seguimiento!$Q:$Q,W11)=0,"",_xlfn.MAXIFS(Seguimiento!$A:$A,Seguimiento!$Q:$Q,W11)),"")</f>
        <v>46290</v>
      </c>
      <c r="U11" s="4" t="str">
        <f aca="false">IF(AND(F11&gt;=Leyenda!$B$12,J11=0),"PAUSAR (≥15 clics sin venta)",IF(AND(D11&lt;=P11,F11&gt;=20,L11&gt;0.5),"PAUSAR (puja mínima y ACOS&gt;50%)",""))</f>
        <v/>
      </c>
      <c r="V11" s="4" t="str">
        <f aca="false">IF(LEFT(U11,6)="PAUSAR","Pausar y crear ticket",IF(F11&lt;Leyenda!$B$13,"Esperar (menos de 10 clics)",IF(J11=0,"Sin ventas aún: vigilar",IF(L11&lt;0.3,"Subir 10-25% (máx. "&amp;TEXT(MIN(Q11,R11),"0.00")&amp;" €)",IF(L11&lt;=Leyenda!$B$5,"En objetivo: no tocar",IF(L11&lt;=0.5,"Bajar 10-25% (mín. "&amp;TEXT(P11,"0.00")&amp;" €)","Bajar 25-50% (mín. "&amp;TEXT(P11,"0.00")&amp;" €)"))))))</f>
        <v>Esperar (menos de 10 clics)</v>
      </c>
      <c r="W11" s="4" t="str">
        <f aca="false">B11&amp;" | "&amp;C11</f>
        <v>soporte móvil coche pinza para parasol | Frase</v>
      </c>
    </row>
    <row r="12" customFormat="false" ht="15" hidden="false" customHeight="false" outlineLevel="0" collapsed="false">
      <c r="A12" s="4" t="str">
        <f aca="false">IFERROR(INDEX(Seguimiento!$D:$D,MATCH(W12&amp;"#"&amp;_xlfn.MAXIFS(Seguimiento!$A:$A,Seguimiento!$Q:$Q,W12),Seguimiento!$R:$R,0)),"Activado")</f>
        <v>Activado</v>
      </c>
      <c r="B12" s="13" t="s">
        <v>137</v>
      </c>
      <c r="C12" s="4" t="s">
        <v>119</v>
      </c>
      <c r="D12" s="7" t="n">
        <f aca="false">IFERROR(IF(_xlfn.MAXIFS(Seguimiento!$A:$A,Seguimiento!$Q:$Q,W12)=0,O12,SUMIFS(Seguimiento!$F:$F,Seguimiento!$Q:$Q,W12,Seguimiento!$A:$A,_xlfn.MAXIFS(Seguimiento!$A:$A,Seguimiento!$Q:$Q,W12))),O12)</f>
        <v>0.45</v>
      </c>
      <c r="E12" s="24" t="n">
        <f aca="false">IFERROR(SUMIFS(Seguimiento!$G:$G,Seguimiento!$Q:$Q,W12,Seguimiento!$A:$A,_xlfn.MAXIFS(Seguimiento!$A:$A,Seguimiento!$Q:$Q,W12)),0)</f>
        <v>0</v>
      </c>
      <c r="F12" s="24" t="n">
        <f aca="false">IFERROR(SUMIFS(Seguimiento!$H:$H,Seguimiento!$Q:$Q,W12,Seguimiento!$A:$A,_xlfn.MAXIFS(Seguimiento!$A:$A,Seguimiento!$Q:$Q,W12)),0)</f>
        <v>0</v>
      </c>
      <c r="G12" s="25" t="n">
        <f aca="false">IFERROR(F12/E12,0)</f>
        <v>0</v>
      </c>
      <c r="H12" s="7" t="n">
        <f aca="false">IFERROR(SUMIFS(Seguimiento!$I:$I,Seguimiento!$Q:$Q,W12,Seguimiento!$A:$A,_xlfn.MAXIFS(Seguimiento!$A:$A,Seguimiento!$Q:$Q,W12)),0)</f>
        <v>0</v>
      </c>
      <c r="I12" s="7" t="n">
        <f aca="false">IFERROR(H12/F12,0)</f>
        <v>0</v>
      </c>
      <c r="J12" s="24" t="n">
        <f aca="false">IFERROR(SUMIFS(Seguimiento!$J:$J,Seguimiento!$Q:$Q,W12,Seguimiento!$A:$A,_xlfn.MAXIFS(Seguimiento!$A:$A,Seguimiento!$Q:$Q,W12)),0)</f>
        <v>0</v>
      </c>
      <c r="K12" s="7" t="n">
        <f aca="false">IFERROR(SUMIFS(Seguimiento!$K:$K,Seguimiento!$Q:$Q,W12,Seguimiento!$A:$A,_xlfn.MAXIFS(Seguimiento!$A:$A,Seguimiento!$Q:$Q,W12)),0)</f>
        <v>0</v>
      </c>
      <c r="L12" s="25" t="n">
        <f aca="false">IFERROR(H12/K12,0)</f>
        <v>0</v>
      </c>
      <c r="M12" s="26" t="n">
        <f aca="false">IFERROR(K12/H12,0)</f>
        <v>0</v>
      </c>
      <c r="N12" s="13" t="s">
        <v>131</v>
      </c>
      <c r="O12" s="6" t="n">
        <v>0.45</v>
      </c>
      <c r="P12" s="7" t="n">
        <f aca="false">ROUND(O12*(1-Leyenda!$B$11),2)</f>
        <v>0.23</v>
      </c>
      <c r="Q12" s="7" t="n">
        <f aca="false">ROUND(O12*(1+Leyenda!$B$11),2)</f>
        <v>0.68</v>
      </c>
      <c r="R12" s="7" t="n">
        <v>0.45</v>
      </c>
      <c r="S12" s="4" t="s">
        <v>138</v>
      </c>
      <c r="T12" s="27" t="n">
        <f aca="false">IFERROR(IF(_xlfn.MAXIFS(Seguimiento!$A:$A,Seguimiento!$Q:$Q,W12)=0,"",_xlfn.MAXIFS(Seguimiento!$A:$A,Seguimiento!$Q:$Q,W12)),"")</f>
        <v>46290</v>
      </c>
      <c r="U12" s="4" t="str">
        <f aca="false">IF(AND(F12&gt;=Leyenda!$B$12,J12=0),"PAUSAR (≥15 clics sin venta)",IF(AND(D12&lt;=P12,F12&gt;=20,L12&gt;0.5),"PAUSAR (puja mínima y ACOS&gt;50%)",""))</f>
        <v/>
      </c>
      <c r="V12" s="4" t="str">
        <f aca="false">IF(LEFT(U12,6)="PAUSAR","Pausar y crear ticket",IF(F12&lt;Leyenda!$B$13,"Esperar (menos de 10 clics)",IF(J12=0,"Sin ventas aún: vigilar",IF(L12&lt;0.3,"Subir 10-25% (máx. "&amp;TEXT(MIN(Q12,R12),"0.00")&amp;" €)",IF(L12&lt;=Leyenda!$B$5,"En objetivo: no tocar",IF(L12&lt;=0.5,"Bajar 10-25% (mín. "&amp;TEXT(P12,"0.00")&amp;" €)","Bajar 25-50% (mín. "&amp;TEXT(P12,"0.00")&amp;" €)"))))))</f>
        <v>Esperar (menos de 10 clics)</v>
      </c>
      <c r="W12" s="4" t="str">
        <f aca="false">B12&amp;" | "&amp;C12</f>
        <v>soporte móvil coche pinza ajustable | Frase</v>
      </c>
    </row>
    <row r="13" customFormat="false" ht="15" hidden="false" customHeight="false" outlineLevel="0" collapsed="false">
      <c r="A13" s="4" t="str">
        <f aca="false">IFERROR(INDEX(Seguimiento!$D:$D,MATCH(W13&amp;"#"&amp;_xlfn.MAXIFS(Seguimiento!$A:$A,Seguimiento!$Q:$Q,W13),Seguimiento!$R:$R,0)),"Activado")</f>
        <v>Activado</v>
      </c>
      <c r="B13" s="13" t="s">
        <v>139</v>
      </c>
      <c r="C13" s="4" t="s">
        <v>119</v>
      </c>
      <c r="D13" s="7" t="n">
        <f aca="false">IFERROR(IF(_xlfn.MAXIFS(Seguimiento!$A:$A,Seguimiento!$Q:$Q,W13)=0,O13,SUMIFS(Seguimiento!$F:$F,Seguimiento!$Q:$Q,W13,Seguimiento!$A:$A,_xlfn.MAXIFS(Seguimiento!$A:$A,Seguimiento!$Q:$Q,W13))),O13)</f>
        <v>0.45</v>
      </c>
      <c r="E13" s="24" t="n">
        <f aca="false">IFERROR(SUMIFS(Seguimiento!$G:$G,Seguimiento!$Q:$Q,W13,Seguimiento!$A:$A,_xlfn.MAXIFS(Seguimiento!$A:$A,Seguimiento!$Q:$Q,W13)),0)</f>
        <v>0</v>
      </c>
      <c r="F13" s="24" t="n">
        <f aca="false">IFERROR(SUMIFS(Seguimiento!$H:$H,Seguimiento!$Q:$Q,W13,Seguimiento!$A:$A,_xlfn.MAXIFS(Seguimiento!$A:$A,Seguimiento!$Q:$Q,W13)),0)</f>
        <v>0</v>
      </c>
      <c r="G13" s="25" t="n">
        <f aca="false">IFERROR(F13/E13,0)</f>
        <v>0</v>
      </c>
      <c r="H13" s="7" t="n">
        <f aca="false">IFERROR(SUMIFS(Seguimiento!$I:$I,Seguimiento!$Q:$Q,W13,Seguimiento!$A:$A,_xlfn.MAXIFS(Seguimiento!$A:$A,Seguimiento!$Q:$Q,W13)),0)</f>
        <v>0</v>
      </c>
      <c r="I13" s="7" t="n">
        <f aca="false">IFERROR(H13/F13,0)</f>
        <v>0</v>
      </c>
      <c r="J13" s="24" t="n">
        <f aca="false">IFERROR(SUMIFS(Seguimiento!$J:$J,Seguimiento!$Q:$Q,W13,Seguimiento!$A:$A,_xlfn.MAXIFS(Seguimiento!$A:$A,Seguimiento!$Q:$Q,W13)),0)</f>
        <v>0</v>
      </c>
      <c r="K13" s="7" t="n">
        <f aca="false">IFERROR(SUMIFS(Seguimiento!$K:$K,Seguimiento!$Q:$Q,W13,Seguimiento!$A:$A,_xlfn.MAXIFS(Seguimiento!$A:$A,Seguimiento!$Q:$Q,W13)),0)</f>
        <v>0</v>
      </c>
      <c r="L13" s="25" t="n">
        <f aca="false">IFERROR(H13/K13,0)</f>
        <v>0</v>
      </c>
      <c r="M13" s="26" t="n">
        <f aca="false">IFERROR(K13/H13,0)</f>
        <v>0</v>
      </c>
      <c r="N13" s="13" t="s">
        <v>131</v>
      </c>
      <c r="O13" s="6" t="n">
        <v>0.45</v>
      </c>
      <c r="P13" s="7" t="n">
        <f aca="false">ROUND(O13*(1-Leyenda!$B$11),2)</f>
        <v>0.23</v>
      </c>
      <c r="Q13" s="7" t="n">
        <f aca="false">ROUND(O13*(1+Leyenda!$B$11),2)</f>
        <v>0.68</v>
      </c>
      <c r="R13" s="7" t="n">
        <v>0.45</v>
      </c>
      <c r="S13" s="4" t="s">
        <v>140</v>
      </c>
      <c r="T13" s="27" t="n">
        <f aca="false">IFERROR(IF(_xlfn.MAXIFS(Seguimiento!$A:$A,Seguimiento!$Q:$Q,W13)=0,"",_xlfn.MAXIFS(Seguimiento!$A:$A,Seguimiento!$Q:$Q,W13)),"")</f>
        <v>46290</v>
      </c>
      <c r="U13" s="4" t="str">
        <f aca="false">IF(AND(F13&gt;=Leyenda!$B$12,J13=0),"PAUSAR (≥15 clics sin venta)",IF(AND(D13&lt;=P13,F13&gt;=20,L13&gt;0.5),"PAUSAR (puja mínima y ACOS&gt;50%)",""))</f>
        <v/>
      </c>
      <c r="V13" s="4" t="str">
        <f aca="false">IF(LEFT(U13,6)="PAUSAR","Pausar y crear ticket",IF(F13&lt;Leyenda!$B$13,"Esperar (menos de 10 clics)",IF(J13=0,"Sin ventas aún: vigilar",IF(L13&lt;0.3,"Subir 10-25% (máx. "&amp;TEXT(MIN(Q13,R13),"0.00")&amp;" €)",IF(L13&lt;=Leyenda!$B$5,"En objetivo: no tocar",IF(L13&lt;=0.5,"Bajar 10-25% (mín. "&amp;TEXT(P13,"0.00")&amp;" €)","Bajar 25-50% (mín. "&amp;TEXT(P13,"0.00")&amp;" €)"))))))</f>
        <v>Esperar (menos de 10 clics)</v>
      </c>
      <c r="W13" s="4" t="str">
        <f aca="false">B13&amp;" | "&amp;C13</f>
        <v>soporte móvil coche pinza para iphone | Frase</v>
      </c>
    </row>
    <row r="14" customFormat="false" ht="15" hidden="false" customHeight="false" outlineLevel="0" collapsed="false">
      <c r="A14" s="4" t="str">
        <f aca="false">IFERROR(INDEX(Seguimiento!$D:$D,MATCH(W14&amp;"#"&amp;_xlfn.MAXIFS(Seguimiento!$A:$A,Seguimiento!$Q:$Q,W14),Seguimiento!$R:$R,0)),"Activado")</f>
        <v>Activado</v>
      </c>
      <c r="B14" s="14" t="s">
        <v>141</v>
      </c>
      <c r="C14" s="4" t="s">
        <v>142</v>
      </c>
      <c r="D14" s="7" t="n">
        <f aca="false">IFERROR(IF(_xlfn.MAXIFS(Seguimiento!$A:$A,Seguimiento!$Q:$Q,W14)=0,O14,SUMIFS(Seguimiento!$F:$F,Seguimiento!$Q:$Q,W14,Seguimiento!$A:$A,_xlfn.MAXIFS(Seguimiento!$A:$A,Seguimiento!$Q:$Q,W14))),O14)</f>
        <v>0.3</v>
      </c>
      <c r="E14" s="24" t="n">
        <f aca="false">IFERROR(SUMIFS(Seguimiento!$G:$G,Seguimiento!$Q:$Q,W14,Seguimiento!$A:$A,_xlfn.MAXIFS(Seguimiento!$A:$A,Seguimiento!$Q:$Q,W14)),0)</f>
        <v>0</v>
      </c>
      <c r="F14" s="24" t="n">
        <f aca="false">IFERROR(SUMIFS(Seguimiento!$H:$H,Seguimiento!$Q:$Q,W14,Seguimiento!$A:$A,_xlfn.MAXIFS(Seguimiento!$A:$A,Seguimiento!$Q:$Q,W14)),0)</f>
        <v>0</v>
      </c>
      <c r="G14" s="25" t="n">
        <f aca="false">IFERROR(F14/E14,0)</f>
        <v>0</v>
      </c>
      <c r="H14" s="7" t="n">
        <f aca="false">IFERROR(SUMIFS(Seguimiento!$I:$I,Seguimiento!$Q:$Q,W14,Seguimiento!$A:$A,_xlfn.MAXIFS(Seguimiento!$A:$A,Seguimiento!$Q:$Q,W14)),0)</f>
        <v>0</v>
      </c>
      <c r="I14" s="7" t="n">
        <f aca="false">IFERROR(H14/F14,0)</f>
        <v>0</v>
      </c>
      <c r="J14" s="24" t="n">
        <f aca="false">IFERROR(SUMIFS(Seguimiento!$J:$J,Seguimiento!$Q:$Q,W14,Seguimiento!$A:$A,_xlfn.MAXIFS(Seguimiento!$A:$A,Seguimiento!$Q:$Q,W14)),0)</f>
        <v>0</v>
      </c>
      <c r="K14" s="7" t="n">
        <f aca="false">IFERROR(SUMIFS(Seguimiento!$K:$K,Seguimiento!$Q:$Q,W14,Seguimiento!$A:$A,_xlfn.MAXIFS(Seguimiento!$A:$A,Seguimiento!$Q:$Q,W14)),0)</f>
        <v>0</v>
      </c>
      <c r="L14" s="25" t="n">
        <f aca="false">IFERROR(H14/K14,0)</f>
        <v>0</v>
      </c>
      <c r="M14" s="26" t="n">
        <f aca="false">IFERROR(K14/H14,0)</f>
        <v>0</v>
      </c>
      <c r="N14" s="14" t="s">
        <v>143</v>
      </c>
      <c r="O14" s="6" t="n">
        <v>0.3</v>
      </c>
      <c r="P14" s="7" t="n">
        <f aca="false">ROUND(O14*(1-Leyenda!$B$11),2)</f>
        <v>0.15</v>
      </c>
      <c r="Q14" s="7" t="n">
        <f aca="false">ROUND(O14*(1+Leyenda!$B$11),2)</f>
        <v>0.45</v>
      </c>
      <c r="R14" s="7" t="n">
        <v>0.32</v>
      </c>
      <c r="S14" s="4" t="s">
        <v>144</v>
      </c>
      <c r="T14" s="27" t="n">
        <f aca="false">IFERROR(IF(_xlfn.MAXIFS(Seguimiento!$A:$A,Seguimiento!$Q:$Q,W14)=0,"",_xlfn.MAXIFS(Seguimiento!$A:$A,Seguimiento!$Q:$Q,W14)),"")</f>
        <v>46290</v>
      </c>
      <c r="U14" s="4" t="str">
        <f aca="false">IF(AND(F14&gt;=Leyenda!$B$12,J14=0),"PAUSAR (≥15 clics sin venta)",IF(AND(D14&lt;=P14,F14&gt;=20,L14&gt;0.5),"PAUSAR (puja mínima y ACOS&gt;50%)",""))</f>
        <v/>
      </c>
      <c r="V14" s="4" t="str">
        <f aca="false">IF(LEFT(U14,6)="PAUSAR","Pausar y crear ticket",IF(F14&lt;Leyenda!$B$13,"Esperar (menos de 10 clics)",IF(J14=0,"Sin ventas aún: vigilar",IF(L14&lt;0.3,"Subir 10-25% (máx. "&amp;TEXT(MIN(Q14,R14),"0.00")&amp;" €)",IF(L14&lt;=Leyenda!$B$5,"En objetivo: no tocar",IF(L14&lt;=0.5,"Bajar 10-25% (mín. "&amp;TEXT(P14,"0.00")&amp;" €)","Bajar 25-50% (mín. "&amp;TEXT(P14,"0.00")&amp;" €)"))))))</f>
        <v>Esperar (menos de 10 clics)</v>
      </c>
      <c r="W14" s="4" t="str">
        <f aca="false">B14&amp;" | "&amp;C14</f>
        <v>asin="B07H996QMD" | Producto</v>
      </c>
    </row>
    <row r="15" customFormat="false" ht="15" hidden="false" customHeight="false" outlineLevel="0" collapsed="false">
      <c r="A15" s="4" t="str">
        <f aca="false">IFERROR(INDEX(Seguimiento!$D:$D,MATCH(W15&amp;"#"&amp;_xlfn.MAXIFS(Seguimiento!$A:$A,Seguimiento!$Q:$Q,W15),Seguimiento!$R:$R,0)),"Activado")</f>
        <v>Activado</v>
      </c>
      <c r="B15" s="14" t="s">
        <v>145</v>
      </c>
      <c r="C15" s="4" t="s">
        <v>142</v>
      </c>
      <c r="D15" s="7" t="n">
        <f aca="false">IFERROR(IF(_xlfn.MAXIFS(Seguimiento!$A:$A,Seguimiento!$Q:$Q,W15)=0,O15,SUMIFS(Seguimiento!$F:$F,Seguimiento!$Q:$Q,W15,Seguimiento!$A:$A,_xlfn.MAXIFS(Seguimiento!$A:$A,Seguimiento!$Q:$Q,W15))),O15)</f>
        <v>0.3</v>
      </c>
      <c r="E15" s="24" t="n">
        <f aca="false">IFERROR(SUMIFS(Seguimiento!$G:$G,Seguimiento!$Q:$Q,W15,Seguimiento!$A:$A,_xlfn.MAXIFS(Seguimiento!$A:$A,Seguimiento!$Q:$Q,W15)),0)</f>
        <v>0</v>
      </c>
      <c r="F15" s="24" t="n">
        <f aca="false">IFERROR(SUMIFS(Seguimiento!$H:$H,Seguimiento!$Q:$Q,W15,Seguimiento!$A:$A,_xlfn.MAXIFS(Seguimiento!$A:$A,Seguimiento!$Q:$Q,W15)),0)</f>
        <v>0</v>
      </c>
      <c r="G15" s="25" t="n">
        <f aca="false">IFERROR(F15/E15,0)</f>
        <v>0</v>
      </c>
      <c r="H15" s="7" t="n">
        <f aca="false">IFERROR(SUMIFS(Seguimiento!$I:$I,Seguimiento!$Q:$Q,W15,Seguimiento!$A:$A,_xlfn.MAXIFS(Seguimiento!$A:$A,Seguimiento!$Q:$Q,W15)),0)</f>
        <v>0</v>
      </c>
      <c r="I15" s="7" t="n">
        <f aca="false">IFERROR(H15/F15,0)</f>
        <v>0</v>
      </c>
      <c r="J15" s="24" t="n">
        <f aca="false">IFERROR(SUMIFS(Seguimiento!$J:$J,Seguimiento!$Q:$Q,W15,Seguimiento!$A:$A,_xlfn.MAXIFS(Seguimiento!$A:$A,Seguimiento!$Q:$Q,W15)),0)</f>
        <v>0</v>
      </c>
      <c r="K15" s="7" t="n">
        <f aca="false">IFERROR(SUMIFS(Seguimiento!$K:$K,Seguimiento!$Q:$Q,W15,Seguimiento!$A:$A,_xlfn.MAXIFS(Seguimiento!$A:$A,Seguimiento!$Q:$Q,W15)),0)</f>
        <v>0</v>
      </c>
      <c r="L15" s="25" t="n">
        <f aca="false">IFERROR(H15/K15,0)</f>
        <v>0</v>
      </c>
      <c r="M15" s="26" t="n">
        <f aca="false">IFERROR(K15/H15,0)</f>
        <v>0</v>
      </c>
      <c r="N15" s="14" t="s">
        <v>143</v>
      </c>
      <c r="O15" s="6" t="n">
        <v>0.3</v>
      </c>
      <c r="P15" s="7" t="n">
        <f aca="false">ROUND(O15*(1-Leyenda!$B$11),2)</f>
        <v>0.15</v>
      </c>
      <c r="Q15" s="7" t="n">
        <f aca="false">ROUND(O15*(1+Leyenda!$B$11),2)</f>
        <v>0.45</v>
      </c>
      <c r="R15" s="7" t="n">
        <v>0.32</v>
      </c>
      <c r="S15" s="4" t="s">
        <v>146</v>
      </c>
      <c r="T15" s="27" t="n">
        <f aca="false">IFERROR(IF(_xlfn.MAXIFS(Seguimiento!$A:$A,Seguimiento!$Q:$Q,W15)=0,"",_xlfn.MAXIFS(Seguimiento!$A:$A,Seguimiento!$Q:$Q,W15)),"")</f>
        <v>46290</v>
      </c>
      <c r="U15" s="4" t="str">
        <f aca="false">IF(AND(F15&gt;=Leyenda!$B$12,J15=0),"PAUSAR (≥15 clics sin venta)",IF(AND(D15&lt;=P15,F15&gt;=20,L15&gt;0.5),"PAUSAR (puja mínima y ACOS&gt;50%)",""))</f>
        <v/>
      </c>
      <c r="V15" s="4" t="str">
        <f aca="false">IF(LEFT(U15,6)="PAUSAR","Pausar y crear ticket",IF(F15&lt;Leyenda!$B$13,"Esperar (menos de 10 clics)",IF(J15=0,"Sin ventas aún: vigilar",IF(L15&lt;0.3,"Subir 10-25% (máx. "&amp;TEXT(MIN(Q15,R15),"0.00")&amp;" €)",IF(L15&lt;=Leyenda!$B$5,"En objetivo: no tocar",IF(L15&lt;=0.5,"Bajar 10-25% (mín. "&amp;TEXT(P15,"0.00")&amp;" €)","Bajar 25-50% (mín. "&amp;TEXT(P15,"0.00")&amp;" €)"))))))</f>
        <v>Esperar (menos de 10 clics)</v>
      </c>
      <c r="W15" s="4" t="str">
        <f aca="false">B15&amp;" | "&amp;C15</f>
        <v>asin="B0BS1TQJH2" | Producto</v>
      </c>
    </row>
    <row r="16" customFormat="false" ht="15" hidden="false" customHeight="false" outlineLevel="0" collapsed="false">
      <c r="A16" s="4" t="str">
        <f aca="false">IFERROR(INDEX(Seguimiento!$D:$D,MATCH(W16&amp;"#"&amp;_xlfn.MAXIFS(Seguimiento!$A:$A,Seguimiento!$Q:$Q,W16),Seguimiento!$R:$R,0)),"Activado")</f>
        <v>Activado</v>
      </c>
      <c r="B16" s="14" t="s">
        <v>147</v>
      </c>
      <c r="C16" s="4" t="s">
        <v>142</v>
      </c>
      <c r="D16" s="7" t="n">
        <f aca="false">IFERROR(IF(_xlfn.MAXIFS(Seguimiento!$A:$A,Seguimiento!$Q:$Q,W16)=0,O16,SUMIFS(Seguimiento!$F:$F,Seguimiento!$Q:$Q,W16,Seguimiento!$A:$A,_xlfn.MAXIFS(Seguimiento!$A:$A,Seguimiento!$Q:$Q,W16))),O16)</f>
        <v>0.3</v>
      </c>
      <c r="E16" s="24" t="n">
        <f aca="false">IFERROR(SUMIFS(Seguimiento!$G:$G,Seguimiento!$Q:$Q,W16,Seguimiento!$A:$A,_xlfn.MAXIFS(Seguimiento!$A:$A,Seguimiento!$Q:$Q,W16)),0)</f>
        <v>0</v>
      </c>
      <c r="F16" s="24" t="n">
        <f aca="false">IFERROR(SUMIFS(Seguimiento!$H:$H,Seguimiento!$Q:$Q,W16,Seguimiento!$A:$A,_xlfn.MAXIFS(Seguimiento!$A:$A,Seguimiento!$Q:$Q,W16)),0)</f>
        <v>0</v>
      </c>
      <c r="G16" s="25" t="n">
        <f aca="false">IFERROR(F16/E16,0)</f>
        <v>0</v>
      </c>
      <c r="H16" s="7" t="n">
        <f aca="false">IFERROR(SUMIFS(Seguimiento!$I:$I,Seguimiento!$Q:$Q,W16,Seguimiento!$A:$A,_xlfn.MAXIFS(Seguimiento!$A:$A,Seguimiento!$Q:$Q,W16)),0)</f>
        <v>0</v>
      </c>
      <c r="I16" s="7" t="n">
        <f aca="false">IFERROR(H16/F16,0)</f>
        <v>0</v>
      </c>
      <c r="J16" s="24" t="n">
        <f aca="false">IFERROR(SUMIFS(Seguimiento!$J:$J,Seguimiento!$Q:$Q,W16,Seguimiento!$A:$A,_xlfn.MAXIFS(Seguimiento!$A:$A,Seguimiento!$Q:$Q,W16)),0)</f>
        <v>0</v>
      </c>
      <c r="K16" s="7" t="n">
        <f aca="false">IFERROR(SUMIFS(Seguimiento!$K:$K,Seguimiento!$Q:$Q,W16,Seguimiento!$A:$A,_xlfn.MAXIFS(Seguimiento!$A:$A,Seguimiento!$Q:$Q,W16)),0)</f>
        <v>0</v>
      </c>
      <c r="L16" s="25" t="n">
        <f aca="false">IFERROR(H16/K16,0)</f>
        <v>0</v>
      </c>
      <c r="M16" s="26" t="n">
        <f aca="false">IFERROR(K16/H16,0)</f>
        <v>0</v>
      </c>
      <c r="N16" s="14" t="s">
        <v>143</v>
      </c>
      <c r="O16" s="6" t="n">
        <v>0.3</v>
      </c>
      <c r="P16" s="7" t="n">
        <f aca="false">ROUND(O16*(1-Leyenda!$B$11),2)</f>
        <v>0.15</v>
      </c>
      <c r="Q16" s="7" t="n">
        <f aca="false">ROUND(O16*(1+Leyenda!$B$11),2)</f>
        <v>0.45</v>
      </c>
      <c r="R16" s="7" t="n">
        <v>0.32</v>
      </c>
      <c r="S16" s="4" t="s">
        <v>148</v>
      </c>
      <c r="T16" s="27" t="n">
        <f aca="false">IFERROR(IF(_xlfn.MAXIFS(Seguimiento!$A:$A,Seguimiento!$Q:$Q,W16)=0,"",_xlfn.MAXIFS(Seguimiento!$A:$A,Seguimiento!$Q:$Q,W16)),"")</f>
        <v>46290</v>
      </c>
      <c r="U16" s="4" t="str">
        <f aca="false">IF(AND(F16&gt;=Leyenda!$B$12,J16=0),"PAUSAR (≥15 clics sin venta)",IF(AND(D16&lt;=P16,F16&gt;=20,L16&gt;0.5),"PAUSAR (puja mínima y ACOS&gt;50%)",""))</f>
        <v/>
      </c>
      <c r="V16" s="4" t="str">
        <f aca="false">IF(LEFT(U16,6)="PAUSAR","Pausar y crear ticket",IF(F16&lt;Leyenda!$B$13,"Esperar (menos de 10 clics)",IF(J16=0,"Sin ventas aún: vigilar",IF(L16&lt;0.3,"Subir 10-25% (máx. "&amp;TEXT(MIN(Q16,R16),"0.00")&amp;" €)",IF(L16&lt;=Leyenda!$B$5,"En objetivo: no tocar",IF(L16&lt;=0.5,"Bajar 10-25% (mín. "&amp;TEXT(P16,"0.00")&amp;" €)","Bajar 25-50% (mín. "&amp;TEXT(P16,"0.00")&amp;" €)"))))))</f>
        <v>Esperar (menos de 10 clics)</v>
      </c>
      <c r="W16" s="4" t="str">
        <f aca="false">B16&amp;" | "&amp;C16</f>
        <v>asin="B08N4KR6PK" | Producto</v>
      </c>
    </row>
    <row r="17" customFormat="false" ht="15" hidden="false" customHeight="false" outlineLevel="0" collapsed="false">
      <c r="A17" s="4" t="str">
        <f aca="false">IFERROR(INDEX(Seguimiento!$D:$D,MATCH(W17&amp;"#"&amp;_xlfn.MAXIFS(Seguimiento!$A:$A,Seguimiento!$Q:$Q,W17),Seguimiento!$R:$R,0)),"Activado")</f>
        <v>Activado</v>
      </c>
      <c r="B17" s="14" t="s">
        <v>149</v>
      </c>
      <c r="C17" s="4" t="s">
        <v>142</v>
      </c>
      <c r="D17" s="7" t="n">
        <f aca="false">IFERROR(IF(_xlfn.MAXIFS(Seguimiento!$A:$A,Seguimiento!$Q:$Q,W17)=0,O17,SUMIFS(Seguimiento!$F:$F,Seguimiento!$Q:$Q,W17,Seguimiento!$A:$A,_xlfn.MAXIFS(Seguimiento!$A:$A,Seguimiento!$Q:$Q,W17))),O17)</f>
        <v>0.3</v>
      </c>
      <c r="E17" s="24" t="n">
        <f aca="false">IFERROR(SUMIFS(Seguimiento!$G:$G,Seguimiento!$Q:$Q,W17,Seguimiento!$A:$A,_xlfn.MAXIFS(Seguimiento!$A:$A,Seguimiento!$Q:$Q,W17)),0)</f>
        <v>0</v>
      </c>
      <c r="F17" s="24" t="n">
        <f aca="false">IFERROR(SUMIFS(Seguimiento!$H:$H,Seguimiento!$Q:$Q,W17,Seguimiento!$A:$A,_xlfn.MAXIFS(Seguimiento!$A:$A,Seguimiento!$Q:$Q,W17)),0)</f>
        <v>0</v>
      </c>
      <c r="G17" s="25" t="n">
        <f aca="false">IFERROR(F17/E17,0)</f>
        <v>0</v>
      </c>
      <c r="H17" s="7" t="n">
        <f aca="false">IFERROR(SUMIFS(Seguimiento!$I:$I,Seguimiento!$Q:$Q,W17,Seguimiento!$A:$A,_xlfn.MAXIFS(Seguimiento!$A:$A,Seguimiento!$Q:$Q,W17)),0)</f>
        <v>0</v>
      </c>
      <c r="I17" s="7" t="n">
        <f aca="false">IFERROR(H17/F17,0)</f>
        <v>0</v>
      </c>
      <c r="J17" s="24" t="n">
        <f aca="false">IFERROR(SUMIFS(Seguimiento!$J:$J,Seguimiento!$Q:$Q,W17,Seguimiento!$A:$A,_xlfn.MAXIFS(Seguimiento!$A:$A,Seguimiento!$Q:$Q,W17)),0)</f>
        <v>0</v>
      </c>
      <c r="K17" s="7" t="n">
        <f aca="false">IFERROR(SUMIFS(Seguimiento!$K:$K,Seguimiento!$Q:$Q,W17,Seguimiento!$A:$A,_xlfn.MAXIFS(Seguimiento!$A:$A,Seguimiento!$Q:$Q,W17)),0)</f>
        <v>0</v>
      </c>
      <c r="L17" s="25" t="n">
        <f aca="false">IFERROR(H17/K17,0)</f>
        <v>0</v>
      </c>
      <c r="M17" s="26" t="n">
        <f aca="false">IFERROR(K17/H17,0)</f>
        <v>0</v>
      </c>
      <c r="N17" s="14" t="s">
        <v>143</v>
      </c>
      <c r="O17" s="6" t="n">
        <v>0.3</v>
      </c>
      <c r="P17" s="7" t="n">
        <f aca="false">ROUND(O17*(1-Leyenda!$B$11),2)</f>
        <v>0.15</v>
      </c>
      <c r="Q17" s="7" t="n">
        <f aca="false">ROUND(O17*(1+Leyenda!$B$11),2)</f>
        <v>0.45</v>
      </c>
      <c r="R17" s="7" t="n">
        <v>0.32</v>
      </c>
      <c r="S17" s="4" t="s">
        <v>150</v>
      </c>
      <c r="T17" s="27" t="n">
        <f aca="false">IFERROR(IF(_xlfn.MAXIFS(Seguimiento!$A:$A,Seguimiento!$Q:$Q,W17)=0,"",_xlfn.MAXIFS(Seguimiento!$A:$A,Seguimiento!$Q:$Q,W17)),"")</f>
        <v>46290</v>
      </c>
      <c r="U17" s="4" t="str">
        <f aca="false">IF(AND(F17&gt;=Leyenda!$B$12,J17=0),"PAUSAR (≥15 clics sin venta)",IF(AND(D17&lt;=P17,F17&gt;=20,L17&gt;0.5),"PAUSAR (puja mínima y ACOS&gt;50%)",""))</f>
        <v/>
      </c>
      <c r="V17" s="4" t="str">
        <f aca="false">IF(LEFT(U17,6)="PAUSAR","Pausar y crear ticket",IF(F17&lt;Leyenda!$B$13,"Esperar (menos de 10 clics)",IF(J17=0,"Sin ventas aún: vigilar",IF(L17&lt;0.3,"Subir 10-25% (máx. "&amp;TEXT(MIN(Q17,R17),"0.00")&amp;" €)",IF(L17&lt;=Leyenda!$B$5,"En objetivo: no tocar",IF(L17&lt;=0.5,"Bajar 10-25% (mín. "&amp;TEXT(P17,"0.00")&amp;" €)","Bajar 25-50% (mín. "&amp;TEXT(P17,"0.00")&amp;" €)"))))))</f>
        <v>Esperar (menos de 10 clics)</v>
      </c>
      <c r="W17" s="4" t="str">
        <f aca="false">B17&amp;" | "&amp;C17</f>
        <v>asin="B09P3SZB6P" | Producto</v>
      </c>
    </row>
    <row r="18" customFormat="false" ht="15" hidden="false" customHeight="false" outlineLevel="0" collapsed="false">
      <c r="A18" s="4" t="str">
        <f aca="false">IFERROR(INDEX(Seguimiento!$D:$D,MATCH(W18&amp;"#"&amp;_xlfn.MAXIFS(Seguimiento!$A:$A,Seguimiento!$Q:$Q,W18),Seguimiento!$R:$R,0)),"Activado")</f>
        <v>Activado</v>
      </c>
      <c r="B18" s="14" t="s">
        <v>151</v>
      </c>
      <c r="C18" s="4" t="s">
        <v>152</v>
      </c>
      <c r="D18" s="7" t="n">
        <f aca="false">IFERROR(IF(_xlfn.MAXIFS(Seguimiento!$A:$A,Seguimiento!$Q:$Q,W18)=0,O18,SUMIFS(Seguimiento!$F:$F,Seguimiento!$Q:$Q,W18,Seguimiento!$A:$A,_xlfn.MAXIFS(Seguimiento!$A:$A,Seguimiento!$Q:$Q,W18))),O18)</f>
        <v>0.3</v>
      </c>
      <c r="E18" s="24" t="n">
        <f aca="false">IFERROR(SUMIFS(Seguimiento!$G:$G,Seguimiento!$Q:$Q,W18,Seguimiento!$A:$A,_xlfn.MAXIFS(Seguimiento!$A:$A,Seguimiento!$Q:$Q,W18)),0)</f>
        <v>0</v>
      </c>
      <c r="F18" s="24" t="n">
        <f aca="false">IFERROR(SUMIFS(Seguimiento!$H:$H,Seguimiento!$Q:$Q,W18,Seguimiento!$A:$A,_xlfn.MAXIFS(Seguimiento!$A:$A,Seguimiento!$Q:$Q,W18)),0)</f>
        <v>0</v>
      </c>
      <c r="G18" s="25" t="n">
        <f aca="false">IFERROR(F18/E18,0)</f>
        <v>0</v>
      </c>
      <c r="H18" s="7" t="n">
        <f aca="false">IFERROR(SUMIFS(Seguimiento!$I:$I,Seguimiento!$Q:$Q,W18,Seguimiento!$A:$A,_xlfn.MAXIFS(Seguimiento!$A:$A,Seguimiento!$Q:$Q,W18)),0)</f>
        <v>0</v>
      </c>
      <c r="I18" s="7" t="n">
        <f aca="false">IFERROR(H18/F18,0)</f>
        <v>0</v>
      </c>
      <c r="J18" s="24" t="n">
        <f aca="false">IFERROR(SUMIFS(Seguimiento!$J:$J,Seguimiento!$Q:$Q,W18,Seguimiento!$A:$A,_xlfn.MAXIFS(Seguimiento!$A:$A,Seguimiento!$Q:$Q,W18)),0)</f>
        <v>0</v>
      </c>
      <c r="K18" s="7" t="n">
        <f aca="false">IFERROR(SUMIFS(Seguimiento!$K:$K,Seguimiento!$Q:$Q,W18,Seguimiento!$A:$A,_xlfn.MAXIFS(Seguimiento!$A:$A,Seguimiento!$Q:$Q,W18)),0)</f>
        <v>0</v>
      </c>
      <c r="L18" s="25" t="n">
        <f aca="false">IFERROR(H18/K18,0)</f>
        <v>0</v>
      </c>
      <c r="M18" s="26" t="n">
        <f aca="false">IFERROR(K18/H18,0)</f>
        <v>0</v>
      </c>
      <c r="N18" s="14" t="s">
        <v>153</v>
      </c>
      <c r="O18" s="6" t="n">
        <v>0.3</v>
      </c>
      <c r="P18" s="7" t="n">
        <f aca="false">ROUND(O18*(1-Leyenda!$B$11),2)</f>
        <v>0.15</v>
      </c>
      <c r="Q18" s="7" t="n">
        <f aca="false">ROUND(O18*(1+Leyenda!$B$11),2)</f>
        <v>0.45</v>
      </c>
      <c r="R18" s="7" t="n">
        <v>0.32</v>
      </c>
      <c r="S18" s="4" t="s">
        <v>154</v>
      </c>
      <c r="T18" s="27" t="n">
        <f aca="false">IFERROR(IF(_xlfn.MAXIFS(Seguimiento!$A:$A,Seguimiento!$Q:$Q,W18)=0,"",_xlfn.MAXIFS(Seguimiento!$A:$A,Seguimiento!$Q:$Q,W18)),"")</f>
        <v>46290</v>
      </c>
      <c r="U18" s="4" t="str">
        <f aca="false">IF(AND(F18&gt;=Leyenda!$B$12,J18=0),"PAUSAR (≥15 clics sin venta)",IF(AND(D18&lt;=P18,F18&gt;=20,L18&gt;0.5),"PAUSAR (puja mínima y ACOS&gt;50%)",""))</f>
        <v/>
      </c>
      <c r="V18" s="4" t="str">
        <f aca="false">IF(LEFT(U18,6)="PAUSAR","Pausar y crear ticket",IF(F18&lt;Leyenda!$B$13,"Esperar (menos de 10 clics)",IF(J18=0,"Sin ventas aún: vigilar",IF(L18&lt;0.3,"Subir 10-25% (máx. "&amp;TEXT(MIN(Q18,R18),"0.00")&amp;" €)",IF(L18&lt;=Leyenda!$B$5,"En objetivo: no tocar",IF(L18&lt;=0.5,"Bajar 10-25% (mín. "&amp;TEXT(P18,"0.00")&amp;" €)","Bajar 25-50% (mín. "&amp;TEXT(P18,"0.00")&amp;" €)"))))))</f>
        <v>Esperar (menos de 10 clics)</v>
      </c>
      <c r="W18" s="4" t="str">
        <f aca="false">B18&amp;" | "&amp;C18</f>
        <v>categoría="Soportes montados en salpicadero para automóviles" precio&gt;12€ estrellas≤4 | Categoría</v>
      </c>
    </row>
    <row r="19" customFormat="false" ht="15" hidden="false" customHeight="false" outlineLevel="0" collapsed="false">
      <c r="A19" s="28"/>
      <c r="B19" s="17" t="s">
        <v>155</v>
      </c>
      <c r="C19" s="28"/>
      <c r="D19" s="28"/>
      <c r="E19" s="29" t="n">
        <f aca="false">SUM(E4:E18)</f>
        <v>0</v>
      </c>
      <c r="F19" s="29" t="n">
        <f aca="false">SUM(F4:F18)</f>
        <v>0</v>
      </c>
      <c r="G19" s="30" t="n">
        <f aca="false">IFERROR(F19/E19,0)</f>
        <v>0</v>
      </c>
      <c r="H19" s="31" t="n">
        <f aca="false">SUM(H4:H18)</f>
        <v>0</v>
      </c>
      <c r="I19" s="31" t="n">
        <f aca="false">IFERROR(H19/F19,0)</f>
        <v>0</v>
      </c>
      <c r="J19" s="29" t="n">
        <f aca="false">SUM(J4:J18)</f>
        <v>0</v>
      </c>
      <c r="K19" s="31" t="n">
        <f aca="false">SUM(K4:K18)</f>
        <v>0</v>
      </c>
      <c r="L19" s="30" t="n">
        <f aca="false">IFERROR(H19/K19,0)</f>
        <v>0</v>
      </c>
      <c r="M19" s="32" t="n">
        <f aca="false">IFERROR(K19/H19,0)</f>
        <v>0</v>
      </c>
      <c r="N19" s="28"/>
      <c r="O19" s="28"/>
      <c r="P19" s="28"/>
      <c r="Q19" s="28"/>
      <c r="R19" s="28"/>
      <c r="S19" s="28"/>
      <c r="T19" s="28"/>
      <c r="U19" s="28"/>
      <c r="V19" s="28"/>
    </row>
  </sheetData>
  <conditionalFormatting sqref="U4:U18">
    <cfRule type="expression" priority="2" aboveAverage="0" equalAverage="0" bottom="0" percent="0" rank="0" text="" dxfId="0">
      <formula>LEFT(U4,6)="PAUSAR"</formula>
    </cfRule>
  </conditionalFormatting>
  <conditionalFormatting sqref="L4:L18">
    <cfRule type="expression" priority="3" aboveAverage="0" equalAverage="0" bottom="0" percent="0" rank="0" text="" dxfId="1">
      <formula>AND(K4&gt;0,L4&lt;=Leyenda!$B$5)</formula>
    </cfRule>
    <cfRule type="expression" priority="4" aboveAverage="0" equalAverage="0" bottom="0" percent="0" rank="0" text="" dxfId="0">
      <formula>AND(K4&gt;0,L4&gt;Leyenda!$B$5)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6" min="16" style="0" width="40"/>
    <col collapsed="false" customWidth="true" hidden="true" outlineLevel="0" max="17" min="17" style="0" width="0.1"/>
    <col collapsed="false" customWidth="true" hidden="true" outlineLevel="0" max="18" min="18" style="0" width="13"/>
  </cols>
  <sheetData>
    <row r="1" customFormat="false" ht="15" hidden="false" customHeight="false" outlineLevel="0" collapsed="false">
      <c r="A1" s="3" t="s">
        <v>156</v>
      </c>
    </row>
    <row r="3" customFormat="false" ht="31.5" hidden="false" customHeight="true" outlineLevel="0" collapsed="false">
      <c r="A3" s="16" t="s">
        <v>157</v>
      </c>
      <c r="B3" s="16" t="s">
        <v>96</v>
      </c>
      <c r="C3" s="16" t="s">
        <v>97</v>
      </c>
      <c r="D3" s="16" t="s">
        <v>55</v>
      </c>
      <c r="E3" s="16" t="s">
        <v>113</v>
      </c>
      <c r="F3" s="16" t="s">
        <v>98</v>
      </c>
      <c r="G3" s="16" t="s">
        <v>99</v>
      </c>
      <c r="H3" s="16" t="s">
        <v>100</v>
      </c>
      <c r="I3" s="16" t="s">
        <v>102</v>
      </c>
      <c r="J3" s="16" t="s">
        <v>104</v>
      </c>
      <c r="K3" s="16" t="s">
        <v>105</v>
      </c>
      <c r="L3" s="16" t="s">
        <v>101</v>
      </c>
      <c r="M3" s="16" t="s">
        <v>103</v>
      </c>
      <c r="N3" s="16" t="s">
        <v>106</v>
      </c>
      <c r="O3" s="16" t="s">
        <v>107</v>
      </c>
      <c r="P3" s="16" t="s">
        <v>158</v>
      </c>
      <c r="Q3" s="16" t="s">
        <v>117</v>
      </c>
      <c r="R3" s="16" t="s">
        <v>159</v>
      </c>
    </row>
    <row r="4" customFormat="false" ht="15" hidden="false" customHeight="false" outlineLevel="0" collapsed="false">
      <c r="A4" s="33" t="n">
        <v>46290</v>
      </c>
      <c r="B4" s="34" t="s">
        <v>118</v>
      </c>
      <c r="C4" s="34" t="s">
        <v>119</v>
      </c>
      <c r="D4" s="34" t="s">
        <v>56</v>
      </c>
      <c r="E4" s="34" t="s">
        <v>121</v>
      </c>
      <c r="F4" s="35" t="n">
        <v>0.78</v>
      </c>
      <c r="G4" s="36" t="n">
        <v>0</v>
      </c>
      <c r="H4" s="36" t="n">
        <v>0</v>
      </c>
      <c r="I4" s="35" t="n">
        <v>0</v>
      </c>
      <c r="J4" s="36" t="n">
        <v>0</v>
      </c>
      <c r="K4" s="35" t="n">
        <v>0</v>
      </c>
      <c r="L4" s="25" t="n">
        <f aca="false">IF(B4="","",IFERROR(H4/G4,0))</f>
        <v>0</v>
      </c>
      <c r="M4" s="7" t="n">
        <f aca="false">IF(B4="","",IFERROR(I4/H4,0))</f>
        <v>0</v>
      </c>
      <c r="N4" s="25" t="n">
        <f aca="false">IF(B4="","",IFERROR(I4/K4,0))</f>
        <v>0</v>
      </c>
      <c r="O4" s="26" t="n">
        <f aca="false">IF(B4="","",IFERROR(K4/I4,0))</f>
        <v>0</v>
      </c>
      <c r="P4" s="34" t="s">
        <v>160</v>
      </c>
      <c r="Q4" s="4" t="str">
        <f aca="false">IF(B4="","",B4&amp;" | "&amp;C4)</f>
        <v>soporte móvil para coche con pinza | Frase</v>
      </c>
      <c r="R4" s="0" t="str">
        <f aca="false">IF(B4="","",Q4&amp;"#"&amp;A4)</f>
        <v>soporte móvil para coche con pinza | Frase#46290</v>
      </c>
    </row>
    <row r="5" customFormat="false" ht="15" hidden="false" customHeight="false" outlineLevel="0" collapsed="false">
      <c r="A5" s="33" t="n">
        <v>46290</v>
      </c>
      <c r="B5" s="34" t="s">
        <v>122</v>
      </c>
      <c r="C5" s="34" t="s">
        <v>123</v>
      </c>
      <c r="D5" s="34" t="s">
        <v>56</v>
      </c>
      <c r="E5" s="34" t="s">
        <v>124</v>
      </c>
      <c r="F5" s="35" t="n">
        <v>0.3</v>
      </c>
      <c r="G5" s="36" t="n">
        <v>0</v>
      </c>
      <c r="H5" s="36" t="n">
        <v>0</v>
      </c>
      <c r="I5" s="35" t="n">
        <v>0</v>
      </c>
      <c r="J5" s="36" t="n">
        <v>0</v>
      </c>
      <c r="K5" s="35" t="n">
        <v>0</v>
      </c>
      <c r="L5" s="25" t="n">
        <f aca="false">IF(B5="","",IFERROR(H5/G5,0))</f>
        <v>0</v>
      </c>
      <c r="M5" s="7" t="n">
        <f aca="false">IF(B5="","",IFERROR(I5/H5,0))</f>
        <v>0</v>
      </c>
      <c r="N5" s="25" t="n">
        <f aca="false">IF(B5="","",IFERROR(I5/K5,0))</f>
        <v>0</v>
      </c>
      <c r="O5" s="26" t="n">
        <f aca="false">IF(B5="","",IFERROR(K5/I5,0))</f>
        <v>0</v>
      </c>
      <c r="P5" s="34" t="s">
        <v>160</v>
      </c>
      <c r="Q5" s="4" t="str">
        <f aca="false">IF(B5="","",B5&amp;" | "&amp;C5)</f>
        <v>soporte móvil para coche de pinza para salpicadero | Amplia</v>
      </c>
      <c r="R5" s="0" t="str">
        <f aca="false">IF(B5="","",Q5&amp;"#"&amp;A5)</f>
        <v>soporte móvil para coche de pinza para salpicadero | Amplia#46290</v>
      </c>
    </row>
    <row r="6" customFormat="false" ht="15" hidden="false" customHeight="false" outlineLevel="0" collapsed="false">
      <c r="A6" s="33" t="n">
        <v>46290</v>
      </c>
      <c r="B6" s="34" t="s">
        <v>125</v>
      </c>
      <c r="C6" s="34" t="s">
        <v>126</v>
      </c>
      <c r="D6" s="34" t="s">
        <v>56</v>
      </c>
      <c r="E6" s="34" t="s">
        <v>127</v>
      </c>
      <c r="F6" s="35" t="n">
        <v>0.51</v>
      </c>
      <c r="G6" s="36" t="n">
        <v>0</v>
      </c>
      <c r="H6" s="36" t="n">
        <v>0</v>
      </c>
      <c r="I6" s="35" t="n">
        <v>0</v>
      </c>
      <c r="J6" s="36" t="n">
        <v>0</v>
      </c>
      <c r="K6" s="35" t="n">
        <v>0</v>
      </c>
      <c r="L6" s="25" t="n">
        <f aca="false">IF(B6="","",IFERROR(H6/G6,0))</f>
        <v>0</v>
      </c>
      <c r="M6" s="7" t="n">
        <f aca="false">IF(B6="","",IFERROR(I6/H6,0))</f>
        <v>0</v>
      </c>
      <c r="N6" s="25" t="n">
        <f aca="false">IF(B6="","",IFERROR(I6/K6,0))</f>
        <v>0</v>
      </c>
      <c r="O6" s="26" t="n">
        <f aca="false">IF(B6="","",IFERROR(K6/I6,0))</f>
        <v>0</v>
      </c>
      <c r="P6" s="34" t="s">
        <v>160</v>
      </c>
      <c r="Q6" s="4" t="str">
        <f aca="false">IF(B6="","",B6&amp;" | "&amp;C6)</f>
        <v>soporte móvil para coche de pinza | Exacta</v>
      </c>
      <c r="R6" s="0" t="str">
        <f aca="false">IF(B6="","",Q6&amp;"#"&amp;A6)</f>
        <v>soporte móvil para coche de pinza | Exacta#46290</v>
      </c>
    </row>
    <row r="7" customFormat="false" ht="15" hidden="false" customHeight="false" outlineLevel="0" collapsed="false">
      <c r="A7" s="33" t="n">
        <v>46290</v>
      </c>
      <c r="B7" s="34" t="s">
        <v>125</v>
      </c>
      <c r="C7" s="34" t="s">
        <v>123</v>
      </c>
      <c r="D7" s="34" t="s">
        <v>56</v>
      </c>
      <c r="E7" s="34" t="s">
        <v>128</v>
      </c>
      <c r="F7" s="35" t="n">
        <v>0.41</v>
      </c>
      <c r="G7" s="36" t="n">
        <v>0</v>
      </c>
      <c r="H7" s="36" t="n">
        <v>0</v>
      </c>
      <c r="I7" s="35" t="n">
        <v>0</v>
      </c>
      <c r="J7" s="36" t="n">
        <v>0</v>
      </c>
      <c r="K7" s="35" t="n">
        <v>0</v>
      </c>
      <c r="L7" s="25" t="n">
        <f aca="false">IF(B7="","",IFERROR(H7/G7,0))</f>
        <v>0</v>
      </c>
      <c r="M7" s="7" t="n">
        <f aca="false">IF(B7="","",IFERROR(I7/H7,0))</f>
        <v>0</v>
      </c>
      <c r="N7" s="25" t="n">
        <f aca="false">IF(B7="","",IFERROR(I7/K7,0))</f>
        <v>0</v>
      </c>
      <c r="O7" s="26" t="n">
        <f aca="false">IF(B7="","",IFERROR(K7/I7,0))</f>
        <v>0</v>
      </c>
      <c r="P7" s="34" t="s">
        <v>160</v>
      </c>
      <c r="Q7" s="4" t="str">
        <f aca="false">IF(B7="","",B7&amp;" | "&amp;C7)</f>
        <v>soporte móvil para coche de pinza | Amplia</v>
      </c>
      <c r="R7" s="0" t="str">
        <f aca="false">IF(B7="","",Q7&amp;"#"&amp;A7)</f>
        <v>soporte móvil para coche de pinza | Amplia#46290</v>
      </c>
    </row>
    <row r="8" customFormat="false" ht="15" hidden="false" customHeight="false" outlineLevel="0" collapsed="false">
      <c r="A8" s="33" t="n">
        <v>46290</v>
      </c>
      <c r="B8" s="34" t="s">
        <v>118</v>
      </c>
      <c r="C8" s="34" t="s">
        <v>123</v>
      </c>
      <c r="D8" s="34" t="s">
        <v>56</v>
      </c>
      <c r="E8" s="34" t="s">
        <v>129</v>
      </c>
      <c r="F8" s="35" t="n">
        <v>0.41</v>
      </c>
      <c r="G8" s="36" t="n">
        <v>0</v>
      </c>
      <c r="H8" s="36" t="n">
        <v>0</v>
      </c>
      <c r="I8" s="35" t="n">
        <v>0</v>
      </c>
      <c r="J8" s="36" t="n">
        <v>0</v>
      </c>
      <c r="K8" s="35" t="n">
        <v>0</v>
      </c>
      <c r="L8" s="25" t="n">
        <f aca="false">IF(B8="","",IFERROR(H8/G8,0))</f>
        <v>0</v>
      </c>
      <c r="M8" s="7" t="n">
        <f aca="false">IF(B8="","",IFERROR(I8/H8,0))</f>
        <v>0</v>
      </c>
      <c r="N8" s="25" t="n">
        <f aca="false">IF(B8="","",IFERROR(I8/K8,0))</f>
        <v>0</v>
      </c>
      <c r="O8" s="26" t="n">
        <f aca="false">IF(B8="","",IFERROR(K8/I8,0))</f>
        <v>0</v>
      </c>
      <c r="P8" s="34" t="s">
        <v>160</v>
      </c>
      <c r="Q8" s="4" t="str">
        <f aca="false">IF(B8="","",B8&amp;" | "&amp;C8)</f>
        <v>soporte móvil para coche con pinza | Amplia</v>
      </c>
      <c r="R8" s="0" t="str">
        <f aca="false">IF(B8="","",Q8&amp;"#"&amp;A8)</f>
        <v>soporte móvil para coche con pinza | Amplia#46290</v>
      </c>
    </row>
    <row r="9" customFormat="false" ht="15" hidden="false" customHeight="false" outlineLevel="0" collapsed="false">
      <c r="A9" s="33" t="n">
        <v>46290</v>
      </c>
      <c r="B9" s="34" t="s">
        <v>130</v>
      </c>
      <c r="C9" s="34" t="s">
        <v>119</v>
      </c>
      <c r="D9" s="34" t="s">
        <v>56</v>
      </c>
      <c r="E9" s="34" t="s">
        <v>132</v>
      </c>
      <c r="F9" s="35" t="n">
        <v>0.44</v>
      </c>
      <c r="G9" s="36" t="n">
        <v>0</v>
      </c>
      <c r="H9" s="36" t="n">
        <v>0</v>
      </c>
      <c r="I9" s="35" t="n">
        <v>0</v>
      </c>
      <c r="J9" s="36" t="n">
        <v>0</v>
      </c>
      <c r="K9" s="35" t="n">
        <v>0</v>
      </c>
      <c r="L9" s="25" t="n">
        <f aca="false">IF(B9="","",IFERROR(H9/G9,0))</f>
        <v>0</v>
      </c>
      <c r="M9" s="7" t="n">
        <f aca="false">IF(B9="","",IFERROR(I9/H9,0))</f>
        <v>0</v>
      </c>
      <c r="N9" s="25" t="n">
        <f aca="false">IF(B9="","",IFERROR(I9/K9,0))</f>
        <v>0</v>
      </c>
      <c r="O9" s="26" t="n">
        <f aca="false">IF(B9="","",IFERROR(K9/I9,0))</f>
        <v>0</v>
      </c>
      <c r="P9" s="34" t="s">
        <v>160</v>
      </c>
      <c r="Q9" s="4" t="str">
        <f aca="false">IF(B9="","",B9&amp;" | "&amp;C9)</f>
        <v>soporte móvil coche pinza 360 | Frase</v>
      </c>
      <c r="R9" s="0" t="str">
        <f aca="false">IF(B9="","",Q9&amp;"#"&amp;A9)</f>
        <v>soporte móvil coche pinza 360 | Frase#46290</v>
      </c>
    </row>
    <row r="10" customFormat="false" ht="15" hidden="false" customHeight="false" outlineLevel="0" collapsed="false">
      <c r="A10" s="33" t="n">
        <v>46290</v>
      </c>
      <c r="B10" s="34" t="s">
        <v>133</v>
      </c>
      <c r="C10" s="34" t="s">
        <v>119</v>
      </c>
      <c r="D10" s="34" t="s">
        <v>56</v>
      </c>
      <c r="E10" s="34" t="s">
        <v>134</v>
      </c>
      <c r="F10" s="35" t="n">
        <v>0.46</v>
      </c>
      <c r="G10" s="36" t="n">
        <v>0</v>
      </c>
      <c r="H10" s="36" t="n">
        <v>0</v>
      </c>
      <c r="I10" s="35" t="n">
        <v>0</v>
      </c>
      <c r="J10" s="36" t="n">
        <v>0</v>
      </c>
      <c r="K10" s="35" t="n">
        <v>0</v>
      </c>
      <c r="L10" s="25" t="n">
        <f aca="false">IF(B10="","",IFERROR(H10/G10,0))</f>
        <v>0</v>
      </c>
      <c r="M10" s="7" t="n">
        <f aca="false">IF(B10="","",IFERROR(I10/H10,0))</f>
        <v>0</v>
      </c>
      <c r="N10" s="25" t="n">
        <f aca="false">IF(B10="","",IFERROR(I10/K10,0))</f>
        <v>0</v>
      </c>
      <c r="O10" s="26" t="n">
        <f aca="false">IF(B10="","",IFERROR(K10/I10,0))</f>
        <v>0</v>
      </c>
      <c r="P10" s="34" t="s">
        <v>160</v>
      </c>
      <c r="Q10" s="4" t="str">
        <f aca="false">IF(B10="","",B10&amp;" | "&amp;C10)</f>
        <v>soporte móvil coche pinza para espejo retrovisor | Frase</v>
      </c>
      <c r="R10" s="0" t="str">
        <f aca="false">IF(B10="","",Q10&amp;"#"&amp;A10)</f>
        <v>soporte móvil coche pinza para espejo retrovisor | Frase#46290</v>
      </c>
    </row>
    <row r="11" customFormat="false" ht="15" hidden="false" customHeight="false" outlineLevel="0" collapsed="false">
      <c r="A11" s="33" t="n">
        <v>46290</v>
      </c>
      <c r="B11" s="34" t="s">
        <v>135</v>
      </c>
      <c r="C11" s="34" t="s">
        <v>119</v>
      </c>
      <c r="D11" s="34" t="s">
        <v>56</v>
      </c>
      <c r="E11" s="34" t="s">
        <v>136</v>
      </c>
      <c r="F11" s="35" t="n">
        <v>0.45</v>
      </c>
      <c r="G11" s="36" t="n">
        <v>0</v>
      </c>
      <c r="H11" s="36" t="n">
        <v>0</v>
      </c>
      <c r="I11" s="35" t="n">
        <v>0</v>
      </c>
      <c r="J11" s="36" t="n">
        <v>0</v>
      </c>
      <c r="K11" s="35" t="n">
        <v>0</v>
      </c>
      <c r="L11" s="25" t="n">
        <f aca="false">IF(B11="","",IFERROR(H11/G11,0))</f>
        <v>0</v>
      </c>
      <c r="M11" s="7" t="n">
        <f aca="false">IF(B11="","",IFERROR(I11/H11,0))</f>
        <v>0</v>
      </c>
      <c r="N11" s="25" t="n">
        <f aca="false">IF(B11="","",IFERROR(I11/K11,0))</f>
        <v>0</v>
      </c>
      <c r="O11" s="26" t="n">
        <f aca="false">IF(B11="","",IFERROR(K11/I11,0))</f>
        <v>0</v>
      </c>
      <c r="P11" s="34" t="s">
        <v>160</v>
      </c>
      <c r="Q11" s="4" t="str">
        <f aca="false">IF(B11="","",B11&amp;" | "&amp;C11)</f>
        <v>soporte móvil coche pinza para parasol | Frase</v>
      </c>
      <c r="R11" s="0" t="str">
        <f aca="false">IF(B11="","",Q11&amp;"#"&amp;A11)</f>
        <v>soporte móvil coche pinza para parasol | Frase#46290</v>
      </c>
    </row>
    <row r="12" customFormat="false" ht="15" hidden="false" customHeight="false" outlineLevel="0" collapsed="false">
      <c r="A12" s="33" t="n">
        <v>46290</v>
      </c>
      <c r="B12" s="34" t="s">
        <v>137</v>
      </c>
      <c r="C12" s="34" t="s">
        <v>119</v>
      </c>
      <c r="D12" s="34" t="s">
        <v>56</v>
      </c>
      <c r="E12" s="34" t="s">
        <v>138</v>
      </c>
      <c r="F12" s="35" t="n">
        <v>0.45</v>
      </c>
      <c r="G12" s="36" t="n">
        <v>0</v>
      </c>
      <c r="H12" s="36" t="n">
        <v>0</v>
      </c>
      <c r="I12" s="35" t="n">
        <v>0</v>
      </c>
      <c r="J12" s="36" t="n">
        <v>0</v>
      </c>
      <c r="K12" s="35" t="n">
        <v>0</v>
      </c>
      <c r="L12" s="25" t="n">
        <f aca="false">IF(B12="","",IFERROR(H12/G12,0))</f>
        <v>0</v>
      </c>
      <c r="M12" s="7" t="n">
        <f aca="false">IF(B12="","",IFERROR(I12/H12,0))</f>
        <v>0</v>
      </c>
      <c r="N12" s="25" t="n">
        <f aca="false">IF(B12="","",IFERROR(I12/K12,0))</f>
        <v>0</v>
      </c>
      <c r="O12" s="26" t="n">
        <f aca="false">IF(B12="","",IFERROR(K12/I12,0))</f>
        <v>0</v>
      </c>
      <c r="P12" s="34" t="s">
        <v>160</v>
      </c>
      <c r="Q12" s="4" t="str">
        <f aca="false">IF(B12="","",B12&amp;" | "&amp;C12)</f>
        <v>soporte móvil coche pinza ajustable | Frase</v>
      </c>
      <c r="R12" s="0" t="str">
        <f aca="false">IF(B12="","",Q12&amp;"#"&amp;A12)</f>
        <v>soporte móvil coche pinza ajustable | Frase#46290</v>
      </c>
    </row>
    <row r="13" customFormat="false" ht="15" hidden="false" customHeight="false" outlineLevel="0" collapsed="false">
      <c r="A13" s="33" t="n">
        <v>46290</v>
      </c>
      <c r="B13" s="34" t="s">
        <v>139</v>
      </c>
      <c r="C13" s="34" t="s">
        <v>119</v>
      </c>
      <c r="D13" s="34" t="s">
        <v>56</v>
      </c>
      <c r="E13" s="34" t="s">
        <v>140</v>
      </c>
      <c r="F13" s="35" t="n">
        <v>0.45</v>
      </c>
      <c r="G13" s="36" t="n">
        <v>0</v>
      </c>
      <c r="H13" s="36" t="n">
        <v>0</v>
      </c>
      <c r="I13" s="35" t="n">
        <v>0</v>
      </c>
      <c r="J13" s="36" t="n">
        <v>0</v>
      </c>
      <c r="K13" s="35" t="n">
        <v>0</v>
      </c>
      <c r="L13" s="25" t="n">
        <f aca="false">IF(B13="","",IFERROR(H13/G13,0))</f>
        <v>0</v>
      </c>
      <c r="M13" s="7" t="n">
        <f aca="false">IF(B13="","",IFERROR(I13/H13,0))</f>
        <v>0</v>
      </c>
      <c r="N13" s="25" t="n">
        <f aca="false">IF(B13="","",IFERROR(I13/K13,0))</f>
        <v>0</v>
      </c>
      <c r="O13" s="26" t="n">
        <f aca="false">IF(B13="","",IFERROR(K13/I13,0))</f>
        <v>0</v>
      </c>
      <c r="P13" s="34" t="s">
        <v>160</v>
      </c>
      <c r="Q13" s="4" t="str">
        <f aca="false">IF(B13="","",B13&amp;" | "&amp;C13)</f>
        <v>soporte móvil coche pinza para iphone | Frase</v>
      </c>
      <c r="R13" s="0" t="str">
        <f aca="false">IF(B13="","",Q13&amp;"#"&amp;A13)</f>
        <v>soporte móvil coche pinza para iphone | Frase#46290</v>
      </c>
    </row>
    <row r="14" customFormat="false" ht="15" hidden="false" customHeight="false" outlineLevel="0" collapsed="false">
      <c r="A14" s="33" t="n">
        <v>46290</v>
      </c>
      <c r="B14" s="34" t="s">
        <v>141</v>
      </c>
      <c r="C14" s="34" t="s">
        <v>142</v>
      </c>
      <c r="D14" s="34" t="s">
        <v>56</v>
      </c>
      <c r="E14" s="34" t="s">
        <v>144</v>
      </c>
      <c r="F14" s="35" t="n">
        <v>0.3</v>
      </c>
      <c r="G14" s="36" t="n">
        <v>0</v>
      </c>
      <c r="H14" s="36" t="n">
        <v>0</v>
      </c>
      <c r="I14" s="35" t="n">
        <v>0</v>
      </c>
      <c r="J14" s="36" t="n">
        <v>0</v>
      </c>
      <c r="K14" s="35" t="n">
        <v>0</v>
      </c>
      <c r="L14" s="25" t="n">
        <f aca="false">IF(B14="","",IFERROR(H14/G14,0))</f>
        <v>0</v>
      </c>
      <c r="M14" s="7" t="n">
        <f aca="false">IF(B14="","",IFERROR(I14/H14,0))</f>
        <v>0</v>
      </c>
      <c r="N14" s="25" t="n">
        <f aca="false">IF(B14="","",IFERROR(I14/K14,0))</f>
        <v>0</v>
      </c>
      <c r="O14" s="26" t="n">
        <f aca="false">IF(B14="","",IFERROR(K14/I14,0))</f>
        <v>0</v>
      </c>
      <c r="P14" s="34" t="s">
        <v>160</v>
      </c>
      <c r="Q14" s="4" t="str">
        <f aca="false">IF(B14="","",B14&amp;" | "&amp;C14)</f>
        <v>asin="B07H996QMD" | Producto</v>
      </c>
      <c r="R14" s="0" t="str">
        <f aca="false">IF(B14="","",Q14&amp;"#"&amp;A14)</f>
        <v>asin="B07H996QMD" | Producto#46290</v>
      </c>
    </row>
    <row r="15" customFormat="false" ht="15" hidden="false" customHeight="false" outlineLevel="0" collapsed="false">
      <c r="A15" s="33" t="n">
        <v>46290</v>
      </c>
      <c r="B15" s="34" t="s">
        <v>145</v>
      </c>
      <c r="C15" s="34" t="s">
        <v>142</v>
      </c>
      <c r="D15" s="34" t="s">
        <v>56</v>
      </c>
      <c r="E15" s="34" t="s">
        <v>146</v>
      </c>
      <c r="F15" s="35" t="n">
        <v>0.3</v>
      </c>
      <c r="G15" s="36" t="n">
        <v>0</v>
      </c>
      <c r="H15" s="36" t="n">
        <v>0</v>
      </c>
      <c r="I15" s="35" t="n">
        <v>0</v>
      </c>
      <c r="J15" s="36" t="n">
        <v>0</v>
      </c>
      <c r="K15" s="35" t="n">
        <v>0</v>
      </c>
      <c r="L15" s="25" t="n">
        <f aca="false">IF(B15="","",IFERROR(H15/G15,0))</f>
        <v>0</v>
      </c>
      <c r="M15" s="7" t="n">
        <f aca="false">IF(B15="","",IFERROR(I15/H15,0))</f>
        <v>0</v>
      </c>
      <c r="N15" s="25" t="n">
        <f aca="false">IF(B15="","",IFERROR(I15/K15,0))</f>
        <v>0</v>
      </c>
      <c r="O15" s="26" t="n">
        <f aca="false">IF(B15="","",IFERROR(K15/I15,0))</f>
        <v>0</v>
      </c>
      <c r="P15" s="34" t="s">
        <v>160</v>
      </c>
      <c r="Q15" s="4" t="str">
        <f aca="false">IF(B15="","",B15&amp;" | "&amp;C15)</f>
        <v>asin="B0BS1TQJH2" | Producto</v>
      </c>
      <c r="R15" s="0" t="str">
        <f aca="false">IF(B15="","",Q15&amp;"#"&amp;A15)</f>
        <v>asin="B0BS1TQJH2" | Producto#46290</v>
      </c>
    </row>
    <row r="16" customFormat="false" ht="15" hidden="false" customHeight="false" outlineLevel="0" collapsed="false">
      <c r="A16" s="33" t="n">
        <v>46290</v>
      </c>
      <c r="B16" s="34" t="s">
        <v>147</v>
      </c>
      <c r="C16" s="34" t="s">
        <v>142</v>
      </c>
      <c r="D16" s="34" t="s">
        <v>56</v>
      </c>
      <c r="E16" s="34" t="s">
        <v>148</v>
      </c>
      <c r="F16" s="35" t="n">
        <v>0.3</v>
      </c>
      <c r="G16" s="36" t="n">
        <v>0</v>
      </c>
      <c r="H16" s="36" t="n">
        <v>0</v>
      </c>
      <c r="I16" s="35" t="n">
        <v>0</v>
      </c>
      <c r="J16" s="36" t="n">
        <v>0</v>
      </c>
      <c r="K16" s="35" t="n">
        <v>0</v>
      </c>
      <c r="L16" s="25" t="n">
        <f aca="false">IF(B16="","",IFERROR(H16/G16,0))</f>
        <v>0</v>
      </c>
      <c r="M16" s="7" t="n">
        <f aca="false">IF(B16="","",IFERROR(I16/H16,0))</f>
        <v>0</v>
      </c>
      <c r="N16" s="25" t="n">
        <f aca="false">IF(B16="","",IFERROR(I16/K16,0))</f>
        <v>0</v>
      </c>
      <c r="O16" s="26" t="n">
        <f aca="false">IF(B16="","",IFERROR(K16/I16,0))</f>
        <v>0</v>
      </c>
      <c r="P16" s="34" t="s">
        <v>160</v>
      </c>
      <c r="Q16" s="4" t="str">
        <f aca="false">IF(B16="","",B16&amp;" | "&amp;C16)</f>
        <v>asin="B08N4KR6PK" | Producto</v>
      </c>
      <c r="R16" s="0" t="str">
        <f aca="false">IF(B16="","",Q16&amp;"#"&amp;A16)</f>
        <v>asin="B08N4KR6PK" | Producto#46290</v>
      </c>
    </row>
    <row r="17" customFormat="false" ht="15" hidden="false" customHeight="false" outlineLevel="0" collapsed="false">
      <c r="A17" s="33" t="n">
        <v>46290</v>
      </c>
      <c r="B17" s="34" t="s">
        <v>149</v>
      </c>
      <c r="C17" s="34" t="s">
        <v>142</v>
      </c>
      <c r="D17" s="34" t="s">
        <v>56</v>
      </c>
      <c r="E17" s="34" t="s">
        <v>150</v>
      </c>
      <c r="F17" s="35" t="n">
        <v>0.3</v>
      </c>
      <c r="G17" s="36" t="n">
        <v>0</v>
      </c>
      <c r="H17" s="36" t="n">
        <v>0</v>
      </c>
      <c r="I17" s="35" t="n">
        <v>0</v>
      </c>
      <c r="J17" s="36" t="n">
        <v>0</v>
      </c>
      <c r="K17" s="35" t="n">
        <v>0</v>
      </c>
      <c r="L17" s="25" t="n">
        <f aca="false">IF(B17="","",IFERROR(H17/G17,0))</f>
        <v>0</v>
      </c>
      <c r="M17" s="7" t="n">
        <f aca="false">IF(B17="","",IFERROR(I17/H17,0))</f>
        <v>0</v>
      </c>
      <c r="N17" s="25" t="n">
        <f aca="false">IF(B17="","",IFERROR(I17/K17,0))</f>
        <v>0</v>
      </c>
      <c r="O17" s="26" t="n">
        <f aca="false">IF(B17="","",IFERROR(K17/I17,0))</f>
        <v>0</v>
      </c>
      <c r="P17" s="34" t="s">
        <v>160</v>
      </c>
      <c r="Q17" s="4" t="str">
        <f aca="false">IF(B17="","",B17&amp;" | "&amp;C17)</f>
        <v>asin="B09P3SZB6P" | Producto</v>
      </c>
      <c r="R17" s="0" t="str">
        <f aca="false">IF(B17="","",Q17&amp;"#"&amp;A17)</f>
        <v>asin="B09P3SZB6P" | Producto#46290</v>
      </c>
    </row>
    <row r="18" customFormat="false" ht="15" hidden="false" customHeight="false" outlineLevel="0" collapsed="false">
      <c r="A18" s="33" t="n">
        <v>46290</v>
      </c>
      <c r="B18" s="34" t="s">
        <v>151</v>
      </c>
      <c r="C18" s="34" t="s">
        <v>152</v>
      </c>
      <c r="D18" s="34" t="s">
        <v>56</v>
      </c>
      <c r="E18" s="34" t="s">
        <v>154</v>
      </c>
      <c r="F18" s="35" t="n">
        <v>0.3</v>
      </c>
      <c r="G18" s="36" t="n">
        <v>0</v>
      </c>
      <c r="H18" s="36" t="n">
        <v>0</v>
      </c>
      <c r="I18" s="35" t="n">
        <v>0</v>
      </c>
      <c r="J18" s="36" t="n">
        <v>0</v>
      </c>
      <c r="K18" s="35" t="n">
        <v>0</v>
      </c>
      <c r="L18" s="25" t="n">
        <f aca="false">IF(B18="","",IFERROR(H18/G18,0))</f>
        <v>0</v>
      </c>
      <c r="M18" s="7" t="n">
        <f aca="false">IF(B18="","",IFERROR(I18/H18,0))</f>
        <v>0</v>
      </c>
      <c r="N18" s="25" t="n">
        <f aca="false">IF(B18="","",IFERROR(I18/K18,0))</f>
        <v>0</v>
      </c>
      <c r="O18" s="26" t="n">
        <f aca="false">IF(B18="","",IFERROR(K18/I18,0))</f>
        <v>0</v>
      </c>
      <c r="P18" s="34" t="s">
        <v>160</v>
      </c>
      <c r="Q18" s="4" t="str">
        <f aca="false">IF(B18="","",B18&amp;" | "&amp;C18)</f>
        <v>categoría="Soportes montados en salpicadero para automóviles" precio&gt;12€ estrellas≤4 | Categoría</v>
      </c>
      <c r="R18" s="0" t="str">
        <f aca="false">IF(B18="","",Q18&amp;"#"&amp;A18)</f>
        <v>categoría="Soportes montados en salpicadero para automóviles" precio&gt;12€ estrellas≤4 | Categoría#46290</v>
      </c>
    </row>
    <row r="19" customFormat="false" ht="15" hidden="false" customHeight="false" outlineLevel="0" collapsed="false">
      <c r="A19" s="37"/>
      <c r="B19" s="10"/>
      <c r="C19" s="10"/>
      <c r="D19" s="10"/>
      <c r="E19" s="10"/>
      <c r="F19" s="6"/>
      <c r="G19" s="38"/>
      <c r="H19" s="38"/>
      <c r="I19" s="6"/>
      <c r="J19" s="38"/>
      <c r="K19" s="6"/>
      <c r="L19" s="25" t="str">
        <f aca="false">IF(B19="","",IFERROR(H19/G19,0))</f>
        <v/>
      </c>
      <c r="M19" s="7" t="str">
        <f aca="false">IF(B19="","",IFERROR(I19/H19,0))</f>
        <v/>
      </c>
      <c r="N19" s="25" t="str">
        <f aca="false">IF(B19="","",IFERROR(I19/K19,0))</f>
        <v/>
      </c>
      <c r="O19" s="26" t="str">
        <f aca="false">IF(B19="","",IFERROR(K19/I19,0))</f>
        <v/>
      </c>
      <c r="P19" s="10"/>
      <c r="Q19" s="4" t="str">
        <f aca="false">IF(B19="","",B19&amp;" | "&amp;C19)</f>
        <v/>
      </c>
      <c r="R19" s="0" t="str">
        <f aca="false">IF(B19="","",Q19&amp;"#"&amp;A19)</f>
        <v/>
      </c>
    </row>
    <row r="20" customFormat="false" ht="15" hidden="false" customHeight="false" outlineLevel="0" collapsed="false">
      <c r="A20" s="37"/>
      <c r="B20" s="10"/>
      <c r="C20" s="10"/>
      <c r="D20" s="10"/>
      <c r="E20" s="10"/>
      <c r="F20" s="6"/>
      <c r="G20" s="38"/>
      <c r="H20" s="38"/>
      <c r="I20" s="6"/>
      <c r="J20" s="38"/>
      <c r="K20" s="6"/>
      <c r="L20" s="25" t="str">
        <f aca="false">IF(B20="","",IFERROR(H20/G20,0))</f>
        <v/>
      </c>
      <c r="M20" s="7" t="str">
        <f aca="false">IF(B20="","",IFERROR(I20/H20,0))</f>
        <v/>
      </c>
      <c r="N20" s="25" t="str">
        <f aca="false">IF(B20="","",IFERROR(I20/K20,0))</f>
        <v/>
      </c>
      <c r="O20" s="26" t="str">
        <f aca="false">IF(B20="","",IFERROR(K20/I20,0))</f>
        <v/>
      </c>
      <c r="P20" s="10"/>
      <c r="Q20" s="4" t="str">
        <f aca="false">IF(B20="","",B20&amp;" | "&amp;C20)</f>
        <v/>
      </c>
      <c r="R20" s="0" t="str">
        <f aca="false">IF(B20="","",Q20&amp;"#"&amp;A20)</f>
        <v/>
      </c>
    </row>
    <row r="21" customFormat="false" ht="15" hidden="false" customHeight="false" outlineLevel="0" collapsed="false">
      <c r="A21" s="37"/>
      <c r="B21" s="10"/>
      <c r="C21" s="10"/>
      <c r="D21" s="10"/>
      <c r="E21" s="10"/>
      <c r="F21" s="6"/>
      <c r="G21" s="38"/>
      <c r="H21" s="38"/>
      <c r="I21" s="6"/>
      <c r="J21" s="38"/>
      <c r="K21" s="6"/>
      <c r="L21" s="25" t="str">
        <f aca="false">IF(B21="","",IFERROR(H21/G21,0))</f>
        <v/>
      </c>
      <c r="M21" s="7" t="str">
        <f aca="false">IF(B21="","",IFERROR(I21/H21,0))</f>
        <v/>
      </c>
      <c r="N21" s="25" t="str">
        <f aca="false">IF(B21="","",IFERROR(I21/K21,0))</f>
        <v/>
      </c>
      <c r="O21" s="26" t="str">
        <f aca="false">IF(B21="","",IFERROR(K21/I21,0))</f>
        <v/>
      </c>
      <c r="P21" s="10"/>
      <c r="Q21" s="4" t="str">
        <f aca="false">IF(B21="","",B21&amp;" | "&amp;C21)</f>
        <v/>
      </c>
      <c r="R21" s="0" t="str">
        <f aca="false">IF(B21="","",Q21&amp;"#"&amp;A21)</f>
        <v/>
      </c>
    </row>
    <row r="22" customFormat="false" ht="15" hidden="false" customHeight="false" outlineLevel="0" collapsed="false">
      <c r="A22" s="37"/>
      <c r="B22" s="10"/>
      <c r="C22" s="10"/>
      <c r="D22" s="10"/>
      <c r="E22" s="10"/>
      <c r="F22" s="6"/>
      <c r="G22" s="38"/>
      <c r="H22" s="38"/>
      <c r="I22" s="6"/>
      <c r="J22" s="38"/>
      <c r="K22" s="6"/>
      <c r="L22" s="25" t="str">
        <f aca="false">IF(B22="","",IFERROR(H22/G22,0))</f>
        <v/>
      </c>
      <c r="M22" s="7" t="str">
        <f aca="false">IF(B22="","",IFERROR(I22/H22,0))</f>
        <v/>
      </c>
      <c r="N22" s="25" t="str">
        <f aca="false">IF(B22="","",IFERROR(I22/K22,0))</f>
        <v/>
      </c>
      <c r="O22" s="26" t="str">
        <f aca="false">IF(B22="","",IFERROR(K22/I22,0))</f>
        <v/>
      </c>
      <c r="P22" s="10"/>
      <c r="Q22" s="4" t="str">
        <f aca="false">IF(B22="","",B22&amp;" | "&amp;C22)</f>
        <v/>
      </c>
      <c r="R22" s="0" t="str">
        <f aca="false">IF(B22="","",Q22&amp;"#"&amp;A22)</f>
        <v/>
      </c>
    </row>
    <row r="23" customFormat="false" ht="15" hidden="false" customHeight="false" outlineLevel="0" collapsed="false">
      <c r="A23" s="37"/>
      <c r="B23" s="10"/>
      <c r="C23" s="10"/>
      <c r="D23" s="10"/>
      <c r="E23" s="10"/>
      <c r="F23" s="6"/>
      <c r="G23" s="38"/>
      <c r="H23" s="38"/>
      <c r="I23" s="6"/>
      <c r="J23" s="38"/>
      <c r="K23" s="6"/>
      <c r="L23" s="25" t="str">
        <f aca="false">IF(B23="","",IFERROR(H23/G23,0))</f>
        <v/>
      </c>
      <c r="M23" s="7" t="str">
        <f aca="false">IF(B23="","",IFERROR(I23/H23,0))</f>
        <v/>
      </c>
      <c r="N23" s="25" t="str">
        <f aca="false">IF(B23="","",IFERROR(I23/K23,0))</f>
        <v/>
      </c>
      <c r="O23" s="26" t="str">
        <f aca="false">IF(B23="","",IFERROR(K23/I23,0))</f>
        <v/>
      </c>
      <c r="P23" s="10"/>
      <c r="Q23" s="4" t="str">
        <f aca="false">IF(B23="","",B23&amp;" | "&amp;C23)</f>
        <v/>
      </c>
      <c r="R23" s="0" t="str">
        <f aca="false">IF(B23="","",Q23&amp;"#"&amp;A23)</f>
        <v/>
      </c>
    </row>
    <row r="24" customFormat="false" ht="15" hidden="false" customHeight="false" outlineLevel="0" collapsed="false">
      <c r="A24" s="37"/>
      <c r="B24" s="10"/>
      <c r="C24" s="10"/>
      <c r="D24" s="10"/>
      <c r="E24" s="10"/>
      <c r="F24" s="6"/>
      <c r="G24" s="38"/>
      <c r="H24" s="38"/>
      <c r="I24" s="6"/>
      <c r="J24" s="38"/>
      <c r="K24" s="6"/>
      <c r="L24" s="25" t="str">
        <f aca="false">IF(B24="","",IFERROR(H24/G24,0))</f>
        <v/>
      </c>
      <c r="M24" s="7" t="str">
        <f aca="false">IF(B24="","",IFERROR(I24/H24,0))</f>
        <v/>
      </c>
      <c r="N24" s="25" t="str">
        <f aca="false">IF(B24="","",IFERROR(I24/K24,0))</f>
        <v/>
      </c>
      <c r="O24" s="26" t="str">
        <f aca="false">IF(B24="","",IFERROR(K24/I24,0))</f>
        <v/>
      </c>
      <c r="P24" s="10"/>
      <c r="Q24" s="4" t="str">
        <f aca="false">IF(B24="","",B24&amp;" | "&amp;C24)</f>
        <v/>
      </c>
      <c r="R24" s="0" t="str">
        <f aca="false">IF(B24="","",Q24&amp;"#"&amp;A24)</f>
        <v/>
      </c>
    </row>
    <row r="25" customFormat="false" ht="15" hidden="false" customHeight="false" outlineLevel="0" collapsed="false">
      <c r="A25" s="37"/>
      <c r="B25" s="10"/>
      <c r="C25" s="10"/>
      <c r="D25" s="10"/>
      <c r="E25" s="10"/>
      <c r="F25" s="6"/>
      <c r="G25" s="38"/>
      <c r="H25" s="38"/>
      <c r="I25" s="6"/>
      <c r="J25" s="38"/>
      <c r="K25" s="6"/>
      <c r="L25" s="25" t="str">
        <f aca="false">IF(B25="","",IFERROR(H25/G25,0))</f>
        <v/>
      </c>
      <c r="M25" s="7" t="str">
        <f aca="false">IF(B25="","",IFERROR(I25/H25,0))</f>
        <v/>
      </c>
      <c r="N25" s="25" t="str">
        <f aca="false">IF(B25="","",IFERROR(I25/K25,0))</f>
        <v/>
      </c>
      <c r="O25" s="26" t="str">
        <f aca="false">IF(B25="","",IFERROR(K25/I25,0))</f>
        <v/>
      </c>
      <c r="P25" s="10"/>
      <c r="Q25" s="4" t="str">
        <f aca="false">IF(B25="","",B25&amp;" | "&amp;C25)</f>
        <v/>
      </c>
      <c r="R25" s="0" t="str">
        <f aca="false">IF(B25="","",Q25&amp;"#"&amp;A25)</f>
        <v/>
      </c>
    </row>
    <row r="26" customFormat="false" ht="15" hidden="false" customHeight="false" outlineLevel="0" collapsed="false">
      <c r="A26" s="37"/>
      <c r="B26" s="10"/>
      <c r="C26" s="10"/>
      <c r="D26" s="10"/>
      <c r="E26" s="10"/>
      <c r="F26" s="6"/>
      <c r="G26" s="38"/>
      <c r="H26" s="38"/>
      <c r="I26" s="6"/>
      <c r="J26" s="38"/>
      <c r="K26" s="6"/>
      <c r="L26" s="25" t="str">
        <f aca="false">IF(B26="","",IFERROR(H26/G26,0))</f>
        <v/>
      </c>
      <c r="M26" s="7" t="str">
        <f aca="false">IF(B26="","",IFERROR(I26/H26,0))</f>
        <v/>
      </c>
      <c r="N26" s="25" t="str">
        <f aca="false">IF(B26="","",IFERROR(I26/K26,0))</f>
        <v/>
      </c>
      <c r="O26" s="26" t="str">
        <f aca="false">IF(B26="","",IFERROR(K26/I26,0))</f>
        <v/>
      </c>
      <c r="P26" s="10"/>
      <c r="Q26" s="4" t="str">
        <f aca="false">IF(B26="","",B26&amp;" | "&amp;C26)</f>
        <v/>
      </c>
      <c r="R26" s="0" t="str">
        <f aca="false">IF(B26="","",Q26&amp;"#"&amp;A26)</f>
        <v/>
      </c>
    </row>
    <row r="27" customFormat="false" ht="15" hidden="false" customHeight="false" outlineLevel="0" collapsed="false">
      <c r="A27" s="37"/>
      <c r="B27" s="10"/>
      <c r="C27" s="10"/>
      <c r="D27" s="10"/>
      <c r="E27" s="10"/>
      <c r="F27" s="6"/>
      <c r="G27" s="38"/>
      <c r="H27" s="38"/>
      <c r="I27" s="6"/>
      <c r="J27" s="38"/>
      <c r="K27" s="6"/>
      <c r="L27" s="25" t="str">
        <f aca="false">IF(B27="","",IFERROR(H27/G27,0))</f>
        <v/>
      </c>
      <c r="M27" s="7" t="str">
        <f aca="false">IF(B27="","",IFERROR(I27/H27,0))</f>
        <v/>
      </c>
      <c r="N27" s="25" t="str">
        <f aca="false">IF(B27="","",IFERROR(I27/K27,0))</f>
        <v/>
      </c>
      <c r="O27" s="26" t="str">
        <f aca="false">IF(B27="","",IFERROR(K27/I27,0))</f>
        <v/>
      </c>
      <c r="P27" s="10"/>
      <c r="Q27" s="4" t="str">
        <f aca="false">IF(B27="","",B27&amp;" | "&amp;C27)</f>
        <v/>
      </c>
      <c r="R27" s="0" t="str">
        <f aca="false">IF(B27="","",Q27&amp;"#"&amp;A27)</f>
        <v/>
      </c>
    </row>
    <row r="28" customFormat="false" ht="15" hidden="false" customHeight="false" outlineLevel="0" collapsed="false">
      <c r="A28" s="37"/>
      <c r="B28" s="10"/>
      <c r="C28" s="10"/>
      <c r="D28" s="10"/>
      <c r="E28" s="10"/>
      <c r="F28" s="6"/>
      <c r="G28" s="38"/>
      <c r="H28" s="38"/>
      <c r="I28" s="6"/>
      <c r="J28" s="38"/>
      <c r="K28" s="6"/>
      <c r="L28" s="25" t="str">
        <f aca="false">IF(B28="","",IFERROR(H28/G28,0))</f>
        <v/>
      </c>
      <c r="M28" s="7" t="str">
        <f aca="false">IF(B28="","",IFERROR(I28/H28,0))</f>
        <v/>
      </c>
      <c r="N28" s="25" t="str">
        <f aca="false">IF(B28="","",IFERROR(I28/K28,0))</f>
        <v/>
      </c>
      <c r="O28" s="26" t="str">
        <f aca="false">IF(B28="","",IFERROR(K28/I28,0))</f>
        <v/>
      </c>
      <c r="P28" s="10"/>
      <c r="Q28" s="4" t="str">
        <f aca="false">IF(B28="","",B28&amp;" | "&amp;C28)</f>
        <v/>
      </c>
      <c r="R28" s="0" t="str">
        <f aca="false">IF(B28="","",Q28&amp;"#"&amp;A28)</f>
        <v/>
      </c>
    </row>
    <row r="29" customFormat="false" ht="15" hidden="false" customHeight="false" outlineLevel="0" collapsed="false">
      <c r="A29" s="37"/>
      <c r="B29" s="10"/>
      <c r="C29" s="10"/>
      <c r="D29" s="10"/>
      <c r="E29" s="10"/>
      <c r="F29" s="6"/>
      <c r="G29" s="38"/>
      <c r="H29" s="38"/>
      <c r="I29" s="6"/>
      <c r="J29" s="38"/>
      <c r="K29" s="6"/>
      <c r="L29" s="25" t="str">
        <f aca="false">IF(B29="","",IFERROR(H29/G29,0))</f>
        <v/>
      </c>
      <c r="M29" s="7" t="str">
        <f aca="false">IF(B29="","",IFERROR(I29/H29,0))</f>
        <v/>
      </c>
      <c r="N29" s="25" t="str">
        <f aca="false">IF(B29="","",IFERROR(I29/K29,0))</f>
        <v/>
      </c>
      <c r="O29" s="26" t="str">
        <f aca="false">IF(B29="","",IFERROR(K29/I29,0))</f>
        <v/>
      </c>
      <c r="P29" s="10"/>
      <c r="Q29" s="4" t="str">
        <f aca="false">IF(B29="","",B29&amp;" | "&amp;C29)</f>
        <v/>
      </c>
      <c r="R29" s="0" t="str">
        <f aca="false">IF(B29="","",Q29&amp;"#"&amp;A29)</f>
        <v/>
      </c>
    </row>
    <row r="30" customFormat="false" ht="15" hidden="false" customHeight="false" outlineLevel="0" collapsed="false">
      <c r="A30" s="37"/>
      <c r="B30" s="10"/>
      <c r="C30" s="10"/>
      <c r="D30" s="10"/>
      <c r="E30" s="10"/>
      <c r="F30" s="6"/>
      <c r="G30" s="38"/>
      <c r="H30" s="38"/>
      <c r="I30" s="6"/>
      <c r="J30" s="38"/>
      <c r="K30" s="6"/>
      <c r="L30" s="25" t="str">
        <f aca="false">IF(B30="","",IFERROR(H30/G30,0))</f>
        <v/>
      </c>
      <c r="M30" s="7" t="str">
        <f aca="false">IF(B30="","",IFERROR(I30/H30,0))</f>
        <v/>
      </c>
      <c r="N30" s="25" t="str">
        <f aca="false">IF(B30="","",IFERROR(I30/K30,0))</f>
        <v/>
      </c>
      <c r="O30" s="26" t="str">
        <f aca="false">IF(B30="","",IFERROR(K30/I30,0))</f>
        <v/>
      </c>
      <c r="P30" s="10"/>
      <c r="Q30" s="4" t="str">
        <f aca="false">IF(B30="","",B30&amp;" | "&amp;C30)</f>
        <v/>
      </c>
      <c r="R30" s="0" t="str">
        <f aca="false">IF(B30="","",Q30&amp;"#"&amp;A30)</f>
        <v/>
      </c>
    </row>
    <row r="31" customFormat="false" ht="15" hidden="false" customHeight="false" outlineLevel="0" collapsed="false">
      <c r="A31" s="37"/>
      <c r="B31" s="10"/>
      <c r="C31" s="10"/>
      <c r="D31" s="10"/>
      <c r="E31" s="10"/>
      <c r="F31" s="6"/>
      <c r="G31" s="38"/>
      <c r="H31" s="38"/>
      <c r="I31" s="6"/>
      <c r="J31" s="38"/>
      <c r="K31" s="6"/>
      <c r="L31" s="25" t="str">
        <f aca="false">IF(B31="","",IFERROR(H31/G31,0))</f>
        <v/>
      </c>
      <c r="M31" s="7" t="str">
        <f aca="false">IF(B31="","",IFERROR(I31/H31,0))</f>
        <v/>
      </c>
      <c r="N31" s="25" t="str">
        <f aca="false">IF(B31="","",IFERROR(I31/K31,0))</f>
        <v/>
      </c>
      <c r="O31" s="26" t="str">
        <f aca="false">IF(B31="","",IFERROR(K31/I31,0))</f>
        <v/>
      </c>
      <c r="P31" s="10"/>
      <c r="Q31" s="4" t="str">
        <f aca="false">IF(B31="","",B31&amp;" | "&amp;C31)</f>
        <v/>
      </c>
      <c r="R31" s="0" t="str">
        <f aca="false">IF(B31="","",Q31&amp;"#"&amp;A31)</f>
        <v/>
      </c>
    </row>
    <row r="32" customFormat="false" ht="15" hidden="false" customHeight="false" outlineLevel="0" collapsed="false">
      <c r="A32" s="37"/>
      <c r="B32" s="10"/>
      <c r="C32" s="10"/>
      <c r="D32" s="10"/>
      <c r="E32" s="10"/>
      <c r="F32" s="6"/>
      <c r="G32" s="38"/>
      <c r="H32" s="38"/>
      <c r="I32" s="6"/>
      <c r="J32" s="38"/>
      <c r="K32" s="6"/>
      <c r="L32" s="25" t="str">
        <f aca="false">IF(B32="","",IFERROR(H32/G32,0))</f>
        <v/>
      </c>
      <c r="M32" s="7" t="str">
        <f aca="false">IF(B32="","",IFERROR(I32/H32,0))</f>
        <v/>
      </c>
      <c r="N32" s="25" t="str">
        <f aca="false">IF(B32="","",IFERROR(I32/K32,0))</f>
        <v/>
      </c>
      <c r="O32" s="26" t="str">
        <f aca="false">IF(B32="","",IFERROR(K32/I32,0))</f>
        <v/>
      </c>
      <c r="P32" s="10"/>
      <c r="Q32" s="4" t="str">
        <f aca="false">IF(B32="","",B32&amp;" | "&amp;C32)</f>
        <v/>
      </c>
      <c r="R32" s="0" t="str">
        <f aca="false">IF(B32="","",Q32&amp;"#"&amp;A32)</f>
        <v/>
      </c>
    </row>
    <row r="33" customFormat="false" ht="15" hidden="false" customHeight="false" outlineLevel="0" collapsed="false">
      <c r="A33" s="37"/>
      <c r="B33" s="10"/>
      <c r="C33" s="10"/>
      <c r="D33" s="10"/>
      <c r="E33" s="10"/>
      <c r="F33" s="6"/>
      <c r="G33" s="38"/>
      <c r="H33" s="38"/>
      <c r="I33" s="6"/>
      <c r="J33" s="38"/>
      <c r="K33" s="6"/>
      <c r="L33" s="25" t="str">
        <f aca="false">IF(B33="","",IFERROR(H33/G33,0))</f>
        <v/>
      </c>
      <c r="M33" s="7" t="str">
        <f aca="false">IF(B33="","",IFERROR(I33/H33,0))</f>
        <v/>
      </c>
      <c r="N33" s="25" t="str">
        <f aca="false">IF(B33="","",IFERROR(I33/K33,0))</f>
        <v/>
      </c>
      <c r="O33" s="26" t="str">
        <f aca="false">IF(B33="","",IFERROR(K33/I33,0))</f>
        <v/>
      </c>
      <c r="P33" s="10"/>
      <c r="Q33" s="4" t="str">
        <f aca="false">IF(B33="","",B33&amp;" | "&amp;C33)</f>
        <v/>
      </c>
      <c r="R33" s="0" t="str">
        <f aca="false">IF(B33="","",Q33&amp;"#"&amp;A33)</f>
        <v/>
      </c>
    </row>
    <row r="34" customFormat="false" ht="15" hidden="false" customHeight="false" outlineLevel="0" collapsed="false">
      <c r="A34" s="37"/>
      <c r="B34" s="10"/>
      <c r="C34" s="10"/>
      <c r="D34" s="10"/>
      <c r="E34" s="10"/>
      <c r="F34" s="6"/>
      <c r="G34" s="38"/>
      <c r="H34" s="38"/>
      <c r="I34" s="6"/>
      <c r="J34" s="38"/>
      <c r="K34" s="6"/>
      <c r="L34" s="25" t="str">
        <f aca="false">IF(B34="","",IFERROR(H34/G34,0))</f>
        <v/>
      </c>
      <c r="M34" s="7" t="str">
        <f aca="false">IF(B34="","",IFERROR(I34/H34,0))</f>
        <v/>
      </c>
      <c r="N34" s="25" t="str">
        <f aca="false">IF(B34="","",IFERROR(I34/K34,0))</f>
        <v/>
      </c>
      <c r="O34" s="26" t="str">
        <f aca="false">IF(B34="","",IFERROR(K34/I34,0))</f>
        <v/>
      </c>
      <c r="P34" s="10"/>
      <c r="Q34" s="4" t="str">
        <f aca="false">IF(B34="","",B34&amp;" | "&amp;C34)</f>
        <v/>
      </c>
      <c r="R34" s="0" t="str">
        <f aca="false">IF(B34="","",Q34&amp;"#"&amp;A34)</f>
        <v/>
      </c>
    </row>
    <row r="35" customFormat="false" ht="15" hidden="false" customHeight="false" outlineLevel="0" collapsed="false">
      <c r="A35" s="37"/>
      <c r="B35" s="10"/>
      <c r="C35" s="10"/>
      <c r="D35" s="10"/>
      <c r="E35" s="10"/>
      <c r="F35" s="6"/>
      <c r="G35" s="38"/>
      <c r="H35" s="38"/>
      <c r="I35" s="6"/>
      <c r="J35" s="38"/>
      <c r="K35" s="6"/>
      <c r="L35" s="25" t="str">
        <f aca="false">IF(B35="","",IFERROR(H35/G35,0))</f>
        <v/>
      </c>
      <c r="M35" s="7" t="str">
        <f aca="false">IF(B35="","",IFERROR(I35/H35,0))</f>
        <v/>
      </c>
      <c r="N35" s="25" t="str">
        <f aca="false">IF(B35="","",IFERROR(I35/K35,0))</f>
        <v/>
      </c>
      <c r="O35" s="26" t="str">
        <f aca="false">IF(B35="","",IFERROR(K35/I35,0))</f>
        <v/>
      </c>
      <c r="P35" s="10"/>
      <c r="Q35" s="4" t="str">
        <f aca="false">IF(B35="","",B35&amp;" | "&amp;C35)</f>
        <v/>
      </c>
      <c r="R35" s="0" t="str">
        <f aca="false">IF(B35="","",Q35&amp;"#"&amp;A35)</f>
        <v/>
      </c>
    </row>
    <row r="36" customFormat="false" ht="15" hidden="false" customHeight="false" outlineLevel="0" collapsed="false">
      <c r="A36" s="37"/>
      <c r="B36" s="10"/>
      <c r="C36" s="10"/>
      <c r="D36" s="10"/>
      <c r="E36" s="10"/>
      <c r="F36" s="6"/>
      <c r="G36" s="38"/>
      <c r="H36" s="38"/>
      <c r="I36" s="6"/>
      <c r="J36" s="38"/>
      <c r="K36" s="6"/>
      <c r="L36" s="25" t="str">
        <f aca="false">IF(B36="","",IFERROR(H36/G36,0))</f>
        <v/>
      </c>
      <c r="M36" s="7" t="str">
        <f aca="false">IF(B36="","",IFERROR(I36/H36,0))</f>
        <v/>
      </c>
      <c r="N36" s="25" t="str">
        <f aca="false">IF(B36="","",IFERROR(I36/K36,0))</f>
        <v/>
      </c>
      <c r="O36" s="26" t="str">
        <f aca="false">IF(B36="","",IFERROR(K36/I36,0))</f>
        <v/>
      </c>
      <c r="P36" s="10"/>
      <c r="Q36" s="4" t="str">
        <f aca="false">IF(B36="","",B36&amp;" | "&amp;C36)</f>
        <v/>
      </c>
      <c r="R36" s="0" t="str">
        <f aca="false">IF(B36="","",Q36&amp;"#"&amp;A36)</f>
        <v/>
      </c>
    </row>
    <row r="37" customFormat="false" ht="15" hidden="false" customHeight="false" outlineLevel="0" collapsed="false">
      <c r="A37" s="37"/>
      <c r="B37" s="10"/>
      <c r="C37" s="10"/>
      <c r="D37" s="10"/>
      <c r="E37" s="10"/>
      <c r="F37" s="6"/>
      <c r="G37" s="38"/>
      <c r="H37" s="38"/>
      <c r="I37" s="6"/>
      <c r="J37" s="38"/>
      <c r="K37" s="6"/>
      <c r="L37" s="25" t="str">
        <f aca="false">IF(B37="","",IFERROR(H37/G37,0))</f>
        <v/>
      </c>
      <c r="M37" s="7" t="str">
        <f aca="false">IF(B37="","",IFERROR(I37/H37,0))</f>
        <v/>
      </c>
      <c r="N37" s="25" t="str">
        <f aca="false">IF(B37="","",IFERROR(I37/K37,0))</f>
        <v/>
      </c>
      <c r="O37" s="26" t="str">
        <f aca="false">IF(B37="","",IFERROR(K37/I37,0))</f>
        <v/>
      </c>
      <c r="P37" s="10"/>
      <c r="Q37" s="4" t="str">
        <f aca="false">IF(B37="","",B37&amp;" | "&amp;C37)</f>
        <v/>
      </c>
      <c r="R37" s="0" t="str">
        <f aca="false">IF(B37="","",Q37&amp;"#"&amp;A37)</f>
        <v/>
      </c>
    </row>
    <row r="38" customFormat="false" ht="15" hidden="false" customHeight="false" outlineLevel="0" collapsed="false">
      <c r="A38" s="37"/>
      <c r="B38" s="10"/>
      <c r="C38" s="10"/>
      <c r="D38" s="10"/>
      <c r="E38" s="10"/>
      <c r="F38" s="6"/>
      <c r="G38" s="38"/>
      <c r="H38" s="38"/>
      <c r="I38" s="6"/>
      <c r="J38" s="38"/>
      <c r="K38" s="6"/>
      <c r="L38" s="25" t="str">
        <f aca="false">IF(B38="","",IFERROR(H38/G38,0))</f>
        <v/>
      </c>
      <c r="M38" s="7" t="str">
        <f aca="false">IF(B38="","",IFERROR(I38/H38,0))</f>
        <v/>
      </c>
      <c r="N38" s="25" t="str">
        <f aca="false">IF(B38="","",IFERROR(I38/K38,0))</f>
        <v/>
      </c>
      <c r="O38" s="26" t="str">
        <f aca="false">IF(B38="","",IFERROR(K38/I38,0))</f>
        <v/>
      </c>
      <c r="P38" s="10"/>
      <c r="Q38" s="4" t="str">
        <f aca="false">IF(B38="","",B38&amp;" | "&amp;C38)</f>
        <v/>
      </c>
      <c r="R38" s="0" t="str">
        <f aca="false">IF(B38="","",Q38&amp;"#"&amp;A38)</f>
        <v/>
      </c>
    </row>
    <row r="39" customFormat="false" ht="15" hidden="false" customHeight="false" outlineLevel="0" collapsed="false">
      <c r="A39" s="37"/>
      <c r="B39" s="10"/>
      <c r="C39" s="10"/>
      <c r="D39" s="10"/>
      <c r="E39" s="10"/>
      <c r="F39" s="6"/>
      <c r="G39" s="38"/>
      <c r="H39" s="38"/>
      <c r="I39" s="6"/>
      <c r="J39" s="38"/>
      <c r="K39" s="6"/>
      <c r="L39" s="25" t="str">
        <f aca="false">IF(B39="","",IFERROR(H39/G39,0))</f>
        <v/>
      </c>
      <c r="M39" s="7" t="str">
        <f aca="false">IF(B39="","",IFERROR(I39/H39,0))</f>
        <v/>
      </c>
      <c r="N39" s="25" t="str">
        <f aca="false">IF(B39="","",IFERROR(I39/K39,0))</f>
        <v/>
      </c>
      <c r="O39" s="26" t="str">
        <f aca="false">IF(B39="","",IFERROR(K39/I39,0))</f>
        <v/>
      </c>
      <c r="P39" s="10"/>
      <c r="Q39" s="4" t="str">
        <f aca="false">IF(B39="","",B39&amp;" | "&amp;C39)</f>
        <v/>
      </c>
      <c r="R39" s="0" t="str">
        <f aca="false">IF(B39="","",Q39&amp;"#"&amp;A39)</f>
        <v/>
      </c>
    </row>
    <row r="40" customFormat="false" ht="15" hidden="false" customHeight="false" outlineLevel="0" collapsed="false">
      <c r="A40" s="37"/>
      <c r="B40" s="10"/>
      <c r="C40" s="10"/>
      <c r="D40" s="10"/>
      <c r="E40" s="10"/>
      <c r="F40" s="6"/>
      <c r="G40" s="38"/>
      <c r="H40" s="38"/>
      <c r="I40" s="6"/>
      <c r="J40" s="38"/>
      <c r="K40" s="6"/>
      <c r="L40" s="25" t="str">
        <f aca="false">IF(B40="","",IFERROR(H40/G40,0))</f>
        <v/>
      </c>
      <c r="M40" s="7" t="str">
        <f aca="false">IF(B40="","",IFERROR(I40/H40,0))</f>
        <v/>
      </c>
      <c r="N40" s="25" t="str">
        <f aca="false">IF(B40="","",IFERROR(I40/K40,0))</f>
        <v/>
      </c>
      <c r="O40" s="26" t="str">
        <f aca="false">IF(B40="","",IFERROR(K40/I40,0))</f>
        <v/>
      </c>
      <c r="P40" s="10"/>
      <c r="Q40" s="4" t="str">
        <f aca="false">IF(B40="","",B40&amp;" | "&amp;C40)</f>
        <v/>
      </c>
      <c r="R40" s="0" t="str">
        <f aca="false">IF(B40="","",Q40&amp;"#"&amp;A40)</f>
        <v/>
      </c>
    </row>
    <row r="41" customFormat="false" ht="15" hidden="false" customHeight="false" outlineLevel="0" collapsed="false">
      <c r="A41" s="37"/>
      <c r="B41" s="10"/>
      <c r="C41" s="10"/>
      <c r="D41" s="10"/>
      <c r="E41" s="10"/>
      <c r="F41" s="6"/>
      <c r="G41" s="38"/>
      <c r="H41" s="38"/>
      <c r="I41" s="6"/>
      <c r="J41" s="38"/>
      <c r="K41" s="6"/>
      <c r="L41" s="25" t="str">
        <f aca="false">IF(B41="","",IFERROR(H41/G41,0))</f>
        <v/>
      </c>
      <c r="M41" s="7" t="str">
        <f aca="false">IF(B41="","",IFERROR(I41/H41,0))</f>
        <v/>
      </c>
      <c r="N41" s="25" t="str">
        <f aca="false">IF(B41="","",IFERROR(I41/K41,0))</f>
        <v/>
      </c>
      <c r="O41" s="26" t="str">
        <f aca="false">IF(B41="","",IFERROR(K41/I41,0))</f>
        <v/>
      </c>
      <c r="P41" s="10"/>
      <c r="Q41" s="4" t="str">
        <f aca="false">IF(B41="","",B41&amp;" | "&amp;C41)</f>
        <v/>
      </c>
      <c r="R41" s="0" t="str">
        <f aca="false">IF(B41="","",Q41&amp;"#"&amp;A41)</f>
        <v/>
      </c>
    </row>
    <row r="42" customFormat="false" ht="15" hidden="false" customHeight="false" outlineLevel="0" collapsed="false">
      <c r="A42" s="37"/>
      <c r="B42" s="10"/>
      <c r="C42" s="10"/>
      <c r="D42" s="10"/>
      <c r="E42" s="10"/>
      <c r="F42" s="6"/>
      <c r="G42" s="38"/>
      <c r="H42" s="38"/>
      <c r="I42" s="6"/>
      <c r="J42" s="38"/>
      <c r="K42" s="6"/>
      <c r="L42" s="25" t="str">
        <f aca="false">IF(B42="","",IFERROR(H42/G42,0))</f>
        <v/>
      </c>
      <c r="M42" s="7" t="str">
        <f aca="false">IF(B42="","",IFERROR(I42/H42,0))</f>
        <v/>
      </c>
      <c r="N42" s="25" t="str">
        <f aca="false">IF(B42="","",IFERROR(I42/K42,0))</f>
        <v/>
      </c>
      <c r="O42" s="26" t="str">
        <f aca="false">IF(B42="","",IFERROR(K42/I42,0))</f>
        <v/>
      </c>
      <c r="P42" s="10"/>
      <c r="Q42" s="4" t="str">
        <f aca="false">IF(B42="","",B42&amp;" | "&amp;C42)</f>
        <v/>
      </c>
      <c r="R42" s="0" t="str">
        <f aca="false">IF(B42="","",Q42&amp;"#"&amp;A42)</f>
        <v/>
      </c>
    </row>
    <row r="43" customFormat="false" ht="15" hidden="false" customHeight="false" outlineLevel="0" collapsed="false">
      <c r="A43" s="37"/>
      <c r="B43" s="10"/>
      <c r="C43" s="10"/>
      <c r="D43" s="10"/>
      <c r="E43" s="10"/>
      <c r="F43" s="6"/>
      <c r="G43" s="38"/>
      <c r="H43" s="38"/>
      <c r="I43" s="6"/>
      <c r="J43" s="38"/>
      <c r="K43" s="6"/>
      <c r="L43" s="25" t="str">
        <f aca="false">IF(B43="","",IFERROR(H43/G43,0))</f>
        <v/>
      </c>
      <c r="M43" s="7" t="str">
        <f aca="false">IF(B43="","",IFERROR(I43/H43,0))</f>
        <v/>
      </c>
      <c r="N43" s="25" t="str">
        <f aca="false">IF(B43="","",IFERROR(I43/K43,0))</f>
        <v/>
      </c>
      <c r="O43" s="26" t="str">
        <f aca="false">IF(B43="","",IFERROR(K43/I43,0))</f>
        <v/>
      </c>
      <c r="P43" s="10"/>
      <c r="Q43" s="4" t="str">
        <f aca="false">IF(B43="","",B43&amp;" | "&amp;C43)</f>
        <v/>
      </c>
      <c r="R43" s="0" t="str">
        <f aca="false">IF(B43="","",Q43&amp;"#"&amp;A43)</f>
        <v/>
      </c>
    </row>
    <row r="44" customFormat="false" ht="15" hidden="false" customHeight="false" outlineLevel="0" collapsed="false">
      <c r="A44" s="37"/>
      <c r="B44" s="10"/>
      <c r="C44" s="10"/>
      <c r="D44" s="10"/>
      <c r="E44" s="10"/>
      <c r="F44" s="6"/>
      <c r="G44" s="38"/>
      <c r="H44" s="38"/>
      <c r="I44" s="6"/>
      <c r="J44" s="38"/>
      <c r="K44" s="6"/>
      <c r="L44" s="25" t="str">
        <f aca="false">IF(B44="","",IFERROR(H44/G44,0))</f>
        <v/>
      </c>
      <c r="M44" s="7" t="str">
        <f aca="false">IF(B44="","",IFERROR(I44/H44,0))</f>
        <v/>
      </c>
      <c r="N44" s="25" t="str">
        <f aca="false">IF(B44="","",IFERROR(I44/K44,0))</f>
        <v/>
      </c>
      <c r="O44" s="26" t="str">
        <f aca="false">IF(B44="","",IFERROR(K44/I44,0))</f>
        <v/>
      </c>
      <c r="P44" s="10"/>
      <c r="Q44" s="4" t="str">
        <f aca="false">IF(B44="","",B44&amp;" | "&amp;C44)</f>
        <v/>
      </c>
      <c r="R44" s="0" t="str">
        <f aca="false">IF(B44="","",Q44&amp;"#"&amp;A44)</f>
        <v/>
      </c>
    </row>
    <row r="45" customFormat="false" ht="15" hidden="false" customHeight="false" outlineLevel="0" collapsed="false">
      <c r="A45" s="37"/>
      <c r="B45" s="10"/>
      <c r="C45" s="10"/>
      <c r="D45" s="10"/>
      <c r="E45" s="10"/>
      <c r="F45" s="6"/>
      <c r="G45" s="38"/>
      <c r="H45" s="38"/>
      <c r="I45" s="6"/>
      <c r="J45" s="38"/>
      <c r="K45" s="6"/>
      <c r="L45" s="25" t="str">
        <f aca="false">IF(B45="","",IFERROR(H45/G45,0))</f>
        <v/>
      </c>
      <c r="M45" s="7" t="str">
        <f aca="false">IF(B45="","",IFERROR(I45/H45,0))</f>
        <v/>
      </c>
      <c r="N45" s="25" t="str">
        <f aca="false">IF(B45="","",IFERROR(I45/K45,0))</f>
        <v/>
      </c>
      <c r="O45" s="26" t="str">
        <f aca="false">IF(B45="","",IFERROR(K45/I45,0))</f>
        <v/>
      </c>
      <c r="P45" s="10"/>
      <c r="Q45" s="4" t="str">
        <f aca="false">IF(B45="","",B45&amp;" | "&amp;C45)</f>
        <v/>
      </c>
      <c r="R45" s="0" t="str">
        <f aca="false">IF(B45="","",Q45&amp;"#"&amp;A45)</f>
        <v/>
      </c>
    </row>
    <row r="46" customFormat="false" ht="15" hidden="false" customHeight="false" outlineLevel="0" collapsed="false">
      <c r="A46" s="37"/>
      <c r="B46" s="10"/>
      <c r="C46" s="10"/>
      <c r="D46" s="10"/>
      <c r="E46" s="10"/>
      <c r="F46" s="6"/>
      <c r="G46" s="38"/>
      <c r="H46" s="38"/>
      <c r="I46" s="6"/>
      <c r="J46" s="38"/>
      <c r="K46" s="6"/>
      <c r="L46" s="25" t="str">
        <f aca="false">IF(B46="","",IFERROR(H46/G46,0))</f>
        <v/>
      </c>
      <c r="M46" s="7" t="str">
        <f aca="false">IF(B46="","",IFERROR(I46/H46,0))</f>
        <v/>
      </c>
      <c r="N46" s="25" t="str">
        <f aca="false">IF(B46="","",IFERROR(I46/K46,0))</f>
        <v/>
      </c>
      <c r="O46" s="26" t="str">
        <f aca="false">IF(B46="","",IFERROR(K46/I46,0))</f>
        <v/>
      </c>
      <c r="P46" s="10"/>
      <c r="Q46" s="4" t="str">
        <f aca="false">IF(B46="","",B46&amp;" | "&amp;C46)</f>
        <v/>
      </c>
      <c r="R46" s="0" t="str">
        <f aca="false">IF(B46="","",Q46&amp;"#"&amp;A46)</f>
        <v/>
      </c>
    </row>
    <row r="47" customFormat="false" ht="15" hidden="false" customHeight="false" outlineLevel="0" collapsed="false">
      <c r="A47" s="37"/>
      <c r="B47" s="10"/>
      <c r="C47" s="10"/>
      <c r="D47" s="10"/>
      <c r="E47" s="10"/>
      <c r="F47" s="6"/>
      <c r="G47" s="38"/>
      <c r="H47" s="38"/>
      <c r="I47" s="6"/>
      <c r="J47" s="38"/>
      <c r="K47" s="6"/>
      <c r="L47" s="25" t="str">
        <f aca="false">IF(B47="","",IFERROR(H47/G47,0))</f>
        <v/>
      </c>
      <c r="M47" s="7" t="str">
        <f aca="false">IF(B47="","",IFERROR(I47/H47,0))</f>
        <v/>
      </c>
      <c r="N47" s="25" t="str">
        <f aca="false">IF(B47="","",IFERROR(I47/K47,0))</f>
        <v/>
      </c>
      <c r="O47" s="26" t="str">
        <f aca="false">IF(B47="","",IFERROR(K47/I47,0))</f>
        <v/>
      </c>
      <c r="P47" s="10"/>
      <c r="Q47" s="4" t="str">
        <f aca="false">IF(B47="","",B47&amp;" | "&amp;C47)</f>
        <v/>
      </c>
      <c r="R47" s="0" t="str">
        <f aca="false">IF(B47="","",Q47&amp;"#"&amp;A47)</f>
        <v/>
      </c>
    </row>
    <row r="48" customFormat="false" ht="15" hidden="false" customHeight="false" outlineLevel="0" collapsed="false">
      <c r="A48" s="37"/>
      <c r="B48" s="10"/>
      <c r="C48" s="10"/>
      <c r="D48" s="10"/>
      <c r="E48" s="10"/>
      <c r="F48" s="6"/>
      <c r="G48" s="38"/>
      <c r="H48" s="38"/>
      <c r="I48" s="6"/>
      <c r="J48" s="38"/>
      <c r="K48" s="6"/>
      <c r="L48" s="25" t="str">
        <f aca="false">IF(B48="","",IFERROR(H48/G48,0))</f>
        <v/>
      </c>
      <c r="M48" s="7" t="str">
        <f aca="false">IF(B48="","",IFERROR(I48/H48,0))</f>
        <v/>
      </c>
      <c r="N48" s="25" t="str">
        <f aca="false">IF(B48="","",IFERROR(I48/K48,0))</f>
        <v/>
      </c>
      <c r="O48" s="26" t="str">
        <f aca="false">IF(B48="","",IFERROR(K48/I48,0))</f>
        <v/>
      </c>
      <c r="P48" s="10"/>
      <c r="Q48" s="4" t="str">
        <f aca="false">IF(B48="","",B48&amp;" | "&amp;C48)</f>
        <v/>
      </c>
      <c r="R48" s="0" t="str">
        <f aca="false">IF(B48="","",Q48&amp;"#"&amp;A48)</f>
        <v/>
      </c>
    </row>
    <row r="49" customFormat="false" ht="15" hidden="false" customHeight="false" outlineLevel="0" collapsed="false">
      <c r="A49" s="37"/>
      <c r="B49" s="10"/>
      <c r="C49" s="10"/>
      <c r="D49" s="10"/>
      <c r="E49" s="10"/>
      <c r="F49" s="6"/>
      <c r="G49" s="38"/>
      <c r="H49" s="38"/>
      <c r="I49" s="6"/>
      <c r="J49" s="38"/>
      <c r="K49" s="6"/>
      <c r="L49" s="25" t="str">
        <f aca="false">IF(B49="","",IFERROR(H49/G49,0))</f>
        <v/>
      </c>
      <c r="M49" s="7" t="str">
        <f aca="false">IF(B49="","",IFERROR(I49/H49,0))</f>
        <v/>
      </c>
      <c r="N49" s="25" t="str">
        <f aca="false">IF(B49="","",IFERROR(I49/K49,0))</f>
        <v/>
      </c>
      <c r="O49" s="26" t="str">
        <f aca="false">IF(B49="","",IFERROR(K49/I49,0))</f>
        <v/>
      </c>
      <c r="P49" s="10"/>
      <c r="Q49" s="4" t="str">
        <f aca="false">IF(B49="","",B49&amp;" | "&amp;C49)</f>
        <v/>
      </c>
      <c r="R49" s="0" t="str">
        <f aca="false">IF(B49="","",Q49&amp;"#"&amp;A49)</f>
        <v/>
      </c>
    </row>
    <row r="50" customFormat="false" ht="15" hidden="false" customHeight="false" outlineLevel="0" collapsed="false">
      <c r="A50" s="37"/>
      <c r="B50" s="10"/>
      <c r="C50" s="10"/>
      <c r="D50" s="10"/>
      <c r="E50" s="10"/>
      <c r="F50" s="6"/>
      <c r="G50" s="38"/>
      <c r="H50" s="38"/>
      <c r="I50" s="6"/>
      <c r="J50" s="38"/>
      <c r="K50" s="6"/>
      <c r="L50" s="25" t="str">
        <f aca="false">IF(B50="","",IFERROR(H50/G50,0))</f>
        <v/>
      </c>
      <c r="M50" s="7" t="str">
        <f aca="false">IF(B50="","",IFERROR(I50/H50,0))</f>
        <v/>
      </c>
      <c r="N50" s="25" t="str">
        <f aca="false">IF(B50="","",IFERROR(I50/K50,0))</f>
        <v/>
      </c>
      <c r="O50" s="26" t="str">
        <f aca="false">IF(B50="","",IFERROR(K50/I50,0))</f>
        <v/>
      </c>
      <c r="P50" s="10"/>
      <c r="Q50" s="4" t="str">
        <f aca="false">IF(B50="","",B50&amp;" | "&amp;C50)</f>
        <v/>
      </c>
      <c r="R50" s="0" t="str">
        <f aca="false">IF(B50="","",Q50&amp;"#"&amp;A50)</f>
        <v/>
      </c>
    </row>
    <row r="51" customFormat="false" ht="15" hidden="false" customHeight="false" outlineLevel="0" collapsed="false">
      <c r="A51" s="37"/>
      <c r="B51" s="10"/>
      <c r="C51" s="10"/>
      <c r="D51" s="10"/>
      <c r="E51" s="10"/>
      <c r="F51" s="6"/>
      <c r="G51" s="38"/>
      <c r="H51" s="38"/>
      <c r="I51" s="6"/>
      <c r="J51" s="38"/>
      <c r="K51" s="6"/>
      <c r="L51" s="25" t="str">
        <f aca="false">IF(B51="","",IFERROR(H51/G51,0))</f>
        <v/>
      </c>
      <c r="M51" s="7" t="str">
        <f aca="false">IF(B51="","",IFERROR(I51/H51,0))</f>
        <v/>
      </c>
      <c r="N51" s="25" t="str">
        <f aca="false">IF(B51="","",IFERROR(I51/K51,0))</f>
        <v/>
      </c>
      <c r="O51" s="26" t="str">
        <f aca="false">IF(B51="","",IFERROR(K51/I51,0))</f>
        <v/>
      </c>
      <c r="P51" s="10"/>
      <c r="Q51" s="4" t="str">
        <f aca="false">IF(B51="","",B51&amp;" | "&amp;C51)</f>
        <v/>
      </c>
      <c r="R51" s="0" t="str">
        <f aca="false">IF(B51="","",Q51&amp;"#"&amp;A51)</f>
        <v/>
      </c>
    </row>
    <row r="52" customFormat="false" ht="15" hidden="false" customHeight="false" outlineLevel="0" collapsed="false">
      <c r="A52" s="37"/>
      <c r="B52" s="10"/>
      <c r="C52" s="10"/>
      <c r="D52" s="10"/>
      <c r="E52" s="10"/>
      <c r="F52" s="6"/>
      <c r="G52" s="38"/>
      <c r="H52" s="38"/>
      <c r="I52" s="6"/>
      <c r="J52" s="38"/>
      <c r="K52" s="6"/>
      <c r="L52" s="25" t="str">
        <f aca="false">IF(B52="","",IFERROR(H52/G52,0))</f>
        <v/>
      </c>
      <c r="M52" s="7" t="str">
        <f aca="false">IF(B52="","",IFERROR(I52/H52,0))</f>
        <v/>
      </c>
      <c r="N52" s="25" t="str">
        <f aca="false">IF(B52="","",IFERROR(I52/K52,0))</f>
        <v/>
      </c>
      <c r="O52" s="26" t="str">
        <f aca="false">IF(B52="","",IFERROR(K52/I52,0))</f>
        <v/>
      </c>
      <c r="P52" s="10"/>
      <c r="Q52" s="4" t="str">
        <f aca="false">IF(B52="","",B52&amp;" | "&amp;C52)</f>
        <v/>
      </c>
      <c r="R52" s="0" t="str">
        <f aca="false">IF(B52="","",Q52&amp;"#"&amp;A52)</f>
        <v/>
      </c>
    </row>
    <row r="53" customFormat="false" ht="15" hidden="false" customHeight="false" outlineLevel="0" collapsed="false">
      <c r="A53" s="37"/>
      <c r="B53" s="10"/>
      <c r="C53" s="10"/>
      <c r="D53" s="10"/>
      <c r="E53" s="10"/>
      <c r="F53" s="6"/>
      <c r="G53" s="38"/>
      <c r="H53" s="38"/>
      <c r="I53" s="6"/>
      <c r="J53" s="38"/>
      <c r="K53" s="6"/>
      <c r="L53" s="25" t="str">
        <f aca="false">IF(B53="","",IFERROR(H53/G53,0))</f>
        <v/>
      </c>
      <c r="M53" s="7" t="str">
        <f aca="false">IF(B53="","",IFERROR(I53/H53,0))</f>
        <v/>
      </c>
      <c r="N53" s="25" t="str">
        <f aca="false">IF(B53="","",IFERROR(I53/K53,0))</f>
        <v/>
      </c>
      <c r="O53" s="26" t="str">
        <f aca="false">IF(B53="","",IFERROR(K53/I53,0))</f>
        <v/>
      </c>
      <c r="P53" s="10"/>
      <c r="Q53" s="4" t="str">
        <f aca="false">IF(B53="","",B53&amp;" | "&amp;C53)</f>
        <v/>
      </c>
      <c r="R53" s="0" t="str">
        <f aca="false">IF(B53="","",Q53&amp;"#"&amp;A53)</f>
        <v/>
      </c>
    </row>
    <row r="54" customFormat="false" ht="15" hidden="false" customHeight="false" outlineLevel="0" collapsed="false">
      <c r="A54" s="37"/>
      <c r="B54" s="10"/>
      <c r="C54" s="10"/>
      <c r="D54" s="10"/>
      <c r="E54" s="10"/>
      <c r="F54" s="6"/>
      <c r="G54" s="38"/>
      <c r="H54" s="38"/>
      <c r="I54" s="6"/>
      <c r="J54" s="38"/>
      <c r="K54" s="6"/>
      <c r="L54" s="25" t="str">
        <f aca="false">IF(B54="","",IFERROR(H54/G54,0))</f>
        <v/>
      </c>
      <c r="M54" s="7" t="str">
        <f aca="false">IF(B54="","",IFERROR(I54/H54,0))</f>
        <v/>
      </c>
      <c r="N54" s="25" t="str">
        <f aca="false">IF(B54="","",IFERROR(I54/K54,0))</f>
        <v/>
      </c>
      <c r="O54" s="26" t="str">
        <f aca="false">IF(B54="","",IFERROR(K54/I54,0))</f>
        <v/>
      </c>
      <c r="P54" s="10"/>
      <c r="Q54" s="4" t="str">
        <f aca="false">IF(B54="","",B54&amp;" | "&amp;C54)</f>
        <v/>
      </c>
      <c r="R54" s="0" t="str">
        <f aca="false">IF(B54="","",Q54&amp;"#"&amp;A54)</f>
        <v/>
      </c>
    </row>
    <row r="55" customFormat="false" ht="15" hidden="false" customHeight="false" outlineLevel="0" collapsed="false">
      <c r="A55" s="37"/>
      <c r="B55" s="10"/>
      <c r="C55" s="10"/>
      <c r="D55" s="10"/>
      <c r="E55" s="10"/>
      <c r="F55" s="6"/>
      <c r="G55" s="38"/>
      <c r="H55" s="38"/>
      <c r="I55" s="6"/>
      <c r="J55" s="38"/>
      <c r="K55" s="6"/>
      <c r="L55" s="25" t="str">
        <f aca="false">IF(B55="","",IFERROR(H55/G55,0))</f>
        <v/>
      </c>
      <c r="M55" s="7" t="str">
        <f aca="false">IF(B55="","",IFERROR(I55/H55,0))</f>
        <v/>
      </c>
      <c r="N55" s="25" t="str">
        <f aca="false">IF(B55="","",IFERROR(I55/K55,0))</f>
        <v/>
      </c>
      <c r="O55" s="26" t="str">
        <f aca="false">IF(B55="","",IFERROR(K55/I55,0))</f>
        <v/>
      </c>
      <c r="P55" s="10"/>
      <c r="Q55" s="4" t="str">
        <f aca="false">IF(B55="","",B55&amp;" | "&amp;C55)</f>
        <v/>
      </c>
      <c r="R55" s="0" t="str">
        <f aca="false">IF(B55="","",Q55&amp;"#"&amp;A55)</f>
        <v/>
      </c>
    </row>
    <row r="56" customFormat="false" ht="15" hidden="false" customHeight="false" outlineLevel="0" collapsed="false">
      <c r="A56" s="37"/>
      <c r="B56" s="10"/>
      <c r="C56" s="10"/>
      <c r="D56" s="10"/>
      <c r="E56" s="10"/>
      <c r="F56" s="6"/>
      <c r="G56" s="38"/>
      <c r="H56" s="38"/>
      <c r="I56" s="6"/>
      <c r="J56" s="38"/>
      <c r="K56" s="6"/>
      <c r="L56" s="25" t="str">
        <f aca="false">IF(B56="","",IFERROR(H56/G56,0))</f>
        <v/>
      </c>
      <c r="M56" s="7" t="str">
        <f aca="false">IF(B56="","",IFERROR(I56/H56,0))</f>
        <v/>
      </c>
      <c r="N56" s="25" t="str">
        <f aca="false">IF(B56="","",IFERROR(I56/K56,0))</f>
        <v/>
      </c>
      <c r="O56" s="26" t="str">
        <f aca="false">IF(B56="","",IFERROR(K56/I56,0))</f>
        <v/>
      </c>
      <c r="P56" s="10"/>
      <c r="Q56" s="4" t="str">
        <f aca="false">IF(B56="","",B56&amp;" | "&amp;C56)</f>
        <v/>
      </c>
      <c r="R56" s="0" t="str">
        <f aca="false">IF(B56="","",Q56&amp;"#"&amp;A56)</f>
        <v/>
      </c>
    </row>
    <row r="57" customFormat="false" ht="15" hidden="false" customHeight="false" outlineLevel="0" collapsed="false">
      <c r="A57" s="37"/>
      <c r="B57" s="10"/>
      <c r="C57" s="10"/>
      <c r="D57" s="10"/>
      <c r="E57" s="10"/>
      <c r="F57" s="6"/>
      <c r="G57" s="38"/>
      <c r="H57" s="38"/>
      <c r="I57" s="6"/>
      <c r="J57" s="38"/>
      <c r="K57" s="6"/>
      <c r="L57" s="25" t="str">
        <f aca="false">IF(B57="","",IFERROR(H57/G57,0))</f>
        <v/>
      </c>
      <c r="M57" s="7" t="str">
        <f aca="false">IF(B57="","",IFERROR(I57/H57,0))</f>
        <v/>
      </c>
      <c r="N57" s="25" t="str">
        <f aca="false">IF(B57="","",IFERROR(I57/K57,0))</f>
        <v/>
      </c>
      <c r="O57" s="26" t="str">
        <f aca="false">IF(B57="","",IFERROR(K57/I57,0))</f>
        <v/>
      </c>
      <c r="P57" s="10"/>
      <c r="Q57" s="4" t="str">
        <f aca="false">IF(B57="","",B57&amp;" | "&amp;C57)</f>
        <v/>
      </c>
      <c r="R57" s="0" t="str">
        <f aca="false">IF(B57="","",Q57&amp;"#"&amp;A57)</f>
        <v/>
      </c>
    </row>
    <row r="58" customFormat="false" ht="15" hidden="false" customHeight="false" outlineLevel="0" collapsed="false">
      <c r="A58" s="37"/>
      <c r="B58" s="10"/>
      <c r="C58" s="10"/>
      <c r="D58" s="10"/>
      <c r="E58" s="10"/>
      <c r="F58" s="6"/>
      <c r="G58" s="38"/>
      <c r="H58" s="38"/>
      <c r="I58" s="6"/>
      <c r="J58" s="38"/>
      <c r="K58" s="6"/>
      <c r="L58" s="25" t="str">
        <f aca="false">IF(B58="","",IFERROR(H58/G58,0))</f>
        <v/>
      </c>
      <c r="M58" s="7" t="str">
        <f aca="false">IF(B58="","",IFERROR(I58/H58,0))</f>
        <v/>
      </c>
      <c r="N58" s="25" t="str">
        <f aca="false">IF(B58="","",IFERROR(I58/K58,0))</f>
        <v/>
      </c>
      <c r="O58" s="26" t="str">
        <f aca="false">IF(B58="","",IFERROR(K58/I58,0))</f>
        <v/>
      </c>
      <c r="P58" s="10"/>
      <c r="Q58" s="4" t="str">
        <f aca="false">IF(B58="","",B58&amp;" | "&amp;C58)</f>
        <v/>
      </c>
      <c r="R58" s="0" t="str">
        <f aca="false">IF(B58="","",Q58&amp;"#"&amp;A58)</f>
        <v/>
      </c>
    </row>
    <row r="59" customFormat="false" ht="15" hidden="false" customHeight="false" outlineLevel="0" collapsed="false">
      <c r="A59" s="37"/>
      <c r="B59" s="10"/>
      <c r="C59" s="10"/>
      <c r="D59" s="10"/>
      <c r="E59" s="10"/>
      <c r="F59" s="6"/>
      <c r="G59" s="38"/>
      <c r="H59" s="38"/>
      <c r="I59" s="6"/>
      <c r="J59" s="38"/>
      <c r="K59" s="6"/>
      <c r="L59" s="25" t="str">
        <f aca="false">IF(B59="","",IFERROR(H59/G59,0))</f>
        <v/>
      </c>
      <c r="M59" s="7" t="str">
        <f aca="false">IF(B59="","",IFERROR(I59/H59,0))</f>
        <v/>
      </c>
      <c r="N59" s="25" t="str">
        <f aca="false">IF(B59="","",IFERROR(I59/K59,0))</f>
        <v/>
      </c>
      <c r="O59" s="26" t="str">
        <f aca="false">IF(B59="","",IFERROR(K59/I59,0))</f>
        <v/>
      </c>
      <c r="P59" s="10"/>
      <c r="Q59" s="4" t="str">
        <f aca="false">IF(B59="","",B59&amp;" | "&amp;C59)</f>
        <v/>
      </c>
      <c r="R59" s="0" t="str">
        <f aca="false">IF(B59="","",Q59&amp;"#"&amp;A59)</f>
        <v/>
      </c>
    </row>
    <row r="60" customFormat="false" ht="15" hidden="false" customHeight="false" outlineLevel="0" collapsed="false">
      <c r="A60" s="37"/>
      <c r="B60" s="10"/>
      <c r="C60" s="10"/>
      <c r="D60" s="10"/>
      <c r="E60" s="10"/>
      <c r="F60" s="6"/>
      <c r="G60" s="38"/>
      <c r="H60" s="38"/>
      <c r="I60" s="6"/>
      <c r="J60" s="38"/>
      <c r="K60" s="6"/>
      <c r="L60" s="25" t="str">
        <f aca="false">IF(B60="","",IFERROR(H60/G60,0))</f>
        <v/>
      </c>
      <c r="M60" s="7" t="str">
        <f aca="false">IF(B60="","",IFERROR(I60/H60,0))</f>
        <v/>
      </c>
      <c r="N60" s="25" t="str">
        <f aca="false">IF(B60="","",IFERROR(I60/K60,0))</f>
        <v/>
      </c>
      <c r="O60" s="26" t="str">
        <f aca="false">IF(B60="","",IFERROR(K60/I60,0))</f>
        <v/>
      </c>
      <c r="P60" s="10"/>
      <c r="Q60" s="4" t="str">
        <f aca="false">IF(B60="","",B60&amp;" | "&amp;C60)</f>
        <v/>
      </c>
      <c r="R60" s="0" t="str">
        <f aca="false">IF(B60="","",Q60&amp;"#"&amp;A60)</f>
        <v/>
      </c>
    </row>
    <row r="61" customFormat="false" ht="15" hidden="false" customHeight="false" outlineLevel="0" collapsed="false">
      <c r="A61" s="37"/>
      <c r="B61" s="10"/>
      <c r="C61" s="10"/>
      <c r="D61" s="10"/>
      <c r="E61" s="10"/>
      <c r="F61" s="6"/>
      <c r="G61" s="38"/>
      <c r="H61" s="38"/>
      <c r="I61" s="6"/>
      <c r="J61" s="38"/>
      <c r="K61" s="6"/>
      <c r="L61" s="25" t="str">
        <f aca="false">IF(B61="","",IFERROR(H61/G61,0))</f>
        <v/>
      </c>
      <c r="M61" s="7" t="str">
        <f aca="false">IF(B61="","",IFERROR(I61/H61,0))</f>
        <v/>
      </c>
      <c r="N61" s="25" t="str">
        <f aca="false">IF(B61="","",IFERROR(I61/K61,0))</f>
        <v/>
      </c>
      <c r="O61" s="26" t="str">
        <f aca="false">IF(B61="","",IFERROR(K61/I61,0))</f>
        <v/>
      </c>
      <c r="P61" s="10"/>
      <c r="Q61" s="4" t="str">
        <f aca="false">IF(B61="","",B61&amp;" | "&amp;C61)</f>
        <v/>
      </c>
      <c r="R61" s="0" t="str">
        <f aca="false">IF(B61="","",Q61&amp;"#"&amp;A61)</f>
        <v/>
      </c>
    </row>
    <row r="62" customFormat="false" ht="15" hidden="false" customHeight="false" outlineLevel="0" collapsed="false">
      <c r="A62" s="37"/>
      <c r="B62" s="10"/>
      <c r="C62" s="10"/>
      <c r="D62" s="10"/>
      <c r="E62" s="10"/>
      <c r="F62" s="6"/>
      <c r="G62" s="38"/>
      <c r="H62" s="38"/>
      <c r="I62" s="6"/>
      <c r="J62" s="38"/>
      <c r="K62" s="6"/>
      <c r="L62" s="25" t="str">
        <f aca="false">IF(B62="","",IFERROR(H62/G62,0))</f>
        <v/>
      </c>
      <c r="M62" s="7" t="str">
        <f aca="false">IF(B62="","",IFERROR(I62/H62,0))</f>
        <v/>
      </c>
      <c r="N62" s="25" t="str">
        <f aca="false">IF(B62="","",IFERROR(I62/K62,0))</f>
        <v/>
      </c>
      <c r="O62" s="26" t="str">
        <f aca="false">IF(B62="","",IFERROR(K62/I62,0))</f>
        <v/>
      </c>
      <c r="P62" s="10"/>
      <c r="Q62" s="4" t="str">
        <f aca="false">IF(B62="","",B62&amp;" | "&amp;C62)</f>
        <v/>
      </c>
      <c r="R62" s="0" t="str">
        <f aca="false">IF(B62="","",Q62&amp;"#"&amp;A62)</f>
        <v/>
      </c>
    </row>
    <row r="63" customFormat="false" ht="15" hidden="false" customHeight="false" outlineLevel="0" collapsed="false">
      <c r="A63" s="37"/>
      <c r="B63" s="10"/>
      <c r="C63" s="10"/>
      <c r="D63" s="10"/>
      <c r="E63" s="10"/>
      <c r="F63" s="6"/>
      <c r="G63" s="38"/>
      <c r="H63" s="38"/>
      <c r="I63" s="6"/>
      <c r="J63" s="38"/>
      <c r="K63" s="6"/>
      <c r="L63" s="25" t="str">
        <f aca="false">IF(B63="","",IFERROR(H63/G63,0))</f>
        <v/>
      </c>
      <c r="M63" s="7" t="str">
        <f aca="false">IF(B63="","",IFERROR(I63/H63,0))</f>
        <v/>
      </c>
      <c r="N63" s="25" t="str">
        <f aca="false">IF(B63="","",IFERROR(I63/K63,0))</f>
        <v/>
      </c>
      <c r="O63" s="26" t="str">
        <f aca="false">IF(B63="","",IFERROR(K63/I63,0))</f>
        <v/>
      </c>
      <c r="P63" s="10"/>
      <c r="Q63" s="4" t="str">
        <f aca="false">IF(B63="","",B63&amp;" | "&amp;C63)</f>
        <v/>
      </c>
      <c r="R63" s="0" t="str">
        <f aca="false">IF(B63="","",Q63&amp;"#"&amp;A63)</f>
        <v/>
      </c>
    </row>
    <row r="64" customFormat="false" ht="15" hidden="false" customHeight="false" outlineLevel="0" collapsed="false">
      <c r="A64" s="37"/>
      <c r="B64" s="10"/>
      <c r="C64" s="10"/>
      <c r="D64" s="10"/>
      <c r="E64" s="10"/>
      <c r="F64" s="6"/>
      <c r="G64" s="38"/>
      <c r="H64" s="38"/>
      <c r="I64" s="6"/>
      <c r="J64" s="38"/>
      <c r="K64" s="6"/>
      <c r="L64" s="25" t="str">
        <f aca="false">IF(B64="","",IFERROR(H64/G64,0))</f>
        <v/>
      </c>
      <c r="M64" s="7" t="str">
        <f aca="false">IF(B64="","",IFERROR(I64/H64,0))</f>
        <v/>
      </c>
      <c r="N64" s="25" t="str">
        <f aca="false">IF(B64="","",IFERROR(I64/K64,0))</f>
        <v/>
      </c>
      <c r="O64" s="26" t="str">
        <f aca="false">IF(B64="","",IFERROR(K64/I64,0))</f>
        <v/>
      </c>
      <c r="P64" s="10"/>
      <c r="Q64" s="4" t="str">
        <f aca="false">IF(B64="","",B64&amp;" | "&amp;C64)</f>
        <v/>
      </c>
      <c r="R64" s="0" t="str">
        <f aca="false">IF(B64="","",Q64&amp;"#"&amp;A64)</f>
        <v/>
      </c>
    </row>
    <row r="65" customFormat="false" ht="15" hidden="false" customHeight="false" outlineLevel="0" collapsed="false">
      <c r="A65" s="37"/>
      <c r="B65" s="10"/>
      <c r="C65" s="10"/>
      <c r="D65" s="10"/>
      <c r="E65" s="10"/>
      <c r="F65" s="6"/>
      <c r="G65" s="38"/>
      <c r="H65" s="38"/>
      <c r="I65" s="6"/>
      <c r="J65" s="38"/>
      <c r="K65" s="6"/>
      <c r="L65" s="25" t="str">
        <f aca="false">IF(B65="","",IFERROR(H65/G65,0))</f>
        <v/>
      </c>
      <c r="M65" s="7" t="str">
        <f aca="false">IF(B65="","",IFERROR(I65/H65,0))</f>
        <v/>
      </c>
      <c r="N65" s="25" t="str">
        <f aca="false">IF(B65="","",IFERROR(I65/K65,0))</f>
        <v/>
      </c>
      <c r="O65" s="26" t="str">
        <f aca="false">IF(B65="","",IFERROR(K65/I65,0))</f>
        <v/>
      </c>
      <c r="P65" s="10"/>
      <c r="Q65" s="4" t="str">
        <f aca="false">IF(B65="","",B65&amp;" | "&amp;C65)</f>
        <v/>
      </c>
      <c r="R65" s="0" t="str">
        <f aca="false">IF(B65="","",Q65&amp;"#"&amp;A65)</f>
        <v/>
      </c>
    </row>
    <row r="66" customFormat="false" ht="15" hidden="false" customHeight="false" outlineLevel="0" collapsed="false">
      <c r="A66" s="37"/>
      <c r="B66" s="10"/>
      <c r="C66" s="10"/>
      <c r="D66" s="10"/>
      <c r="E66" s="10"/>
      <c r="F66" s="6"/>
      <c r="G66" s="38"/>
      <c r="H66" s="38"/>
      <c r="I66" s="6"/>
      <c r="J66" s="38"/>
      <c r="K66" s="6"/>
      <c r="L66" s="25" t="str">
        <f aca="false">IF(B66="","",IFERROR(H66/G66,0))</f>
        <v/>
      </c>
      <c r="M66" s="7" t="str">
        <f aca="false">IF(B66="","",IFERROR(I66/H66,0))</f>
        <v/>
      </c>
      <c r="N66" s="25" t="str">
        <f aca="false">IF(B66="","",IFERROR(I66/K66,0))</f>
        <v/>
      </c>
      <c r="O66" s="26" t="str">
        <f aca="false">IF(B66="","",IFERROR(K66/I66,0))</f>
        <v/>
      </c>
      <c r="P66" s="10"/>
      <c r="Q66" s="4" t="str">
        <f aca="false">IF(B66="","",B66&amp;" | "&amp;C66)</f>
        <v/>
      </c>
      <c r="R66" s="0" t="str">
        <f aca="false">IF(B66="","",Q66&amp;"#"&amp;A66)</f>
        <v/>
      </c>
    </row>
    <row r="67" customFormat="false" ht="15" hidden="false" customHeight="false" outlineLevel="0" collapsed="false">
      <c r="A67" s="37"/>
      <c r="B67" s="10"/>
      <c r="C67" s="10"/>
      <c r="D67" s="10"/>
      <c r="E67" s="10"/>
      <c r="F67" s="6"/>
      <c r="G67" s="38"/>
      <c r="H67" s="38"/>
      <c r="I67" s="6"/>
      <c r="J67" s="38"/>
      <c r="K67" s="6"/>
      <c r="L67" s="25" t="str">
        <f aca="false">IF(B67="","",IFERROR(H67/G67,0))</f>
        <v/>
      </c>
      <c r="M67" s="7" t="str">
        <f aca="false">IF(B67="","",IFERROR(I67/H67,0))</f>
        <v/>
      </c>
      <c r="N67" s="25" t="str">
        <f aca="false">IF(B67="","",IFERROR(I67/K67,0))</f>
        <v/>
      </c>
      <c r="O67" s="26" t="str">
        <f aca="false">IF(B67="","",IFERROR(K67/I67,0))</f>
        <v/>
      </c>
      <c r="P67" s="10"/>
      <c r="Q67" s="4" t="str">
        <f aca="false">IF(B67="","",B67&amp;" | "&amp;C67)</f>
        <v/>
      </c>
      <c r="R67" s="0" t="str">
        <f aca="false">IF(B67="","",Q67&amp;"#"&amp;A67)</f>
        <v/>
      </c>
    </row>
    <row r="68" customFormat="false" ht="15" hidden="false" customHeight="false" outlineLevel="0" collapsed="false">
      <c r="A68" s="37"/>
      <c r="B68" s="10"/>
      <c r="C68" s="10"/>
      <c r="D68" s="10"/>
      <c r="E68" s="10"/>
      <c r="F68" s="6"/>
      <c r="G68" s="38"/>
      <c r="H68" s="38"/>
      <c r="I68" s="6"/>
      <c r="J68" s="38"/>
      <c r="K68" s="6"/>
      <c r="L68" s="25" t="str">
        <f aca="false">IF(B68="","",IFERROR(H68/G68,0))</f>
        <v/>
      </c>
      <c r="M68" s="7" t="str">
        <f aca="false">IF(B68="","",IFERROR(I68/H68,0))</f>
        <v/>
      </c>
      <c r="N68" s="25" t="str">
        <f aca="false">IF(B68="","",IFERROR(I68/K68,0))</f>
        <v/>
      </c>
      <c r="O68" s="26" t="str">
        <f aca="false">IF(B68="","",IFERROR(K68/I68,0))</f>
        <v/>
      </c>
      <c r="P68" s="10"/>
      <c r="Q68" s="4" t="str">
        <f aca="false">IF(B68="","",B68&amp;" | "&amp;C68)</f>
        <v/>
      </c>
      <c r="R68" s="0" t="str">
        <f aca="false">IF(B68="","",Q68&amp;"#"&amp;A68)</f>
        <v/>
      </c>
    </row>
    <row r="69" customFormat="false" ht="15" hidden="false" customHeight="false" outlineLevel="0" collapsed="false">
      <c r="A69" s="37"/>
      <c r="B69" s="10"/>
      <c r="C69" s="10"/>
      <c r="D69" s="10"/>
      <c r="E69" s="10"/>
      <c r="F69" s="6"/>
      <c r="G69" s="38"/>
      <c r="H69" s="38"/>
      <c r="I69" s="6"/>
      <c r="J69" s="38"/>
      <c r="K69" s="6"/>
      <c r="L69" s="25" t="str">
        <f aca="false">IF(B69="","",IFERROR(H69/G69,0))</f>
        <v/>
      </c>
      <c r="M69" s="7" t="str">
        <f aca="false">IF(B69="","",IFERROR(I69/H69,0))</f>
        <v/>
      </c>
      <c r="N69" s="25" t="str">
        <f aca="false">IF(B69="","",IFERROR(I69/K69,0))</f>
        <v/>
      </c>
      <c r="O69" s="26" t="str">
        <f aca="false">IF(B69="","",IFERROR(K69/I69,0))</f>
        <v/>
      </c>
      <c r="P69" s="10"/>
      <c r="Q69" s="4" t="str">
        <f aca="false">IF(B69="","",B69&amp;" | "&amp;C69)</f>
        <v/>
      </c>
      <c r="R69" s="0" t="str">
        <f aca="false">IF(B69="","",Q69&amp;"#"&amp;A69)</f>
        <v/>
      </c>
    </row>
    <row r="70" customFormat="false" ht="15" hidden="false" customHeight="false" outlineLevel="0" collapsed="false">
      <c r="A70" s="37"/>
      <c r="B70" s="10"/>
      <c r="C70" s="10"/>
      <c r="D70" s="10"/>
      <c r="E70" s="10"/>
      <c r="F70" s="6"/>
      <c r="G70" s="38"/>
      <c r="H70" s="38"/>
      <c r="I70" s="6"/>
      <c r="J70" s="38"/>
      <c r="K70" s="6"/>
      <c r="L70" s="25" t="str">
        <f aca="false">IF(B70="","",IFERROR(H70/G70,0))</f>
        <v/>
      </c>
      <c r="M70" s="7" t="str">
        <f aca="false">IF(B70="","",IFERROR(I70/H70,0))</f>
        <v/>
      </c>
      <c r="N70" s="25" t="str">
        <f aca="false">IF(B70="","",IFERROR(I70/K70,0))</f>
        <v/>
      </c>
      <c r="O70" s="26" t="str">
        <f aca="false">IF(B70="","",IFERROR(K70/I70,0))</f>
        <v/>
      </c>
      <c r="P70" s="10"/>
      <c r="Q70" s="4" t="str">
        <f aca="false">IF(B70="","",B70&amp;" | "&amp;C70)</f>
        <v/>
      </c>
      <c r="R70" s="0" t="str">
        <f aca="false">IF(B70="","",Q70&amp;"#"&amp;A70)</f>
        <v/>
      </c>
    </row>
    <row r="71" customFormat="false" ht="15" hidden="false" customHeight="false" outlineLevel="0" collapsed="false">
      <c r="A71" s="37"/>
      <c r="B71" s="10"/>
      <c r="C71" s="10"/>
      <c r="D71" s="10"/>
      <c r="E71" s="10"/>
      <c r="F71" s="6"/>
      <c r="G71" s="38"/>
      <c r="H71" s="38"/>
      <c r="I71" s="6"/>
      <c r="J71" s="38"/>
      <c r="K71" s="6"/>
      <c r="L71" s="25" t="str">
        <f aca="false">IF(B71="","",IFERROR(H71/G71,0))</f>
        <v/>
      </c>
      <c r="M71" s="7" t="str">
        <f aca="false">IF(B71="","",IFERROR(I71/H71,0))</f>
        <v/>
      </c>
      <c r="N71" s="25" t="str">
        <f aca="false">IF(B71="","",IFERROR(I71/K71,0))</f>
        <v/>
      </c>
      <c r="O71" s="26" t="str">
        <f aca="false">IF(B71="","",IFERROR(K71/I71,0))</f>
        <v/>
      </c>
      <c r="P71" s="10"/>
      <c r="Q71" s="4" t="str">
        <f aca="false">IF(B71="","",B71&amp;" | "&amp;C71)</f>
        <v/>
      </c>
      <c r="R71" s="0" t="str">
        <f aca="false">IF(B71="","",Q71&amp;"#"&amp;A71)</f>
        <v/>
      </c>
    </row>
    <row r="72" customFormat="false" ht="15" hidden="false" customHeight="false" outlineLevel="0" collapsed="false">
      <c r="A72" s="37"/>
      <c r="B72" s="10"/>
      <c r="C72" s="10"/>
      <c r="D72" s="10"/>
      <c r="E72" s="10"/>
      <c r="F72" s="6"/>
      <c r="G72" s="38"/>
      <c r="H72" s="38"/>
      <c r="I72" s="6"/>
      <c r="J72" s="38"/>
      <c r="K72" s="6"/>
      <c r="L72" s="25" t="str">
        <f aca="false">IF(B72="","",IFERROR(H72/G72,0))</f>
        <v/>
      </c>
      <c r="M72" s="7" t="str">
        <f aca="false">IF(B72="","",IFERROR(I72/H72,0))</f>
        <v/>
      </c>
      <c r="N72" s="25" t="str">
        <f aca="false">IF(B72="","",IFERROR(I72/K72,0))</f>
        <v/>
      </c>
      <c r="O72" s="26" t="str">
        <f aca="false">IF(B72="","",IFERROR(K72/I72,0))</f>
        <v/>
      </c>
      <c r="P72" s="10"/>
      <c r="Q72" s="4" t="str">
        <f aca="false">IF(B72="","",B72&amp;" | "&amp;C72)</f>
        <v/>
      </c>
      <c r="R72" s="0" t="str">
        <f aca="false">IF(B72="","",Q72&amp;"#"&amp;A72)</f>
        <v/>
      </c>
    </row>
    <row r="73" customFormat="false" ht="15" hidden="false" customHeight="false" outlineLevel="0" collapsed="false">
      <c r="A73" s="37"/>
      <c r="B73" s="10"/>
      <c r="C73" s="10"/>
      <c r="D73" s="10"/>
      <c r="E73" s="10"/>
      <c r="F73" s="6"/>
      <c r="G73" s="38"/>
      <c r="H73" s="38"/>
      <c r="I73" s="6"/>
      <c r="J73" s="38"/>
      <c r="K73" s="6"/>
      <c r="L73" s="25" t="str">
        <f aca="false">IF(B73="","",IFERROR(H73/G73,0))</f>
        <v/>
      </c>
      <c r="M73" s="7" t="str">
        <f aca="false">IF(B73="","",IFERROR(I73/H73,0))</f>
        <v/>
      </c>
      <c r="N73" s="25" t="str">
        <f aca="false">IF(B73="","",IFERROR(I73/K73,0))</f>
        <v/>
      </c>
      <c r="O73" s="26" t="str">
        <f aca="false">IF(B73="","",IFERROR(K73/I73,0))</f>
        <v/>
      </c>
      <c r="P73" s="10"/>
      <c r="Q73" s="4" t="str">
        <f aca="false">IF(B73="","",B73&amp;" | "&amp;C73)</f>
        <v/>
      </c>
      <c r="R73" s="0" t="str">
        <f aca="false">IF(B73="","",Q73&amp;"#"&amp;A73)</f>
        <v/>
      </c>
    </row>
    <row r="74" customFormat="false" ht="15" hidden="false" customHeight="false" outlineLevel="0" collapsed="false">
      <c r="A74" s="37"/>
      <c r="B74" s="10"/>
      <c r="C74" s="10"/>
      <c r="D74" s="10"/>
      <c r="E74" s="10"/>
      <c r="F74" s="6"/>
      <c r="G74" s="38"/>
      <c r="H74" s="38"/>
      <c r="I74" s="6"/>
      <c r="J74" s="38"/>
      <c r="K74" s="6"/>
      <c r="L74" s="25" t="str">
        <f aca="false">IF(B74="","",IFERROR(H74/G74,0))</f>
        <v/>
      </c>
      <c r="M74" s="7" t="str">
        <f aca="false">IF(B74="","",IFERROR(I74/H74,0))</f>
        <v/>
      </c>
      <c r="N74" s="25" t="str">
        <f aca="false">IF(B74="","",IFERROR(I74/K74,0))</f>
        <v/>
      </c>
      <c r="O74" s="26" t="str">
        <f aca="false">IF(B74="","",IFERROR(K74/I74,0))</f>
        <v/>
      </c>
      <c r="P74" s="10"/>
      <c r="Q74" s="4" t="str">
        <f aca="false">IF(B74="","",B74&amp;" | "&amp;C74)</f>
        <v/>
      </c>
      <c r="R74" s="0" t="str">
        <f aca="false">IF(B74="","",Q74&amp;"#"&amp;A74)</f>
        <v/>
      </c>
    </row>
    <row r="75" customFormat="false" ht="15" hidden="false" customHeight="false" outlineLevel="0" collapsed="false">
      <c r="A75" s="37"/>
      <c r="B75" s="10"/>
      <c r="C75" s="10"/>
      <c r="D75" s="10"/>
      <c r="E75" s="10"/>
      <c r="F75" s="6"/>
      <c r="G75" s="38"/>
      <c r="H75" s="38"/>
      <c r="I75" s="6"/>
      <c r="J75" s="38"/>
      <c r="K75" s="6"/>
      <c r="L75" s="25" t="str">
        <f aca="false">IF(B75="","",IFERROR(H75/G75,0))</f>
        <v/>
      </c>
      <c r="M75" s="7" t="str">
        <f aca="false">IF(B75="","",IFERROR(I75/H75,0))</f>
        <v/>
      </c>
      <c r="N75" s="25" t="str">
        <f aca="false">IF(B75="","",IFERROR(I75/K75,0))</f>
        <v/>
      </c>
      <c r="O75" s="26" t="str">
        <f aca="false">IF(B75="","",IFERROR(K75/I75,0))</f>
        <v/>
      </c>
      <c r="P75" s="10"/>
      <c r="Q75" s="4" t="str">
        <f aca="false">IF(B75="","",B75&amp;" | "&amp;C75)</f>
        <v/>
      </c>
      <c r="R75" s="0" t="str">
        <f aca="false">IF(B75="","",Q75&amp;"#"&amp;A75)</f>
        <v/>
      </c>
    </row>
    <row r="76" customFormat="false" ht="15" hidden="false" customHeight="false" outlineLevel="0" collapsed="false">
      <c r="A76" s="37"/>
      <c r="B76" s="10"/>
      <c r="C76" s="10"/>
      <c r="D76" s="10"/>
      <c r="E76" s="10"/>
      <c r="F76" s="6"/>
      <c r="G76" s="38"/>
      <c r="H76" s="38"/>
      <c r="I76" s="6"/>
      <c r="J76" s="38"/>
      <c r="K76" s="6"/>
      <c r="L76" s="25" t="str">
        <f aca="false">IF(B76="","",IFERROR(H76/G76,0))</f>
        <v/>
      </c>
      <c r="M76" s="7" t="str">
        <f aca="false">IF(B76="","",IFERROR(I76/H76,0))</f>
        <v/>
      </c>
      <c r="N76" s="25" t="str">
        <f aca="false">IF(B76="","",IFERROR(I76/K76,0))</f>
        <v/>
      </c>
      <c r="O76" s="26" t="str">
        <f aca="false">IF(B76="","",IFERROR(K76/I76,0))</f>
        <v/>
      </c>
      <c r="P76" s="10"/>
      <c r="Q76" s="4" t="str">
        <f aca="false">IF(B76="","",B76&amp;" | "&amp;C76)</f>
        <v/>
      </c>
      <c r="R76" s="0" t="str">
        <f aca="false">IF(B76="","",Q76&amp;"#"&amp;A76)</f>
        <v/>
      </c>
    </row>
    <row r="77" customFormat="false" ht="15" hidden="false" customHeight="false" outlineLevel="0" collapsed="false">
      <c r="A77" s="37"/>
      <c r="B77" s="10"/>
      <c r="C77" s="10"/>
      <c r="D77" s="10"/>
      <c r="E77" s="10"/>
      <c r="F77" s="6"/>
      <c r="G77" s="38"/>
      <c r="H77" s="38"/>
      <c r="I77" s="6"/>
      <c r="J77" s="38"/>
      <c r="K77" s="6"/>
      <c r="L77" s="25" t="str">
        <f aca="false">IF(B77="","",IFERROR(H77/G77,0))</f>
        <v/>
      </c>
      <c r="M77" s="7" t="str">
        <f aca="false">IF(B77="","",IFERROR(I77/H77,0))</f>
        <v/>
      </c>
      <c r="N77" s="25" t="str">
        <f aca="false">IF(B77="","",IFERROR(I77/K77,0))</f>
        <v/>
      </c>
      <c r="O77" s="26" t="str">
        <f aca="false">IF(B77="","",IFERROR(K77/I77,0))</f>
        <v/>
      </c>
      <c r="P77" s="10"/>
      <c r="Q77" s="4" t="str">
        <f aca="false">IF(B77="","",B77&amp;" | "&amp;C77)</f>
        <v/>
      </c>
      <c r="R77" s="0" t="str">
        <f aca="false">IF(B77="","",Q77&amp;"#"&amp;A77)</f>
        <v/>
      </c>
    </row>
    <row r="78" customFormat="false" ht="15" hidden="false" customHeight="false" outlineLevel="0" collapsed="false">
      <c r="A78" s="37"/>
      <c r="B78" s="10"/>
      <c r="C78" s="10"/>
      <c r="D78" s="10"/>
      <c r="E78" s="10"/>
      <c r="F78" s="6"/>
      <c r="G78" s="38"/>
      <c r="H78" s="38"/>
      <c r="I78" s="6"/>
      <c r="J78" s="38"/>
      <c r="K78" s="6"/>
      <c r="L78" s="25" t="str">
        <f aca="false">IF(B78="","",IFERROR(H78/G78,0))</f>
        <v/>
      </c>
      <c r="M78" s="7" t="str">
        <f aca="false">IF(B78="","",IFERROR(I78/H78,0))</f>
        <v/>
      </c>
      <c r="N78" s="25" t="str">
        <f aca="false">IF(B78="","",IFERROR(I78/K78,0))</f>
        <v/>
      </c>
      <c r="O78" s="26" t="str">
        <f aca="false">IF(B78="","",IFERROR(K78/I78,0))</f>
        <v/>
      </c>
      <c r="P78" s="10"/>
      <c r="Q78" s="4" t="str">
        <f aca="false">IF(B78="","",B78&amp;" | "&amp;C78)</f>
        <v/>
      </c>
      <c r="R78" s="0" t="str">
        <f aca="false">IF(B78="","",Q78&amp;"#"&amp;A78)</f>
        <v/>
      </c>
    </row>
    <row r="79" customFormat="false" ht="15" hidden="false" customHeight="false" outlineLevel="0" collapsed="false">
      <c r="A79" s="37"/>
      <c r="B79" s="10"/>
      <c r="C79" s="10"/>
      <c r="D79" s="10"/>
      <c r="E79" s="10"/>
      <c r="F79" s="6"/>
      <c r="G79" s="38"/>
      <c r="H79" s="38"/>
      <c r="I79" s="6"/>
      <c r="J79" s="38"/>
      <c r="K79" s="6"/>
      <c r="L79" s="25" t="str">
        <f aca="false">IF(B79="","",IFERROR(H79/G79,0))</f>
        <v/>
      </c>
      <c r="M79" s="7" t="str">
        <f aca="false">IF(B79="","",IFERROR(I79/H79,0))</f>
        <v/>
      </c>
      <c r="N79" s="25" t="str">
        <f aca="false">IF(B79="","",IFERROR(I79/K79,0))</f>
        <v/>
      </c>
      <c r="O79" s="26" t="str">
        <f aca="false">IF(B79="","",IFERROR(K79/I79,0))</f>
        <v/>
      </c>
      <c r="P79" s="10"/>
      <c r="Q79" s="4" t="str">
        <f aca="false">IF(B79="","",B79&amp;" | "&amp;C79)</f>
        <v/>
      </c>
      <c r="R79" s="0" t="str">
        <f aca="false">IF(B79="","",Q79&amp;"#"&amp;A79)</f>
        <v/>
      </c>
    </row>
    <row r="80" customFormat="false" ht="15" hidden="false" customHeight="false" outlineLevel="0" collapsed="false">
      <c r="A80" s="37"/>
      <c r="B80" s="10"/>
      <c r="C80" s="10"/>
      <c r="D80" s="10"/>
      <c r="E80" s="10"/>
      <c r="F80" s="6"/>
      <c r="G80" s="38"/>
      <c r="H80" s="38"/>
      <c r="I80" s="6"/>
      <c r="J80" s="38"/>
      <c r="K80" s="6"/>
      <c r="L80" s="25" t="str">
        <f aca="false">IF(B80="","",IFERROR(H80/G80,0))</f>
        <v/>
      </c>
      <c r="M80" s="7" t="str">
        <f aca="false">IF(B80="","",IFERROR(I80/H80,0))</f>
        <v/>
      </c>
      <c r="N80" s="25" t="str">
        <f aca="false">IF(B80="","",IFERROR(I80/K80,0))</f>
        <v/>
      </c>
      <c r="O80" s="26" t="str">
        <f aca="false">IF(B80="","",IFERROR(K80/I80,0))</f>
        <v/>
      </c>
      <c r="P80" s="10"/>
      <c r="Q80" s="4" t="str">
        <f aca="false">IF(B80="","",B80&amp;" | "&amp;C80)</f>
        <v/>
      </c>
      <c r="R80" s="0" t="str">
        <f aca="false">IF(B80="","",Q80&amp;"#"&amp;A80)</f>
        <v/>
      </c>
    </row>
    <row r="81" customFormat="false" ht="15" hidden="false" customHeight="false" outlineLevel="0" collapsed="false">
      <c r="A81" s="37"/>
      <c r="B81" s="10"/>
      <c r="C81" s="10"/>
      <c r="D81" s="10"/>
      <c r="E81" s="10"/>
      <c r="F81" s="6"/>
      <c r="G81" s="38"/>
      <c r="H81" s="38"/>
      <c r="I81" s="6"/>
      <c r="J81" s="38"/>
      <c r="K81" s="6"/>
      <c r="L81" s="25" t="str">
        <f aca="false">IF(B81="","",IFERROR(H81/G81,0))</f>
        <v/>
      </c>
      <c r="M81" s="7" t="str">
        <f aca="false">IF(B81="","",IFERROR(I81/H81,0))</f>
        <v/>
      </c>
      <c r="N81" s="25" t="str">
        <f aca="false">IF(B81="","",IFERROR(I81/K81,0))</f>
        <v/>
      </c>
      <c r="O81" s="26" t="str">
        <f aca="false">IF(B81="","",IFERROR(K81/I81,0))</f>
        <v/>
      </c>
      <c r="P81" s="10"/>
      <c r="Q81" s="4" t="str">
        <f aca="false">IF(B81="","",B81&amp;" | "&amp;C81)</f>
        <v/>
      </c>
      <c r="R81" s="0" t="str">
        <f aca="false">IF(B81="","",Q81&amp;"#"&amp;A81)</f>
        <v/>
      </c>
    </row>
    <row r="82" customFormat="false" ht="15" hidden="false" customHeight="false" outlineLevel="0" collapsed="false">
      <c r="A82" s="37"/>
      <c r="B82" s="10"/>
      <c r="C82" s="10"/>
      <c r="D82" s="10"/>
      <c r="E82" s="10"/>
      <c r="F82" s="6"/>
      <c r="G82" s="38"/>
      <c r="H82" s="38"/>
      <c r="I82" s="6"/>
      <c r="J82" s="38"/>
      <c r="K82" s="6"/>
      <c r="L82" s="25" t="str">
        <f aca="false">IF(B82="","",IFERROR(H82/G82,0))</f>
        <v/>
      </c>
      <c r="M82" s="7" t="str">
        <f aca="false">IF(B82="","",IFERROR(I82/H82,0))</f>
        <v/>
      </c>
      <c r="N82" s="25" t="str">
        <f aca="false">IF(B82="","",IFERROR(I82/K82,0))</f>
        <v/>
      </c>
      <c r="O82" s="26" t="str">
        <f aca="false">IF(B82="","",IFERROR(K82/I82,0))</f>
        <v/>
      </c>
      <c r="P82" s="10"/>
      <c r="Q82" s="4" t="str">
        <f aca="false">IF(B82="","",B82&amp;" | "&amp;C82)</f>
        <v/>
      </c>
      <c r="R82" s="0" t="str">
        <f aca="false">IF(B82="","",Q82&amp;"#"&amp;A82)</f>
        <v/>
      </c>
    </row>
    <row r="83" customFormat="false" ht="15" hidden="false" customHeight="false" outlineLevel="0" collapsed="false">
      <c r="A83" s="37"/>
      <c r="B83" s="10"/>
      <c r="C83" s="10"/>
      <c r="D83" s="10"/>
      <c r="E83" s="10"/>
      <c r="F83" s="6"/>
      <c r="G83" s="38"/>
      <c r="H83" s="38"/>
      <c r="I83" s="6"/>
      <c r="J83" s="38"/>
      <c r="K83" s="6"/>
      <c r="L83" s="25" t="str">
        <f aca="false">IF(B83="","",IFERROR(H83/G83,0))</f>
        <v/>
      </c>
      <c r="M83" s="7" t="str">
        <f aca="false">IF(B83="","",IFERROR(I83/H83,0))</f>
        <v/>
      </c>
      <c r="N83" s="25" t="str">
        <f aca="false">IF(B83="","",IFERROR(I83/K83,0))</f>
        <v/>
      </c>
      <c r="O83" s="26" t="str">
        <f aca="false">IF(B83="","",IFERROR(K83/I83,0))</f>
        <v/>
      </c>
      <c r="P83" s="10"/>
      <c r="Q83" s="4" t="str">
        <f aca="false">IF(B83="","",B83&amp;" | "&amp;C83)</f>
        <v/>
      </c>
      <c r="R83" s="0" t="str">
        <f aca="false">IF(B83="","",Q83&amp;"#"&amp;A83)</f>
        <v/>
      </c>
    </row>
    <row r="84" customFormat="false" ht="15" hidden="false" customHeight="false" outlineLevel="0" collapsed="false">
      <c r="A84" s="37"/>
      <c r="B84" s="10"/>
      <c r="C84" s="10"/>
      <c r="D84" s="10"/>
      <c r="E84" s="10"/>
      <c r="F84" s="6"/>
      <c r="G84" s="38"/>
      <c r="H84" s="38"/>
      <c r="I84" s="6"/>
      <c r="J84" s="38"/>
      <c r="K84" s="6"/>
      <c r="L84" s="25" t="str">
        <f aca="false">IF(B84="","",IFERROR(H84/G84,0))</f>
        <v/>
      </c>
      <c r="M84" s="7" t="str">
        <f aca="false">IF(B84="","",IFERROR(I84/H84,0))</f>
        <v/>
      </c>
      <c r="N84" s="25" t="str">
        <f aca="false">IF(B84="","",IFERROR(I84/K84,0))</f>
        <v/>
      </c>
      <c r="O84" s="26" t="str">
        <f aca="false">IF(B84="","",IFERROR(K84/I84,0))</f>
        <v/>
      </c>
      <c r="P84" s="10"/>
      <c r="Q84" s="4" t="str">
        <f aca="false">IF(B84="","",B84&amp;" | "&amp;C84)</f>
        <v/>
      </c>
      <c r="R84" s="0" t="str">
        <f aca="false">IF(B84="","",Q84&amp;"#"&amp;A84)</f>
        <v/>
      </c>
    </row>
    <row r="85" customFormat="false" ht="15" hidden="false" customHeight="false" outlineLevel="0" collapsed="false">
      <c r="A85" s="37"/>
      <c r="B85" s="10"/>
      <c r="C85" s="10"/>
      <c r="D85" s="10"/>
      <c r="E85" s="10"/>
      <c r="F85" s="6"/>
      <c r="G85" s="38"/>
      <c r="H85" s="38"/>
      <c r="I85" s="6"/>
      <c r="J85" s="38"/>
      <c r="K85" s="6"/>
      <c r="L85" s="25" t="str">
        <f aca="false">IF(B85="","",IFERROR(H85/G85,0))</f>
        <v/>
      </c>
      <c r="M85" s="7" t="str">
        <f aca="false">IF(B85="","",IFERROR(I85/H85,0))</f>
        <v/>
      </c>
      <c r="N85" s="25" t="str">
        <f aca="false">IF(B85="","",IFERROR(I85/K85,0))</f>
        <v/>
      </c>
      <c r="O85" s="26" t="str">
        <f aca="false">IF(B85="","",IFERROR(K85/I85,0))</f>
        <v/>
      </c>
      <c r="P85" s="10"/>
      <c r="Q85" s="4" t="str">
        <f aca="false">IF(B85="","",B85&amp;" | "&amp;C85)</f>
        <v/>
      </c>
      <c r="R85" s="0" t="str">
        <f aca="false">IF(B85="","",Q85&amp;"#"&amp;A85)</f>
        <v/>
      </c>
    </row>
    <row r="86" customFormat="false" ht="15" hidden="false" customHeight="false" outlineLevel="0" collapsed="false">
      <c r="A86" s="37"/>
      <c r="B86" s="10"/>
      <c r="C86" s="10"/>
      <c r="D86" s="10"/>
      <c r="E86" s="10"/>
      <c r="F86" s="6"/>
      <c r="G86" s="38"/>
      <c r="H86" s="38"/>
      <c r="I86" s="6"/>
      <c r="J86" s="38"/>
      <c r="K86" s="6"/>
      <c r="L86" s="25" t="str">
        <f aca="false">IF(B86="","",IFERROR(H86/G86,0))</f>
        <v/>
      </c>
      <c r="M86" s="7" t="str">
        <f aca="false">IF(B86="","",IFERROR(I86/H86,0))</f>
        <v/>
      </c>
      <c r="N86" s="25" t="str">
        <f aca="false">IF(B86="","",IFERROR(I86/K86,0))</f>
        <v/>
      </c>
      <c r="O86" s="26" t="str">
        <f aca="false">IF(B86="","",IFERROR(K86/I86,0))</f>
        <v/>
      </c>
      <c r="P86" s="10"/>
      <c r="Q86" s="4" t="str">
        <f aca="false">IF(B86="","",B86&amp;" | "&amp;C86)</f>
        <v/>
      </c>
      <c r="R86" s="0" t="str">
        <f aca="false">IF(B86="","",Q86&amp;"#"&amp;A86)</f>
        <v/>
      </c>
    </row>
    <row r="87" customFormat="false" ht="15" hidden="false" customHeight="false" outlineLevel="0" collapsed="false">
      <c r="A87" s="37"/>
      <c r="B87" s="10"/>
      <c r="C87" s="10"/>
      <c r="D87" s="10"/>
      <c r="E87" s="10"/>
      <c r="F87" s="6"/>
      <c r="G87" s="38"/>
      <c r="H87" s="38"/>
      <c r="I87" s="6"/>
      <c r="J87" s="38"/>
      <c r="K87" s="6"/>
      <c r="L87" s="25" t="str">
        <f aca="false">IF(B87="","",IFERROR(H87/G87,0))</f>
        <v/>
      </c>
      <c r="M87" s="7" t="str">
        <f aca="false">IF(B87="","",IFERROR(I87/H87,0))</f>
        <v/>
      </c>
      <c r="N87" s="25" t="str">
        <f aca="false">IF(B87="","",IFERROR(I87/K87,0))</f>
        <v/>
      </c>
      <c r="O87" s="26" t="str">
        <f aca="false">IF(B87="","",IFERROR(K87/I87,0))</f>
        <v/>
      </c>
      <c r="P87" s="10"/>
      <c r="Q87" s="4" t="str">
        <f aca="false">IF(B87="","",B87&amp;" | "&amp;C87)</f>
        <v/>
      </c>
      <c r="R87" s="0" t="str">
        <f aca="false">IF(B87="","",Q87&amp;"#"&amp;A87)</f>
        <v/>
      </c>
    </row>
    <row r="88" customFormat="false" ht="15" hidden="false" customHeight="false" outlineLevel="0" collapsed="false">
      <c r="A88" s="37"/>
      <c r="B88" s="10"/>
      <c r="C88" s="10"/>
      <c r="D88" s="10"/>
      <c r="E88" s="10"/>
      <c r="F88" s="6"/>
      <c r="G88" s="38"/>
      <c r="H88" s="38"/>
      <c r="I88" s="6"/>
      <c r="J88" s="38"/>
      <c r="K88" s="6"/>
      <c r="L88" s="25" t="str">
        <f aca="false">IF(B88="","",IFERROR(H88/G88,0))</f>
        <v/>
      </c>
      <c r="M88" s="7" t="str">
        <f aca="false">IF(B88="","",IFERROR(I88/H88,0))</f>
        <v/>
      </c>
      <c r="N88" s="25" t="str">
        <f aca="false">IF(B88="","",IFERROR(I88/K88,0))</f>
        <v/>
      </c>
      <c r="O88" s="26" t="str">
        <f aca="false">IF(B88="","",IFERROR(K88/I88,0))</f>
        <v/>
      </c>
      <c r="P88" s="10"/>
      <c r="Q88" s="4" t="str">
        <f aca="false">IF(B88="","",B88&amp;" | "&amp;C88)</f>
        <v/>
      </c>
      <c r="R88" s="0" t="str">
        <f aca="false">IF(B88="","",Q88&amp;"#"&amp;A88)</f>
        <v/>
      </c>
    </row>
    <row r="89" customFormat="false" ht="15" hidden="false" customHeight="false" outlineLevel="0" collapsed="false">
      <c r="A89" s="37"/>
      <c r="B89" s="10"/>
      <c r="C89" s="10"/>
      <c r="D89" s="10"/>
      <c r="E89" s="10"/>
      <c r="F89" s="6"/>
      <c r="G89" s="38"/>
      <c r="H89" s="38"/>
      <c r="I89" s="6"/>
      <c r="J89" s="38"/>
      <c r="K89" s="6"/>
      <c r="L89" s="25" t="str">
        <f aca="false">IF(B89="","",IFERROR(H89/G89,0))</f>
        <v/>
      </c>
      <c r="M89" s="7" t="str">
        <f aca="false">IF(B89="","",IFERROR(I89/H89,0))</f>
        <v/>
      </c>
      <c r="N89" s="25" t="str">
        <f aca="false">IF(B89="","",IFERROR(I89/K89,0))</f>
        <v/>
      </c>
      <c r="O89" s="26" t="str">
        <f aca="false">IF(B89="","",IFERROR(K89/I89,0))</f>
        <v/>
      </c>
      <c r="P89" s="10"/>
      <c r="Q89" s="4" t="str">
        <f aca="false">IF(B89="","",B89&amp;" | "&amp;C89)</f>
        <v/>
      </c>
      <c r="R89" s="0" t="str">
        <f aca="false">IF(B89="","",Q89&amp;"#"&amp;A89)</f>
        <v/>
      </c>
    </row>
    <row r="90" customFormat="false" ht="15" hidden="false" customHeight="false" outlineLevel="0" collapsed="false">
      <c r="A90" s="37"/>
      <c r="B90" s="10"/>
      <c r="C90" s="10"/>
      <c r="D90" s="10"/>
      <c r="E90" s="10"/>
      <c r="F90" s="6"/>
      <c r="G90" s="38"/>
      <c r="H90" s="38"/>
      <c r="I90" s="6"/>
      <c r="J90" s="38"/>
      <c r="K90" s="6"/>
      <c r="L90" s="25" t="str">
        <f aca="false">IF(B90="","",IFERROR(H90/G90,0))</f>
        <v/>
      </c>
      <c r="M90" s="7" t="str">
        <f aca="false">IF(B90="","",IFERROR(I90/H90,0))</f>
        <v/>
      </c>
      <c r="N90" s="25" t="str">
        <f aca="false">IF(B90="","",IFERROR(I90/K90,0))</f>
        <v/>
      </c>
      <c r="O90" s="26" t="str">
        <f aca="false">IF(B90="","",IFERROR(K90/I90,0))</f>
        <v/>
      </c>
      <c r="P90" s="10"/>
      <c r="Q90" s="4" t="str">
        <f aca="false">IF(B90="","",B90&amp;" | "&amp;C90)</f>
        <v/>
      </c>
      <c r="R90" s="0" t="str">
        <f aca="false">IF(B90="","",Q90&amp;"#"&amp;A90)</f>
        <v/>
      </c>
    </row>
    <row r="91" customFormat="false" ht="15" hidden="false" customHeight="false" outlineLevel="0" collapsed="false">
      <c r="A91" s="37"/>
      <c r="B91" s="10"/>
      <c r="C91" s="10"/>
      <c r="D91" s="10"/>
      <c r="E91" s="10"/>
      <c r="F91" s="6"/>
      <c r="G91" s="38"/>
      <c r="H91" s="38"/>
      <c r="I91" s="6"/>
      <c r="J91" s="38"/>
      <c r="K91" s="6"/>
      <c r="L91" s="25" t="str">
        <f aca="false">IF(B91="","",IFERROR(H91/G91,0))</f>
        <v/>
      </c>
      <c r="M91" s="7" t="str">
        <f aca="false">IF(B91="","",IFERROR(I91/H91,0))</f>
        <v/>
      </c>
      <c r="N91" s="25" t="str">
        <f aca="false">IF(B91="","",IFERROR(I91/K91,0))</f>
        <v/>
      </c>
      <c r="O91" s="26" t="str">
        <f aca="false">IF(B91="","",IFERROR(K91/I91,0))</f>
        <v/>
      </c>
      <c r="P91" s="10"/>
      <c r="Q91" s="4" t="str">
        <f aca="false">IF(B91="","",B91&amp;" | "&amp;C91)</f>
        <v/>
      </c>
      <c r="R91" s="0" t="str">
        <f aca="false">IF(B91="","",Q91&amp;"#"&amp;A91)</f>
        <v/>
      </c>
    </row>
    <row r="92" customFormat="false" ht="15" hidden="false" customHeight="false" outlineLevel="0" collapsed="false">
      <c r="A92" s="37"/>
      <c r="B92" s="10"/>
      <c r="C92" s="10"/>
      <c r="D92" s="10"/>
      <c r="E92" s="10"/>
      <c r="F92" s="6"/>
      <c r="G92" s="38"/>
      <c r="H92" s="38"/>
      <c r="I92" s="6"/>
      <c r="J92" s="38"/>
      <c r="K92" s="6"/>
      <c r="L92" s="25" t="str">
        <f aca="false">IF(B92="","",IFERROR(H92/G92,0))</f>
        <v/>
      </c>
      <c r="M92" s="7" t="str">
        <f aca="false">IF(B92="","",IFERROR(I92/H92,0))</f>
        <v/>
      </c>
      <c r="N92" s="25" t="str">
        <f aca="false">IF(B92="","",IFERROR(I92/K92,0))</f>
        <v/>
      </c>
      <c r="O92" s="26" t="str">
        <f aca="false">IF(B92="","",IFERROR(K92/I92,0))</f>
        <v/>
      </c>
      <c r="P92" s="10"/>
      <c r="Q92" s="4" t="str">
        <f aca="false">IF(B92="","",B92&amp;" | "&amp;C92)</f>
        <v/>
      </c>
      <c r="R92" s="0" t="str">
        <f aca="false">IF(B92="","",Q92&amp;"#"&amp;A92)</f>
        <v/>
      </c>
    </row>
    <row r="93" customFormat="false" ht="15" hidden="false" customHeight="false" outlineLevel="0" collapsed="false">
      <c r="A93" s="37"/>
      <c r="B93" s="10"/>
      <c r="C93" s="10"/>
      <c r="D93" s="10"/>
      <c r="E93" s="10"/>
      <c r="F93" s="6"/>
      <c r="G93" s="38"/>
      <c r="H93" s="38"/>
      <c r="I93" s="6"/>
      <c r="J93" s="38"/>
      <c r="K93" s="6"/>
      <c r="L93" s="25" t="str">
        <f aca="false">IF(B93="","",IFERROR(H93/G93,0))</f>
        <v/>
      </c>
      <c r="M93" s="7" t="str">
        <f aca="false">IF(B93="","",IFERROR(I93/H93,0))</f>
        <v/>
      </c>
      <c r="N93" s="25" t="str">
        <f aca="false">IF(B93="","",IFERROR(I93/K93,0))</f>
        <v/>
      </c>
      <c r="O93" s="26" t="str">
        <f aca="false">IF(B93="","",IFERROR(K93/I93,0))</f>
        <v/>
      </c>
      <c r="P93" s="10"/>
      <c r="Q93" s="4" t="str">
        <f aca="false">IF(B93="","",B93&amp;" | "&amp;C93)</f>
        <v/>
      </c>
      <c r="R93" s="0" t="str">
        <f aca="false">IF(B93="","",Q93&amp;"#"&amp;A93)</f>
        <v/>
      </c>
    </row>
    <row r="94" customFormat="false" ht="15" hidden="false" customHeight="false" outlineLevel="0" collapsed="false">
      <c r="A94" s="37"/>
      <c r="B94" s="10"/>
      <c r="C94" s="10"/>
      <c r="D94" s="10"/>
      <c r="E94" s="10"/>
      <c r="F94" s="6"/>
      <c r="G94" s="38"/>
      <c r="H94" s="38"/>
      <c r="I94" s="6"/>
      <c r="J94" s="38"/>
      <c r="K94" s="6"/>
      <c r="L94" s="25" t="str">
        <f aca="false">IF(B94="","",IFERROR(H94/G94,0))</f>
        <v/>
      </c>
      <c r="M94" s="7" t="str">
        <f aca="false">IF(B94="","",IFERROR(I94/H94,0))</f>
        <v/>
      </c>
      <c r="N94" s="25" t="str">
        <f aca="false">IF(B94="","",IFERROR(I94/K94,0))</f>
        <v/>
      </c>
      <c r="O94" s="26" t="str">
        <f aca="false">IF(B94="","",IFERROR(K94/I94,0))</f>
        <v/>
      </c>
      <c r="P94" s="10"/>
      <c r="Q94" s="4" t="str">
        <f aca="false">IF(B94="","",B94&amp;" | "&amp;C94)</f>
        <v/>
      </c>
      <c r="R94" s="0" t="str">
        <f aca="false">IF(B94="","",Q94&amp;"#"&amp;A94)</f>
        <v/>
      </c>
    </row>
    <row r="95" customFormat="false" ht="15" hidden="false" customHeight="false" outlineLevel="0" collapsed="false">
      <c r="A95" s="37"/>
      <c r="B95" s="10"/>
      <c r="C95" s="10"/>
      <c r="D95" s="10"/>
      <c r="E95" s="10"/>
      <c r="F95" s="6"/>
      <c r="G95" s="38"/>
      <c r="H95" s="38"/>
      <c r="I95" s="6"/>
      <c r="J95" s="38"/>
      <c r="K95" s="6"/>
      <c r="L95" s="25" t="str">
        <f aca="false">IF(B95="","",IFERROR(H95/G95,0))</f>
        <v/>
      </c>
      <c r="M95" s="7" t="str">
        <f aca="false">IF(B95="","",IFERROR(I95/H95,0))</f>
        <v/>
      </c>
      <c r="N95" s="25" t="str">
        <f aca="false">IF(B95="","",IFERROR(I95/K95,0))</f>
        <v/>
      </c>
      <c r="O95" s="26" t="str">
        <f aca="false">IF(B95="","",IFERROR(K95/I95,0))</f>
        <v/>
      </c>
      <c r="P95" s="10"/>
      <c r="Q95" s="4" t="str">
        <f aca="false">IF(B95="","",B95&amp;" | "&amp;C95)</f>
        <v/>
      </c>
      <c r="R95" s="0" t="str">
        <f aca="false">IF(B95="","",Q95&amp;"#"&amp;A95)</f>
        <v/>
      </c>
    </row>
    <row r="96" customFormat="false" ht="15" hidden="false" customHeight="false" outlineLevel="0" collapsed="false">
      <c r="A96" s="37"/>
      <c r="B96" s="10"/>
      <c r="C96" s="10"/>
      <c r="D96" s="10"/>
      <c r="E96" s="10"/>
      <c r="F96" s="6"/>
      <c r="G96" s="38"/>
      <c r="H96" s="38"/>
      <c r="I96" s="6"/>
      <c r="J96" s="38"/>
      <c r="K96" s="6"/>
      <c r="L96" s="25" t="str">
        <f aca="false">IF(B96="","",IFERROR(H96/G96,0))</f>
        <v/>
      </c>
      <c r="M96" s="7" t="str">
        <f aca="false">IF(B96="","",IFERROR(I96/H96,0))</f>
        <v/>
      </c>
      <c r="N96" s="25" t="str">
        <f aca="false">IF(B96="","",IFERROR(I96/K96,0))</f>
        <v/>
      </c>
      <c r="O96" s="26" t="str">
        <f aca="false">IF(B96="","",IFERROR(K96/I96,0))</f>
        <v/>
      </c>
      <c r="P96" s="10"/>
      <c r="Q96" s="4" t="str">
        <f aca="false">IF(B96="","",B96&amp;" | "&amp;C96)</f>
        <v/>
      </c>
      <c r="R96" s="0" t="str">
        <f aca="false">IF(B96="","",Q96&amp;"#"&amp;A96)</f>
        <v/>
      </c>
    </row>
    <row r="97" customFormat="false" ht="15" hidden="false" customHeight="false" outlineLevel="0" collapsed="false">
      <c r="A97" s="37"/>
      <c r="B97" s="10"/>
      <c r="C97" s="10"/>
      <c r="D97" s="10"/>
      <c r="E97" s="10"/>
      <c r="F97" s="6"/>
      <c r="G97" s="38"/>
      <c r="H97" s="38"/>
      <c r="I97" s="6"/>
      <c r="J97" s="38"/>
      <c r="K97" s="6"/>
      <c r="L97" s="25" t="str">
        <f aca="false">IF(B97="","",IFERROR(H97/G97,0))</f>
        <v/>
      </c>
      <c r="M97" s="7" t="str">
        <f aca="false">IF(B97="","",IFERROR(I97/H97,0))</f>
        <v/>
      </c>
      <c r="N97" s="25" t="str">
        <f aca="false">IF(B97="","",IFERROR(I97/K97,0))</f>
        <v/>
      </c>
      <c r="O97" s="26" t="str">
        <f aca="false">IF(B97="","",IFERROR(K97/I97,0))</f>
        <v/>
      </c>
      <c r="P97" s="10"/>
      <c r="Q97" s="4" t="str">
        <f aca="false">IF(B97="","",B97&amp;" | "&amp;C97)</f>
        <v/>
      </c>
      <c r="R97" s="0" t="str">
        <f aca="false">IF(B97="","",Q97&amp;"#"&amp;A97)</f>
        <v/>
      </c>
    </row>
    <row r="98" customFormat="false" ht="15" hidden="false" customHeight="false" outlineLevel="0" collapsed="false">
      <c r="A98" s="37"/>
      <c r="B98" s="10"/>
      <c r="C98" s="10"/>
      <c r="D98" s="10"/>
      <c r="E98" s="10"/>
      <c r="F98" s="6"/>
      <c r="G98" s="38"/>
      <c r="H98" s="38"/>
      <c r="I98" s="6"/>
      <c r="J98" s="38"/>
      <c r="K98" s="6"/>
      <c r="L98" s="25" t="str">
        <f aca="false">IF(B98="","",IFERROR(H98/G98,0))</f>
        <v/>
      </c>
      <c r="M98" s="7" t="str">
        <f aca="false">IF(B98="","",IFERROR(I98/H98,0))</f>
        <v/>
      </c>
      <c r="N98" s="25" t="str">
        <f aca="false">IF(B98="","",IFERROR(I98/K98,0))</f>
        <v/>
      </c>
      <c r="O98" s="26" t="str">
        <f aca="false">IF(B98="","",IFERROR(K98/I98,0))</f>
        <v/>
      </c>
      <c r="P98" s="10"/>
      <c r="Q98" s="4" t="str">
        <f aca="false">IF(B98="","",B98&amp;" | "&amp;C98)</f>
        <v/>
      </c>
      <c r="R98" s="0" t="str">
        <f aca="false">IF(B98="","",Q98&amp;"#"&amp;A98)</f>
        <v/>
      </c>
    </row>
    <row r="99" customFormat="false" ht="15" hidden="false" customHeight="false" outlineLevel="0" collapsed="false">
      <c r="A99" s="37"/>
      <c r="B99" s="10"/>
      <c r="C99" s="10"/>
      <c r="D99" s="10"/>
      <c r="E99" s="10"/>
      <c r="F99" s="6"/>
      <c r="G99" s="38"/>
      <c r="H99" s="38"/>
      <c r="I99" s="6"/>
      <c r="J99" s="38"/>
      <c r="K99" s="6"/>
      <c r="L99" s="25" t="str">
        <f aca="false">IF(B99="","",IFERROR(H99/G99,0))</f>
        <v/>
      </c>
      <c r="M99" s="7" t="str">
        <f aca="false">IF(B99="","",IFERROR(I99/H99,0))</f>
        <v/>
      </c>
      <c r="N99" s="25" t="str">
        <f aca="false">IF(B99="","",IFERROR(I99/K99,0))</f>
        <v/>
      </c>
      <c r="O99" s="26" t="str">
        <f aca="false">IF(B99="","",IFERROR(K99/I99,0))</f>
        <v/>
      </c>
      <c r="P99" s="10"/>
      <c r="Q99" s="4" t="str">
        <f aca="false">IF(B99="","",B99&amp;" | "&amp;C99)</f>
        <v/>
      </c>
      <c r="R99" s="0" t="str">
        <f aca="false">IF(B99="","",Q99&amp;"#"&amp;A99)</f>
        <v/>
      </c>
    </row>
    <row r="100" customFormat="false" ht="15" hidden="false" customHeight="false" outlineLevel="0" collapsed="false">
      <c r="A100" s="37"/>
      <c r="B100" s="10"/>
      <c r="C100" s="10"/>
      <c r="D100" s="10"/>
      <c r="E100" s="10"/>
      <c r="F100" s="6"/>
      <c r="G100" s="38"/>
      <c r="H100" s="38"/>
      <c r="I100" s="6"/>
      <c r="J100" s="38"/>
      <c r="K100" s="6"/>
      <c r="L100" s="25" t="str">
        <f aca="false">IF(B100="","",IFERROR(H100/G100,0))</f>
        <v/>
      </c>
      <c r="M100" s="7" t="str">
        <f aca="false">IF(B100="","",IFERROR(I100/H100,0))</f>
        <v/>
      </c>
      <c r="N100" s="25" t="str">
        <f aca="false">IF(B100="","",IFERROR(I100/K100,0))</f>
        <v/>
      </c>
      <c r="O100" s="26" t="str">
        <f aca="false">IF(B100="","",IFERROR(K100/I100,0))</f>
        <v/>
      </c>
      <c r="P100" s="10"/>
      <c r="Q100" s="4" t="str">
        <f aca="false">IF(B100="","",B100&amp;" | "&amp;C100)</f>
        <v/>
      </c>
      <c r="R100" s="0" t="str">
        <f aca="false">IF(B100="","",Q100&amp;"#"&amp;A100)</f>
        <v/>
      </c>
    </row>
    <row r="101" customFormat="false" ht="15" hidden="false" customHeight="false" outlineLevel="0" collapsed="false">
      <c r="A101" s="37"/>
      <c r="B101" s="10"/>
      <c r="C101" s="10"/>
      <c r="D101" s="10"/>
      <c r="E101" s="10"/>
      <c r="F101" s="6"/>
      <c r="G101" s="38"/>
      <c r="H101" s="38"/>
      <c r="I101" s="6"/>
      <c r="J101" s="38"/>
      <c r="K101" s="6"/>
      <c r="L101" s="25" t="str">
        <f aca="false">IF(B101="","",IFERROR(H101/G101,0))</f>
        <v/>
      </c>
      <c r="M101" s="7" t="str">
        <f aca="false">IF(B101="","",IFERROR(I101/H101,0))</f>
        <v/>
      </c>
      <c r="N101" s="25" t="str">
        <f aca="false">IF(B101="","",IFERROR(I101/K101,0))</f>
        <v/>
      </c>
      <c r="O101" s="26" t="str">
        <f aca="false">IF(B101="","",IFERROR(K101/I101,0))</f>
        <v/>
      </c>
      <c r="P101" s="10"/>
      <c r="Q101" s="4" t="str">
        <f aca="false">IF(B101="","",B101&amp;" | "&amp;C101)</f>
        <v/>
      </c>
      <c r="R101" s="0" t="str">
        <f aca="false">IF(B101="","",Q101&amp;"#"&amp;A101)</f>
        <v/>
      </c>
    </row>
    <row r="102" customFormat="false" ht="15" hidden="false" customHeight="false" outlineLevel="0" collapsed="false">
      <c r="A102" s="37"/>
      <c r="B102" s="10"/>
      <c r="C102" s="10"/>
      <c r="D102" s="10"/>
      <c r="E102" s="10"/>
      <c r="F102" s="6"/>
      <c r="G102" s="38"/>
      <c r="H102" s="38"/>
      <c r="I102" s="6"/>
      <c r="J102" s="38"/>
      <c r="K102" s="6"/>
      <c r="L102" s="25" t="str">
        <f aca="false">IF(B102="","",IFERROR(H102/G102,0))</f>
        <v/>
      </c>
      <c r="M102" s="7" t="str">
        <f aca="false">IF(B102="","",IFERROR(I102/H102,0))</f>
        <v/>
      </c>
      <c r="N102" s="25" t="str">
        <f aca="false">IF(B102="","",IFERROR(I102/K102,0))</f>
        <v/>
      </c>
      <c r="O102" s="26" t="str">
        <f aca="false">IF(B102="","",IFERROR(K102/I102,0))</f>
        <v/>
      </c>
      <c r="P102" s="10"/>
      <c r="Q102" s="4" t="str">
        <f aca="false">IF(B102="","",B102&amp;" | "&amp;C102)</f>
        <v/>
      </c>
      <c r="R102" s="0" t="str">
        <f aca="false">IF(B102="","",Q102&amp;"#"&amp;A102)</f>
        <v/>
      </c>
    </row>
    <row r="103" customFormat="false" ht="15" hidden="false" customHeight="false" outlineLevel="0" collapsed="false">
      <c r="A103" s="37"/>
      <c r="B103" s="10"/>
      <c r="C103" s="10"/>
      <c r="D103" s="10"/>
      <c r="E103" s="10"/>
      <c r="F103" s="6"/>
      <c r="G103" s="38"/>
      <c r="H103" s="38"/>
      <c r="I103" s="6"/>
      <c r="J103" s="38"/>
      <c r="K103" s="6"/>
      <c r="L103" s="25" t="str">
        <f aca="false">IF(B103="","",IFERROR(H103/G103,0))</f>
        <v/>
      </c>
      <c r="M103" s="7" t="str">
        <f aca="false">IF(B103="","",IFERROR(I103/H103,0))</f>
        <v/>
      </c>
      <c r="N103" s="25" t="str">
        <f aca="false">IF(B103="","",IFERROR(I103/K103,0))</f>
        <v/>
      </c>
      <c r="O103" s="26" t="str">
        <f aca="false">IF(B103="","",IFERROR(K103/I103,0))</f>
        <v/>
      </c>
      <c r="P103" s="10"/>
      <c r="Q103" s="4" t="str">
        <f aca="false">IF(B103="","",B103&amp;" | "&amp;C103)</f>
        <v/>
      </c>
      <c r="R103" s="0" t="str">
        <f aca="false">IF(B103="","",Q103&amp;"#"&amp;A103)</f>
        <v/>
      </c>
    </row>
    <row r="104" customFormat="false" ht="15" hidden="false" customHeight="false" outlineLevel="0" collapsed="false">
      <c r="A104" s="37"/>
      <c r="B104" s="10"/>
      <c r="C104" s="10"/>
      <c r="D104" s="10"/>
      <c r="E104" s="10"/>
      <c r="F104" s="6"/>
      <c r="G104" s="38"/>
      <c r="H104" s="38"/>
      <c r="I104" s="6"/>
      <c r="J104" s="38"/>
      <c r="K104" s="6"/>
      <c r="L104" s="25" t="str">
        <f aca="false">IF(B104="","",IFERROR(H104/G104,0))</f>
        <v/>
      </c>
      <c r="M104" s="7" t="str">
        <f aca="false">IF(B104="","",IFERROR(I104/H104,0))</f>
        <v/>
      </c>
      <c r="N104" s="25" t="str">
        <f aca="false">IF(B104="","",IFERROR(I104/K104,0))</f>
        <v/>
      </c>
      <c r="O104" s="26" t="str">
        <f aca="false">IF(B104="","",IFERROR(K104/I104,0))</f>
        <v/>
      </c>
      <c r="P104" s="10"/>
      <c r="Q104" s="4" t="str">
        <f aca="false">IF(B104="","",B104&amp;" | "&amp;C104)</f>
        <v/>
      </c>
      <c r="R104" s="0" t="str">
        <f aca="false">IF(B104="","",Q104&amp;"#"&amp;A104)</f>
        <v/>
      </c>
    </row>
    <row r="105" customFormat="false" ht="15" hidden="false" customHeight="false" outlineLevel="0" collapsed="false">
      <c r="A105" s="37"/>
      <c r="B105" s="10"/>
      <c r="C105" s="10"/>
      <c r="D105" s="10"/>
      <c r="E105" s="10"/>
      <c r="F105" s="6"/>
      <c r="G105" s="38"/>
      <c r="H105" s="38"/>
      <c r="I105" s="6"/>
      <c r="J105" s="38"/>
      <c r="K105" s="6"/>
      <c r="L105" s="25" t="str">
        <f aca="false">IF(B105="","",IFERROR(H105/G105,0))</f>
        <v/>
      </c>
      <c r="M105" s="7" t="str">
        <f aca="false">IF(B105="","",IFERROR(I105/H105,0))</f>
        <v/>
      </c>
      <c r="N105" s="25" t="str">
        <f aca="false">IF(B105="","",IFERROR(I105/K105,0))</f>
        <v/>
      </c>
      <c r="O105" s="26" t="str">
        <f aca="false">IF(B105="","",IFERROR(K105/I105,0))</f>
        <v/>
      </c>
      <c r="P105" s="10"/>
      <c r="Q105" s="4" t="str">
        <f aca="false">IF(B105="","",B105&amp;" | "&amp;C105)</f>
        <v/>
      </c>
      <c r="R105" s="0" t="str">
        <f aca="false">IF(B105="","",Q105&amp;"#"&amp;A105)</f>
        <v/>
      </c>
    </row>
    <row r="106" customFormat="false" ht="15" hidden="false" customHeight="false" outlineLevel="0" collapsed="false">
      <c r="A106" s="37"/>
      <c r="B106" s="10"/>
      <c r="C106" s="10"/>
      <c r="D106" s="10"/>
      <c r="E106" s="10"/>
      <c r="F106" s="6"/>
      <c r="G106" s="38"/>
      <c r="H106" s="38"/>
      <c r="I106" s="6"/>
      <c r="J106" s="38"/>
      <c r="K106" s="6"/>
      <c r="L106" s="25" t="str">
        <f aca="false">IF(B106="","",IFERROR(H106/G106,0))</f>
        <v/>
      </c>
      <c r="M106" s="7" t="str">
        <f aca="false">IF(B106="","",IFERROR(I106/H106,0))</f>
        <v/>
      </c>
      <c r="N106" s="25" t="str">
        <f aca="false">IF(B106="","",IFERROR(I106/K106,0))</f>
        <v/>
      </c>
      <c r="O106" s="26" t="str">
        <f aca="false">IF(B106="","",IFERROR(K106/I106,0))</f>
        <v/>
      </c>
      <c r="P106" s="10"/>
      <c r="Q106" s="4" t="str">
        <f aca="false">IF(B106="","",B106&amp;" | "&amp;C106)</f>
        <v/>
      </c>
      <c r="R106" s="0" t="str">
        <f aca="false">IF(B106="","",Q106&amp;"#"&amp;A106)</f>
        <v/>
      </c>
    </row>
    <row r="107" customFormat="false" ht="15" hidden="false" customHeight="false" outlineLevel="0" collapsed="false">
      <c r="A107" s="37"/>
      <c r="B107" s="10"/>
      <c r="C107" s="10"/>
      <c r="D107" s="10"/>
      <c r="E107" s="10"/>
      <c r="F107" s="6"/>
      <c r="G107" s="38"/>
      <c r="H107" s="38"/>
      <c r="I107" s="6"/>
      <c r="J107" s="38"/>
      <c r="K107" s="6"/>
      <c r="L107" s="25" t="str">
        <f aca="false">IF(B107="","",IFERROR(H107/G107,0))</f>
        <v/>
      </c>
      <c r="M107" s="7" t="str">
        <f aca="false">IF(B107="","",IFERROR(I107/H107,0))</f>
        <v/>
      </c>
      <c r="N107" s="25" t="str">
        <f aca="false">IF(B107="","",IFERROR(I107/K107,0))</f>
        <v/>
      </c>
      <c r="O107" s="26" t="str">
        <f aca="false">IF(B107="","",IFERROR(K107/I107,0))</f>
        <v/>
      </c>
      <c r="P107" s="10"/>
      <c r="Q107" s="4" t="str">
        <f aca="false">IF(B107="","",B107&amp;" | "&amp;C107)</f>
        <v/>
      </c>
      <c r="R107" s="0" t="str">
        <f aca="false">IF(B107="","",Q107&amp;"#"&amp;A107)</f>
        <v/>
      </c>
    </row>
    <row r="108" customFormat="false" ht="15" hidden="false" customHeight="false" outlineLevel="0" collapsed="false">
      <c r="A108" s="37"/>
      <c r="B108" s="10"/>
      <c r="C108" s="10"/>
      <c r="D108" s="10"/>
      <c r="E108" s="10"/>
      <c r="F108" s="6"/>
      <c r="G108" s="38"/>
      <c r="H108" s="38"/>
      <c r="I108" s="6"/>
      <c r="J108" s="38"/>
      <c r="K108" s="6"/>
      <c r="L108" s="25" t="str">
        <f aca="false">IF(B108="","",IFERROR(H108/G108,0))</f>
        <v/>
      </c>
      <c r="M108" s="7" t="str">
        <f aca="false">IF(B108="","",IFERROR(I108/H108,0))</f>
        <v/>
      </c>
      <c r="N108" s="25" t="str">
        <f aca="false">IF(B108="","",IFERROR(I108/K108,0))</f>
        <v/>
      </c>
      <c r="O108" s="26" t="str">
        <f aca="false">IF(B108="","",IFERROR(K108/I108,0))</f>
        <v/>
      </c>
      <c r="P108" s="10"/>
      <c r="Q108" s="4" t="str">
        <f aca="false">IF(B108="","",B108&amp;" | "&amp;C108)</f>
        <v/>
      </c>
      <c r="R108" s="0" t="str">
        <f aca="false">IF(B108="","",Q108&amp;"#"&amp;A108)</f>
        <v/>
      </c>
    </row>
    <row r="109" customFormat="false" ht="15" hidden="false" customHeight="false" outlineLevel="0" collapsed="false">
      <c r="A109" s="37"/>
      <c r="B109" s="10"/>
      <c r="C109" s="10"/>
      <c r="D109" s="10"/>
      <c r="E109" s="10"/>
      <c r="F109" s="6"/>
      <c r="G109" s="38"/>
      <c r="H109" s="38"/>
      <c r="I109" s="6"/>
      <c r="J109" s="38"/>
      <c r="K109" s="6"/>
      <c r="L109" s="25" t="str">
        <f aca="false">IF(B109="","",IFERROR(H109/G109,0))</f>
        <v/>
      </c>
      <c r="M109" s="7" t="str">
        <f aca="false">IF(B109="","",IFERROR(I109/H109,0))</f>
        <v/>
      </c>
      <c r="N109" s="25" t="str">
        <f aca="false">IF(B109="","",IFERROR(I109/K109,0))</f>
        <v/>
      </c>
      <c r="O109" s="26" t="str">
        <f aca="false">IF(B109="","",IFERROR(K109/I109,0))</f>
        <v/>
      </c>
      <c r="P109" s="10"/>
      <c r="Q109" s="4" t="str">
        <f aca="false">IF(B109="","",B109&amp;" | "&amp;C109)</f>
        <v/>
      </c>
      <c r="R109" s="0" t="str">
        <f aca="false">IF(B109="","",Q109&amp;"#"&amp;A109)</f>
        <v/>
      </c>
    </row>
    <row r="110" customFormat="false" ht="15" hidden="false" customHeight="false" outlineLevel="0" collapsed="false">
      <c r="A110" s="37"/>
      <c r="B110" s="10"/>
      <c r="C110" s="10"/>
      <c r="D110" s="10"/>
      <c r="E110" s="10"/>
      <c r="F110" s="6"/>
      <c r="G110" s="38"/>
      <c r="H110" s="38"/>
      <c r="I110" s="6"/>
      <c r="J110" s="38"/>
      <c r="K110" s="6"/>
      <c r="L110" s="25" t="str">
        <f aca="false">IF(B110="","",IFERROR(H110/G110,0))</f>
        <v/>
      </c>
      <c r="M110" s="7" t="str">
        <f aca="false">IF(B110="","",IFERROR(I110/H110,0))</f>
        <v/>
      </c>
      <c r="N110" s="25" t="str">
        <f aca="false">IF(B110="","",IFERROR(I110/K110,0))</f>
        <v/>
      </c>
      <c r="O110" s="26" t="str">
        <f aca="false">IF(B110="","",IFERROR(K110/I110,0))</f>
        <v/>
      </c>
      <c r="P110" s="10"/>
      <c r="Q110" s="4" t="str">
        <f aca="false">IF(B110="","",B110&amp;" | "&amp;C110)</f>
        <v/>
      </c>
      <c r="R110" s="0" t="str">
        <f aca="false">IF(B110="","",Q110&amp;"#"&amp;A110)</f>
        <v/>
      </c>
    </row>
    <row r="111" customFormat="false" ht="15" hidden="false" customHeight="false" outlineLevel="0" collapsed="false">
      <c r="A111" s="37"/>
      <c r="B111" s="10"/>
      <c r="C111" s="10"/>
      <c r="D111" s="10"/>
      <c r="E111" s="10"/>
      <c r="F111" s="6"/>
      <c r="G111" s="38"/>
      <c r="H111" s="38"/>
      <c r="I111" s="6"/>
      <c r="J111" s="38"/>
      <c r="K111" s="6"/>
      <c r="L111" s="25" t="str">
        <f aca="false">IF(B111="","",IFERROR(H111/G111,0))</f>
        <v/>
      </c>
      <c r="M111" s="7" t="str">
        <f aca="false">IF(B111="","",IFERROR(I111/H111,0))</f>
        <v/>
      </c>
      <c r="N111" s="25" t="str">
        <f aca="false">IF(B111="","",IFERROR(I111/K111,0))</f>
        <v/>
      </c>
      <c r="O111" s="26" t="str">
        <f aca="false">IF(B111="","",IFERROR(K111/I111,0))</f>
        <v/>
      </c>
      <c r="P111" s="10"/>
      <c r="Q111" s="4" t="str">
        <f aca="false">IF(B111="","",B111&amp;" | "&amp;C111)</f>
        <v/>
      </c>
      <c r="R111" s="0" t="str">
        <f aca="false">IF(B111="","",Q111&amp;"#"&amp;A111)</f>
        <v/>
      </c>
    </row>
    <row r="112" customFormat="false" ht="15" hidden="false" customHeight="false" outlineLevel="0" collapsed="false">
      <c r="A112" s="37"/>
      <c r="B112" s="10"/>
      <c r="C112" s="10"/>
      <c r="D112" s="10"/>
      <c r="E112" s="10"/>
      <c r="F112" s="6"/>
      <c r="G112" s="38"/>
      <c r="H112" s="38"/>
      <c r="I112" s="6"/>
      <c r="J112" s="38"/>
      <c r="K112" s="6"/>
      <c r="L112" s="25" t="str">
        <f aca="false">IF(B112="","",IFERROR(H112/G112,0))</f>
        <v/>
      </c>
      <c r="M112" s="7" t="str">
        <f aca="false">IF(B112="","",IFERROR(I112/H112,0))</f>
        <v/>
      </c>
      <c r="N112" s="25" t="str">
        <f aca="false">IF(B112="","",IFERROR(I112/K112,0))</f>
        <v/>
      </c>
      <c r="O112" s="26" t="str">
        <f aca="false">IF(B112="","",IFERROR(K112/I112,0))</f>
        <v/>
      </c>
      <c r="P112" s="10"/>
      <c r="Q112" s="4" t="str">
        <f aca="false">IF(B112="","",B112&amp;" | "&amp;C112)</f>
        <v/>
      </c>
      <c r="R112" s="0" t="str">
        <f aca="false">IF(B112="","",Q112&amp;"#"&amp;A112)</f>
        <v/>
      </c>
    </row>
    <row r="113" customFormat="false" ht="15" hidden="false" customHeight="false" outlineLevel="0" collapsed="false">
      <c r="A113" s="37"/>
      <c r="B113" s="10"/>
      <c r="C113" s="10"/>
      <c r="D113" s="10"/>
      <c r="E113" s="10"/>
      <c r="F113" s="6"/>
      <c r="G113" s="38"/>
      <c r="H113" s="38"/>
      <c r="I113" s="6"/>
      <c r="J113" s="38"/>
      <c r="K113" s="6"/>
      <c r="L113" s="25" t="str">
        <f aca="false">IF(B113="","",IFERROR(H113/G113,0))</f>
        <v/>
      </c>
      <c r="M113" s="7" t="str">
        <f aca="false">IF(B113="","",IFERROR(I113/H113,0))</f>
        <v/>
      </c>
      <c r="N113" s="25" t="str">
        <f aca="false">IF(B113="","",IFERROR(I113/K113,0))</f>
        <v/>
      </c>
      <c r="O113" s="26" t="str">
        <f aca="false">IF(B113="","",IFERROR(K113/I113,0))</f>
        <v/>
      </c>
      <c r="P113" s="10"/>
      <c r="Q113" s="4" t="str">
        <f aca="false">IF(B113="","",B113&amp;" | "&amp;C113)</f>
        <v/>
      </c>
      <c r="R113" s="0" t="str">
        <f aca="false">IF(B113="","",Q113&amp;"#"&amp;A113)</f>
        <v/>
      </c>
    </row>
    <row r="114" customFormat="false" ht="15" hidden="false" customHeight="false" outlineLevel="0" collapsed="false">
      <c r="A114" s="37"/>
      <c r="B114" s="10"/>
      <c r="C114" s="10"/>
      <c r="D114" s="10"/>
      <c r="E114" s="10"/>
      <c r="F114" s="6"/>
      <c r="G114" s="38"/>
      <c r="H114" s="38"/>
      <c r="I114" s="6"/>
      <c r="J114" s="38"/>
      <c r="K114" s="6"/>
      <c r="L114" s="25" t="str">
        <f aca="false">IF(B114="","",IFERROR(H114/G114,0))</f>
        <v/>
      </c>
      <c r="M114" s="7" t="str">
        <f aca="false">IF(B114="","",IFERROR(I114/H114,0))</f>
        <v/>
      </c>
      <c r="N114" s="25" t="str">
        <f aca="false">IF(B114="","",IFERROR(I114/K114,0))</f>
        <v/>
      </c>
      <c r="O114" s="26" t="str">
        <f aca="false">IF(B114="","",IFERROR(K114/I114,0))</f>
        <v/>
      </c>
      <c r="P114" s="10"/>
      <c r="Q114" s="4" t="str">
        <f aca="false">IF(B114="","",B114&amp;" | "&amp;C114)</f>
        <v/>
      </c>
      <c r="R114" s="0" t="str">
        <f aca="false">IF(B114="","",Q114&amp;"#"&amp;A114)</f>
        <v/>
      </c>
    </row>
    <row r="115" customFormat="false" ht="15" hidden="false" customHeight="false" outlineLevel="0" collapsed="false">
      <c r="A115" s="37"/>
      <c r="B115" s="10"/>
      <c r="C115" s="10"/>
      <c r="D115" s="10"/>
      <c r="E115" s="10"/>
      <c r="F115" s="6"/>
      <c r="G115" s="38"/>
      <c r="H115" s="38"/>
      <c r="I115" s="6"/>
      <c r="J115" s="38"/>
      <c r="K115" s="6"/>
      <c r="L115" s="25" t="str">
        <f aca="false">IF(B115="","",IFERROR(H115/G115,0))</f>
        <v/>
      </c>
      <c r="M115" s="7" t="str">
        <f aca="false">IF(B115="","",IFERROR(I115/H115,0))</f>
        <v/>
      </c>
      <c r="N115" s="25" t="str">
        <f aca="false">IF(B115="","",IFERROR(I115/K115,0))</f>
        <v/>
      </c>
      <c r="O115" s="26" t="str">
        <f aca="false">IF(B115="","",IFERROR(K115/I115,0))</f>
        <v/>
      </c>
      <c r="P115" s="10"/>
      <c r="Q115" s="4" t="str">
        <f aca="false">IF(B115="","",B115&amp;" | "&amp;C115)</f>
        <v/>
      </c>
      <c r="R115" s="0" t="str">
        <f aca="false">IF(B115="","",Q115&amp;"#"&amp;A115)</f>
        <v/>
      </c>
    </row>
    <row r="116" customFormat="false" ht="15" hidden="false" customHeight="false" outlineLevel="0" collapsed="false">
      <c r="A116" s="37"/>
      <c r="B116" s="10"/>
      <c r="C116" s="10"/>
      <c r="D116" s="10"/>
      <c r="E116" s="10"/>
      <c r="F116" s="6"/>
      <c r="G116" s="38"/>
      <c r="H116" s="38"/>
      <c r="I116" s="6"/>
      <c r="J116" s="38"/>
      <c r="K116" s="6"/>
      <c r="L116" s="25" t="str">
        <f aca="false">IF(B116="","",IFERROR(H116/G116,0))</f>
        <v/>
      </c>
      <c r="M116" s="7" t="str">
        <f aca="false">IF(B116="","",IFERROR(I116/H116,0))</f>
        <v/>
      </c>
      <c r="N116" s="25" t="str">
        <f aca="false">IF(B116="","",IFERROR(I116/K116,0))</f>
        <v/>
      </c>
      <c r="O116" s="26" t="str">
        <f aca="false">IF(B116="","",IFERROR(K116/I116,0))</f>
        <v/>
      </c>
      <c r="P116" s="10"/>
      <c r="Q116" s="4" t="str">
        <f aca="false">IF(B116="","",B116&amp;" | "&amp;C116)</f>
        <v/>
      </c>
      <c r="R116" s="0" t="str">
        <f aca="false">IF(B116="","",Q116&amp;"#"&amp;A116)</f>
        <v/>
      </c>
    </row>
    <row r="117" customFormat="false" ht="15" hidden="false" customHeight="false" outlineLevel="0" collapsed="false">
      <c r="A117" s="37"/>
      <c r="B117" s="10"/>
      <c r="C117" s="10"/>
      <c r="D117" s="10"/>
      <c r="E117" s="10"/>
      <c r="F117" s="6"/>
      <c r="G117" s="38"/>
      <c r="H117" s="38"/>
      <c r="I117" s="6"/>
      <c r="J117" s="38"/>
      <c r="K117" s="6"/>
      <c r="L117" s="25" t="str">
        <f aca="false">IF(B117="","",IFERROR(H117/G117,0))</f>
        <v/>
      </c>
      <c r="M117" s="7" t="str">
        <f aca="false">IF(B117="","",IFERROR(I117/H117,0))</f>
        <v/>
      </c>
      <c r="N117" s="25" t="str">
        <f aca="false">IF(B117="","",IFERROR(I117/K117,0))</f>
        <v/>
      </c>
      <c r="O117" s="26" t="str">
        <f aca="false">IF(B117="","",IFERROR(K117/I117,0))</f>
        <v/>
      </c>
      <c r="P117" s="10"/>
      <c r="Q117" s="4" t="str">
        <f aca="false">IF(B117="","",B117&amp;" | "&amp;C117)</f>
        <v/>
      </c>
      <c r="R117" s="0" t="str">
        <f aca="false">IF(B117="","",Q117&amp;"#"&amp;A117)</f>
        <v/>
      </c>
    </row>
    <row r="118" customFormat="false" ht="15" hidden="false" customHeight="false" outlineLevel="0" collapsed="false">
      <c r="A118" s="37"/>
      <c r="B118" s="10"/>
      <c r="C118" s="10"/>
      <c r="D118" s="10"/>
      <c r="E118" s="10"/>
      <c r="F118" s="6"/>
      <c r="G118" s="38"/>
      <c r="H118" s="38"/>
      <c r="I118" s="6"/>
      <c r="J118" s="38"/>
      <c r="K118" s="6"/>
      <c r="L118" s="25" t="str">
        <f aca="false">IF(B118="","",IFERROR(H118/G118,0))</f>
        <v/>
      </c>
      <c r="M118" s="7" t="str">
        <f aca="false">IF(B118="","",IFERROR(I118/H118,0))</f>
        <v/>
      </c>
      <c r="N118" s="25" t="str">
        <f aca="false">IF(B118="","",IFERROR(I118/K118,0))</f>
        <v/>
      </c>
      <c r="O118" s="26" t="str">
        <f aca="false">IF(B118="","",IFERROR(K118/I118,0))</f>
        <v/>
      </c>
      <c r="P118" s="10"/>
      <c r="Q118" s="4" t="str">
        <f aca="false">IF(B118="","",B118&amp;" | "&amp;C118)</f>
        <v/>
      </c>
      <c r="R118" s="0" t="str">
        <f aca="false">IF(B118="","",Q118&amp;"#"&amp;A118)</f>
        <v/>
      </c>
    </row>
    <row r="119" customFormat="false" ht="15" hidden="false" customHeight="false" outlineLevel="0" collapsed="false">
      <c r="A119" s="37"/>
      <c r="B119" s="10"/>
      <c r="C119" s="10"/>
      <c r="D119" s="10"/>
      <c r="E119" s="10"/>
      <c r="F119" s="6"/>
      <c r="G119" s="38"/>
      <c r="H119" s="38"/>
      <c r="I119" s="6"/>
      <c r="J119" s="38"/>
      <c r="K119" s="6"/>
      <c r="L119" s="25" t="str">
        <f aca="false">IF(B119="","",IFERROR(H119/G119,0))</f>
        <v/>
      </c>
      <c r="M119" s="7" t="str">
        <f aca="false">IF(B119="","",IFERROR(I119/H119,0))</f>
        <v/>
      </c>
      <c r="N119" s="25" t="str">
        <f aca="false">IF(B119="","",IFERROR(I119/K119,0))</f>
        <v/>
      </c>
      <c r="O119" s="26" t="str">
        <f aca="false">IF(B119="","",IFERROR(K119/I119,0))</f>
        <v/>
      </c>
      <c r="P119" s="10"/>
      <c r="Q119" s="4" t="str">
        <f aca="false">IF(B119="","",B119&amp;" | "&amp;C119)</f>
        <v/>
      </c>
      <c r="R119" s="0" t="str">
        <f aca="false">IF(B119="","",Q119&amp;"#"&amp;A119)</f>
        <v/>
      </c>
    </row>
    <row r="120" customFormat="false" ht="15" hidden="false" customHeight="false" outlineLevel="0" collapsed="false">
      <c r="A120" s="37"/>
      <c r="B120" s="10"/>
      <c r="C120" s="10"/>
      <c r="D120" s="10"/>
      <c r="E120" s="10"/>
      <c r="F120" s="6"/>
      <c r="G120" s="38"/>
      <c r="H120" s="38"/>
      <c r="I120" s="6"/>
      <c r="J120" s="38"/>
      <c r="K120" s="6"/>
      <c r="L120" s="25" t="str">
        <f aca="false">IF(B120="","",IFERROR(H120/G120,0))</f>
        <v/>
      </c>
      <c r="M120" s="7" t="str">
        <f aca="false">IF(B120="","",IFERROR(I120/H120,0))</f>
        <v/>
      </c>
      <c r="N120" s="25" t="str">
        <f aca="false">IF(B120="","",IFERROR(I120/K120,0))</f>
        <v/>
      </c>
      <c r="O120" s="26" t="str">
        <f aca="false">IF(B120="","",IFERROR(K120/I120,0))</f>
        <v/>
      </c>
      <c r="P120" s="10"/>
      <c r="Q120" s="4" t="str">
        <f aca="false">IF(B120="","",B120&amp;" | "&amp;C120)</f>
        <v/>
      </c>
      <c r="R120" s="0" t="str">
        <f aca="false">IF(B120="","",Q120&amp;"#"&amp;A120)</f>
        <v/>
      </c>
    </row>
    <row r="121" customFormat="false" ht="15" hidden="false" customHeight="false" outlineLevel="0" collapsed="false">
      <c r="A121" s="37"/>
      <c r="B121" s="10"/>
      <c r="C121" s="10"/>
      <c r="D121" s="10"/>
      <c r="E121" s="10"/>
      <c r="F121" s="6"/>
      <c r="G121" s="38"/>
      <c r="H121" s="38"/>
      <c r="I121" s="6"/>
      <c r="J121" s="38"/>
      <c r="K121" s="6"/>
      <c r="L121" s="25" t="str">
        <f aca="false">IF(B121="","",IFERROR(H121/G121,0))</f>
        <v/>
      </c>
      <c r="M121" s="7" t="str">
        <f aca="false">IF(B121="","",IFERROR(I121/H121,0))</f>
        <v/>
      </c>
      <c r="N121" s="25" t="str">
        <f aca="false">IF(B121="","",IFERROR(I121/K121,0))</f>
        <v/>
      </c>
      <c r="O121" s="26" t="str">
        <f aca="false">IF(B121="","",IFERROR(K121/I121,0))</f>
        <v/>
      </c>
      <c r="P121" s="10"/>
      <c r="Q121" s="4" t="str">
        <f aca="false">IF(B121="","",B121&amp;" | "&amp;C121)</f>
        <v/>
      </c>
      <c r="R121" s="0" t="str">
        <f aca="false">IF(B121="","",Q121&amp;"#"&amp;A121)</f>
        <v/>
      </c>
    </row>
    <row r="122" customFormat="false" ht="15" hidden="false" customHeight="false" outlineLevel="0" collapsed="false">
      <c r="A122" s="37"/>
      <c r="B122" s="10"/>
      <c r="C122" s="10"/>
      <c r="D122" s="10"/>
      <c r="E122" s="10"/>
      <c r="F122" s="6"/>
      <c r="G122" s="38"/>
      <c r="H122" s="38"/>
      <c r="I122" s="6"/>
      <c r="J122" s="38"/>
      <c r="K122" s="6"/>
      <c r="L122" s="25" t="str">
        <f aca="false">IF(B122="","",IFERROR(H122/G122,0))</f>
        <v/>
      </c>
      <c r="M122" s="7" t="str">
        <f aca="false">IF(B122="","",IFERROR(I122/H122,0))</f>
        <v/>
      </c>
      <c r="N122" s="25" t="str">
        <f aca="false">IF(B122="","",IFERROR(I122/K122,0))</f>
        <v/>
      </c>
      <c r="O122" s="26" t="str">
        <f aca="false">IF(B122="","",IFERROR(K122/I122,0))</f>
        <v/>
      </c>
      <c r="P122" s="10"/>
      <c r="Q122" s="4" t="str">
        <f aca="false">IF(B122="","",B122&amp;" | "&amp;C122)</f>
        <v/>
      </c>
      <c r="R122" s="0" t="str">
        <f aca="false">IF(B122="","",Q122&amp;"#"&amp;A122)</f>
        <v/>
      </c>
    </row>
    <row r="123" customFormat="false" ht="15" hidden="false" customHeight="false" outlineLevel="0" collapsed="false">
      <c r="A123" s="37"/>
      <c r="B123" s="10"/>
      <c r="C123" s="10"/>
      <c r="D123" s="10"/>
      <c r="E123" s="10"/>
      <c r="F123" s="6"/>
      <c r="G123" s="38"/>
      <c r="H123" s="38"/>
      <c r="I123" s="6"/>
      <c r="J123" s="38"/>
      <c r="K123" s="6"/>
      <c r="L123" s="25" t="str">
        <f aca="false">IF(B123="","",IFERROR(H123/G123,0))</f>
        <v/>
      </c>
      <c r="M123" s="7" t="str">
        <f aca="false">IF(B123="","",IFERROR(I123/H123,0))</f>
        <v/>
      </c>
      <c r="N123" s="25" t="str">
        <f aca="false">IF(B123="","",IFERROR(I123/K123,0))</f>
        <v/>
      </c>
      <c r="O123" s="26" t="str">
        <f aca="false">IF(B123="","",IFERROR(K123/I123,0))</f>
        <v/>
      </c>
      <c r="P123" s="10"/>
      <c r="Q123" s="4" t="str">
        <f aca="false">IF(B123="","",B123&amp;" | "&amp;C123)</f>
        <v/>
      </c>
      <c r="R123" s="0" t="str">
        <f aca="false">IF(B123="","",Q123&amp;"#"&amp;A123)</f>
        <v/>
      </c>
    </row>
    <row r="124" customFormat="false" ht="15" hidden="false" customHeight="false" outlineLevel="0" collapsed="false">
      <c r="A124" s="37"/>
      <c r="B124" s="10"/>
      <c r="C124" s="10"/>
      <c r="D124" s="10"/>
      <c r="E124" s="10"/>
      <c r="F124" s="6"/>
      <c r="G124" s="38"/>
      <c r="H124" s="38"/>
      <c r="I124" s="6"/>
      <c r="J124" s="38"/>
      <c r="K124" s="6"/>
      <c r="L124" s="25" t="str">
        <f aca="false">IF(B124="","",IFERROR(H124/G124,0))</f>
        <v/>
      </c>
      <c r="M124" s="7" t="str">
        <f aca="false">IF(B124="","",IFERROR(I124/H124,0))</f>
        <v/>
      </c>
      <c r="N124" s="25" t="str">
        <f aca="false">IF(B124="","",IFERROR(I124/K124,0))</f>
        <v/>
      </c>
      <c r="O124" s="26" t="str">
        <f aca="false">IF(B124="","",IFERROR(K124/I124,0))</f>
        <v/>
      </c>
      <c r="P124" s="10"/>
      <c r="Q124" s="4" t="str">
        <f aca="false">IF(B124="","",B124&amp;" | "&amp;C124)</f>
        <v/>
      </c>
      <c r="R124" s="0" t="str">
        <f aca="false">IF(B124="","",Q124&amp;"#"&amp;A124)</f>
        <v/>
      </c>
    </row>
    <row r="125" customFormat="false" ht="15" hidden="false" customHeight="false" outlineLevel="0" collapsed="false">
      <c r="A125" s="37"/>
      <c r="B125" s="10"/>
      <c r="C125" s="10"/>
      <c r="D125" s="10"/>
      <c r="E125" s="10"/>
      <c r="F125" s="6"/>
      <c r="G125" s="38"/>
      <c r="H125" s="38"/>
      <c r="I125" s="6"/>
      <c r="J125" s="38"/>
      <c r="K125" s="6"/>
      <c r="L125" s="25" t="str">
        <f aca="false">IF(B125="","",IFERROR(H125/G125,0))</f>
        <v/>
      </c>
      <c r="M125" s="7" t="str">
        <f aca="false">IF(B125="","",IFERROR(I125/H125,0))</f>
        <v/>
      </c>
      <c r="N125" s="25" t="str">
        <f aca="false">IF(B125="","",IFERROR(I125/K125,0))</f>
        <v/>
      </c>
      <c r="O125" s="26" t="str">
        <f aca="false">IF(B125="","",IFERROR(K125/I125,0))</f>
        <v/>
      </c>
      <c r="P125" s="10"/>
      <c r="Q125" s="4" t="str">
        <f aca="false">IF(B125="","",B125&amp;" | "&amp;C125)</f>
        <v/>
      </c>
      <c r="R125" s="0" t="str">
        <f aca="false">IF(B125="","",Q125&amp;"#"&amp;A125)</f>
        <v/>
      </c>
    </row>
    <row r="126" customFormat="false" ht="15" hidden="false" customHeight="false" outlineLevel="0" collapsed="false">
      <c r="A126" s="37"/>
      <c r="B126" s="10"/>
      <c r="C126" s="10"/>
      <c r="D126" s="10"/>
      <c r="E126" s="10"/>
      <c r="F126" s="6"/>
      <c r="G126" s="38"/>
      <c r="H126" s="38"/>
      <c r="I126" s="6"/>
      <c r="J126" s="38"/>
      <c r="K126" s="6"/>
      <c r="L126" s="25" t="str">
        <f aca="false">IF(B126="","",IFERROR(H126/G126,0))</f>
        <v/>
      </c>
      <c r="M126" s="7" t="str">
        <f aca="false">IF(B126="","",IFERROR(I126/H126,0))</f>
        <v/>
      </c>
      <c r="N126" s="25" t="str">
        <f aca="false">IF(B126="","",IFERROR(I126/K126,0))</f>
        <v/>
      </c>
      <c r="O126" s="26" t="str">
        <f aca="false">IF(B126="","",IFERROR(K126/I126,0))</f>
        <v/>
      </c>
      <c r="P126" s="10"/>
      <c r="Q126" s="4" t="str">
        <f aca="false">IF(B126="","",B126&amp;" | "&amp;C126)</f>
        <v/>
      </c>
      <c r="R126" s="0" t="str">
        <f aca="false">IF(B126="","",Q126&amp;"#"&amp;A126)</f>
        <v/>
      </c>
    </row>
    <row r="127" customFormat="false" ht="15" hidden="false" customHeight="false" outlineLevel="0" collapsed="false">
      <c r="A127" s="37"/>
      <c r="B127" s="10"/>
      <c r="C127" s="10"/>
      <c r="D127" s="10"/>
      <c r="E127" s="10"/>
      <c r="F127" s="6"/>
      <c r="G127" s="38"/>
      <c r="H127" s="38"/>
      <c r="I127" s="6"/>
      <c r="J127" s="38"/>
      <c r="K127" s="6"/>
      <c r="L127" s="25" t="str">
        <f aca="false">IF(B127="","",IFERROR(H127/G127,0))</f>
        <v/>
      </c>
      <c r="M127" s="7" t="str">
        <f aca="false">IF(B127="","",IFERROR(I127/H127,0))</f>
        <v/>
      </c>
      <c r="N127" s="25" t="str">
        <f aca="false">IF(B127="","",IFERROR(I127/K127,0))</f>
        <v/>
      </c>
      <c r="O127" s="26" t="str">
        <f aca="false">IF(B127="","",IFERROR(K127/I127,0))</f>
        <v/>
      </c>
      <c r="P127" s="10"/>
      <c r="Q127" s="4" t="str">
        <f aca="false">IF(B127="","",B127&amp;" | "&amp;C127)</f>
        <v/>
      </c>
      <c r="R127" s="0" t="str">
        <f aca="false">IF(B127="","",Q127&amp;"#"&amp;A127)</f>
        <v/>
      </c>
    </row>
    <row r="128" customFormat="false" ht="15" hidden="false" customHeight="false" outlineLevel="0" collapsed="false">
      <c r="A128" s="37"/>
      <c r="B128" s="10"/>
      <c r="C128" s="10"/>
      <c r="D128" s="10"/>
      <c r="E128" s="10"/>
      <c r="F128" s="6"/>
      <c r="G128" s="38"/>
      <c r="H128" s="38"/>
      <c r="I128" s="6"/>
      <c r="J128" s="38"/>
      <c r="K128" s="6"/>
      <c r="L128" s="25" t="str">
        <f aca="false">IF(B128="","",IFERROR(H128/G128,0))</f>
        <v/>
      </c>
      <c r="M128" s="7" t="str">
        <f aca="false">IF(B128="","",IFERROR(I128/H128,0))</f>
        <v/>
      </c>
      <c r="N128" s="25" t="str">
        <f aca="false">IF(B128="","",IFERROR(I128/K128,0))</f>
        <v/>
      </c>
      <c r="O128" s="26" t="str">
        <f aca="false">IF(B128="","",IFERROR(K128/I128,0))</f>
        <v/>
      </c>
      <c r="P128" s="10"/>
      <c r="Q128" s="4" t="str">
        <f aca="false">IF(B128="","",B128&amp;" | "&amp;C128)</f>
        <v/>
      </c>
      <c r="R128" s="0" t="str">
        <f aca="false">IF(B128="","",Q128&amp;"#"&amp;A128)</f>
        <v/>
      </c>
    </row>
    <row r="129" customFormat="false" ht="15" hidden="false" customHeight="false" outlineLevel="0" collapsed="false">
      <c r="A129" s="37"/>
      <c r="B129" s="10"/>
      <c r="C129" s="10"/>
      <c r="D129" s="10"/>
      <c r="E129" s="10"/>
      <c r="F129" s="6"/>
      <c r="G129" s="38"/>
      <c r="H129" s="38"/>
      <c r="I129" s="6"/>
      <c r="J129" s="38"/>
      <c r="K129" s="6"/>
      <c r="L129" s="25" t="str">
        <f aca="false">IF(B129="","",IFERROR(H129/G129,0))</f>
        <v/>
      </c>
      <c r="M129" s="7" t="str">
        <f aca="false">IF(B129="","",IFERROR(I129/H129,0))</f>
        <v/>
      </c>
      <c r="N129" s="25" t="str">
        <f aca="false">IF(B129="","",IFERROR(I129/K129,0))</f>
        <v/>
      </c>
      <c r="O129" s="26" t="str">
        <f aca="false">IF(B129="","",IFERROR(K129/I129,0))</f>
        <v/>
      </c>
      <c r="P129" s="10"/>
      <c r="Q129" s="4" t="str">
        <f aca="false">IF(B129="","",B129&amp;" | "&amp;C129)</f>
        <v/>
      </c>
      <c r="R129" s="0" t="str">
        <f aca="false">IF(B129="","",Q129&amp;"#"&amp;A129)</f>
        <v/>
      </c>
    </row>
    <row r="130" customFormat="false" ht="15" hidden="false" customHeight="false" outlineLevel="0" collapsed="false">
      <c r="A130" s="37"/>
      <c r="B130" s="10"/>
      <c r="C130" s="10"/>
      <c r="D130" s="10"/>
      <c r="E130" s="10"/>
      <c r="F130" s="6"/>
      <c r="G130" s="38"/>
      <c r="H130" s="38"/>
      <c r="I130" s="6"/>
      <c r="J130" s="38"/>
      <c r="K130" s="6"/>
      <c r="L130" s="25" t="str">
        <f aca="false">IF(B130="","",IFERROR(H130/G130,0))</f>
        <v/>
      </c>
      <c r="M130" s="7" t="str">
        <f aca="false">IF(B130="","",IFERROR(I130/H130,0))</f>
        <v/>
      </c>
      <c r="N130" s="25" t="str">
        <f aca="false">IF(B130="","",IFERROR(I130/K130,0))</f>
        <v/>
      </c>
      <c r="O130" s="26" t="str">
        <f aca="false">IF(B130="","",IFERROR(K130/I130,0))</f>
        <v/>
      </c>
      <c r="P130" s="10"/>
      <c r="Q130" s="4" t="str">
        <f aca="false">IF(B130="","",B130&amp;" | "&amp;C130)</f>
        <v/>
      </c>
      <c r="R130" s="0" t="str">
        <f aca="false">IF(B130="","",Q130&amp;"#"&amp;A130)</f>
        <v/>
      </c>
    </row>
    <row r="131" customFormat="false" ht="15" hidden="false" customHeight="false" outlineLevel="0" collapsed="false">
      <c r="A131" s="37"/>
      <c r="B131" s="10"/>
      <c r="C131" s="10"/>
      <c r="D131" s="10"/>
      <c r="E131" s="10"/>
      <c r="F131" s="6"/>
      <c r="G131" s="38"/>
      <c r="H131" s="38"/>
      <c r="I131" s="6"/>
      <c r="J131" s="38"/>
      <c r="K131" s="6"/>
      <c r="L131" s="25" t="str">
        <f aca="false">IF(B131="","",IFERROR(H131/G131,0))</f>
        <v/>
      </c>
      <c r="M131" s="7" t="str">
        <f aca="false">IF(B131="","",IFERROR(I131/H131,0))</f>
        <v/>
      </c>
      <c r="N131" s="25" t="str">
        <f aca="false">IF(B131="","",IFERROR(I131/K131,0))</f>
        <v/>
      </c>
      <c r="O131" s="26" t="str">
        <f aca="false">IF(B131="","",IFERROR(K131/I131,0))</f>
        <v/>
      </c>
      <c r="P131" s="10"/>
      <c r="Q131" s="4" t="str">
        <f aca="false">IF(B131="","",B131&amp;" | "&amp;C131)</f>
        <v/>
      </c>
      <c r="R131" s="0" t="str">
        <f aca="false">IF(B131="","",Q131&amp;"#"&amp;A131)</f>
        <v/>
      </c>
    </row>
    <row r="132" customFormat="false" ht="15" hidden="false" customHeight="false" outlineLevel="0" collapsed="false">
      <c r="A132" s="37"/>
      <c r="B132" s="10"/>
      <c r="C132" s="10"/>
      <c r="D132" s="10"/>
      <c r="E132" s="10"/>
      <c r="F132" s="6"/>
      <c r="G132" s="38"/>
      <c r="H132" s="38"/>
      <c r="I132" s="6"/>
      <c r="J132" s="38"/>
      <c r="K132" s="6"/>
      <c r="L132" s="25" t="str">
        <f aca="false">IF(B132="","",IFERROR(H132/G132,0))</f>
        <v/>
      </c>
      <c r="M132" s="7" t="str">
        <f aca="false">IF(B132="","",IFERROR(I132/H132,0))</f>
        <v/>
      </c>
      <c r="N132" s="25" t="str">
        <f aca="false">IF(B132="","",IFERROR(I132/K132,0))</f>
        <v/>
      </c>
      <c r="O132" s="26" t="str">
        <f aca="false">IF(B132="","",IFERROR(K132/I132,0))</f>
        <v/>
      </c>
      <c r="P132" s="10"/>
      <c r="Q132" s="4" t="str">
        <f aca="false">IF(B132="","",B132&amp;" | "&amp;C132)</f>
        <v/>
      </c>
      <c r="R132" s="0" t="str">
        <f aca="false">IF(B132="","",Q132&amp;"#"&amp;A132)</f>
        <v/>
      </c>
    </row>
    <row r="133" customFormat="false" ht="15" hidden="false" customHeight="false" outlineLevel="0" collapsed="false">
      <c r="A133" s="37"/>
      <c r="B133" s="10"/>
      <c r="C133" s="10"/>
      <c r="D133" s="10"/>
      <c r="E133" s="10"/>
      <c r="F133" s="6"/>
      <c r="G133" s="38"/>
      <c r="H133" s="38"/>
      <c r="I133" s="6"/>
      <c r="J133" s="38"/>
      <c r="K133" s="6"/>
      <c r="L133" s="25" t="str">
        <f aca="false">IF(B133="","",IFERROR(H133/G133,0))</f>
        <v/>
      </c>
      <c r="M133" s="7" t="str">
        <f aca="false">IF(B133="","",IFERROR(I133/H133,0))</f>
        <v/>
      </c>
      <c r="N133" s="25" t="str">
        <f aca="false">IF(B133="","",IFERROR(I133/K133,0))</f>
        <v/>
      </c>
      <c r="O133" s="26" t="str">
        <f aca="false">IF(B133="","",IFERROR(K133/I133,0))</f>
        <v/>
      </c>
      <c r="P133" s="10"/>
      <c r="Q133" s="4" t="str">
        <f aca="false">IF(B133="","",B133&amp;" | "&amp;C133)</f>
        <v/>
      </c>
      <c r="R133" s="0" t="str">
        <f aca="false">IF(B133="","",Q133&amp;"#"&amp;A133)</f>
        <v/>
      </c>
    </row>
    <row r="134" customFormat="false" ht="15" hidden="false" customHeight="false" outlineLevel="0" collapsed="false">
      <c r="A134" s="37"/>
      <c r="B134" s="10"/>
      <c r="C134" s="10"/>
      <c r="D134" s="10"/>
      <c r="E134" s="10"/>
      <c r="F134" s="6"/>
      <c r="G134" s="38"/>
      <c r="H134" s="38"/>
      <c r="I134" s="6"/>
      <c r="J134" s="38"/>
      <c r="K134" s="6"/>
      <c r="L134" s="25" t="str">
        <f aca="false">IF(B134="","",IFERROR(H134/G134,0))</f>
        <v/>
      </c>
      <c r="M134" s="7" t="str">
        <f aca="false">IF(B134="","",IFERROR(I134/H134,0))</f>
        <v/>
      </c>
      <c r="N134" s="25" t="str">
        <f aca="false">IF(B134="","",IFERROR(I134/K134,0))</f>
        <v/>
      </c>
      <c r="O134" s="26" t="str">
        <f aca="false">IF(B134="","",IFERROR(K134/I134,0))</f>
        <v/>
      </c>
      <c r="P134" s="10"/>
      <c r="Q134" s="4" t="str">
        <f aca="false">IF(B134="","",B134&amp;" | "&amp;C134)</f>
        <v/>
      </c>
      <c r="R134" s="0" t="str">
        <f aca="false">IF(B134="","",Q134&amp;"#"&amp;A134)</f>
        <v/>
      </c>
    </row>
    <row r="135" customFormat="false" ht="15" hidden="false" customHeight="false" outlineLevel="0" collapsed="false">
      <c r="A135" s="37"/>
      <c r="B135" s="10"/>
      <c r="C135" s="10"/>
      <c r="D135" s="10"/>
      <c r="E135" s="10"/>
      <c r="F135" s="6"/>
      <c r="G135" s="38"/>
      <c r="H135" s="38"/>
      <c r="I135" s="6"/>
      <c r="J135" s="38"/>
      <c r="K135" s="6"/>
      <c r="L135" s="25" t="str">
        <f aca="false">IF(B135="","",IFERROR(H135/G135,0))</f>
        <v/>
      </c>
      <c r="M135" s="7" t="str">
        <f aca="false">IF(B135="","",IFERROR(I135/H135,0))</f>
        <v/>
      </c>
      <c r="N135" s="25" t="str">
        <f aca="false">IF(B135="","",IFERROR(I135/K135,0))</f>
        <v/>
      </c>
      <c r="O135" s="26" t="str">
        <f aca="false">IF(B135="","",IFERROR(K135/I135,0))</f>
        <v/>
      </c>
      <c r="P135" s="10"/>
      <c r="Q135" s="4" t="str">
        <f aca="false">IF(B135="","",B135&amp;" | "&amp;C135)</f>
        <v/>
      </c>
      <c r="R135" s="0" t="str">
        <f aca="false">IF(B135="","",Q135&amp;"#"&amp;A135)</f>
        <v/>
      </c>
    </row>
    <row r="136" customFormat="false" ht="15" hidden="false" customHeight="false" outlineLevel="0" collapsed="false">
      <c r="A136" s="37"/>
      <c r="B136" s="10"/>
      <c r="C136" s="10"/>
      <c r="D136" s="10"/>
      <c r="E136" s="10"/>
      <c r="F136" s="6"/>
      <c r="G136" s="38"/>
      <c r="H136" s="38"/>
      <c r="I136" s="6"/>
      <c r="J136" s="38"/>
      <c r="K136" s="6"/>
      <c r="L136" s="25" t="str">
        <f aca="false">IF(B136="","",IFERROR(H136/G136,0))</f>
        <v/>
      </c>
      <c r="M136" s="7" t="str">
        <f aca="false">IF(B136="","",IFERROR(I136/H136,0))</f>
        <v/>
      </c>
      <c r="N136" s="25" t="str">
        <f aca="false">IF(B136="","",IFERROR(I136/K136,0))</f>
        <v/>
      </c>
      <c r="O136" s="26" t="str">
        <f aca="false">IF(B136="","",IFERROR(K136/I136,0))</f>
        <v/>
      </c>
      <c r="P136" s="10"/>
      <c r="Q136" s="4" t="str">
        <f aca="false">IF(B136="","",B136&amp;" | "&amp;C136)</f>
        <v/>
      </c>
      <c r="R136" s="0" t="str">
        <f aca="false">IF(B136="","",Q136&amp;"#"&amp;A136)</f>
        <v/>
      </c>
    </row>
    <row r="137" customFormat="false" ht="15" hidden="false" customHeight="false" outlineLevel="0" collapsed="false">
      <c r="A137" s="37"/>
      <c r="B137" s="10"/>
      <c r="C137" s="10"/>
      <c r="D137" s="10"/>
      <c r="E137" s="10"/>
      <c r="F137" s="6"/>
      <c r="G137" s="38"/>
      <c r="H137" s="38"/>
      <c r="I137" s="6"/>
      <c r="J137" s="38"/>
      <c r="K137" s="6"/>
      <c r="L137" s="25" t="str">
        <f aca="false">IF(B137="","",IFERROR(H137/G137,0))</f>
        <v/>
      </c>
      <c r="M137" s="7" t="str">
        <f aca="false">IF(B137="","",IFERROR(I137/H137,0))</f>
        <v/>
      </c>
      <c r="N137" s="25" t="str">
        <f aca="false">IF(B137="","",IFERROR(I137/K137,0))</f>
        <v/>
      </c>
      <c r="O137" s="26" t="str">
        <f aca="false">IF(B137="","",IFERROR(K137/I137,0))</f>
        <v/>
      </c>
      <c r="P137" s="10"/>
      <c r="Q137" s="4" t="str">
        <f aca="false">IF(B137="","",B137&amp;" | "&amp;C137)</f>
        <v/>
      </c>
      <c r="R137" s="0" t="str">
        <f aca="false">IF(B137="","",Q137&amp;"#"&amp;A137)</f>
        <v/>
      </c>
    </row>
    <row r="138" customFormat="false" ht="15" hidden="false" customHeight="false" outlineLevel="0" collapsed="false">
      <c r="A138" s="37"/>
      <c r="B138" s="10"/>
      <c r="C138" s="10"/>
      <c r="D138" s="10"/>
      <c r="E138" s="10"/>
      <c r="F138" s="6"/>
      <c r="G138" s="38"/>
      <c r="H138" s="38"/>
      <c r="I138" s="6"/>
      <c r="J138" s="38"/>
      <c r="K138" s="6"/>
      <c r="L138" s="25" t="str">
        <f aca="false">IF(B138="","",IFERROR(H138/G138,0))</f>
        <v/>
      </c>
      <c r="M138" s="7" t="str">
        <f aca="false">IF(B138="","",IFERROR(I138/H138,0))</f>
        <v/>
      </c>
      <c r="N138" s="25" t="str">
        <f aca="false">IF(B138="","",IFERROR(I138/K138,0))</f>
        <v/>
      </c>
      <c r="O138" s="26" t="str">
        <f aca="false">IF(B138="","",IFERROR(K138/I138,0))</f>
        <v/>
      </c>
      <c r="P138" s="10"/>
      <c r="Q138" s="4" t="str">
        <f aca="false">IF(B138="","",B138&amp;" | "&amp;C138)</f>
        <v/>
      </c>
      <c r="R138" s="0" t="str">
        <f aca="false">IF(B138="","",Q138&amp;"#"&amp;A138)</f>
        <v/>
      </c>
    </row>
    <row r="139" customFormat="false" ht="15" hidden="false" customHeight="false" outlineLevel="0" collapsed="false">
      <c r="A139" s="37"/>
      <c r="B139" s="10"/>
      <c r="C139" s="10"/>
      <c r="D139" s="10"/>
      <c r="E139" s="10"/>
      <c r="F139" s="6"/>
      <c r="G139" s="38"/>
      <c r="H139" s="38"/>
      <c r="I139" s="6"/>
      <c r="J139" s="38"/>
      <c r="K139" s="6"/>
      <c r="L139" s="25" t="str">
        <f aca="false">IF(B139="","",IFERROR(H139/G139,0))</f>
        <v/>
      </c>
      <c r="M139" s="7" t="str">
        <f aca="false">IF(B139="","",IFERROR(I139/H139,0))</f>
        <v/>
      </c>
      <c r="N139" s="25" t="str">
        <f aca="false">IF(B139="","",IFERROR(I139/K139,0))</f>
        <v/>
      </c>
      <c r="O139" s="26" t="str">
        <f aca="false">IF(B139="","",IFERROR(K139/I139,0))</f>
        <v/>
      </c>
      <c r="P139" s="10"/>
      <c r="Q139" s="4" t="str">
        <f aca="false">IF(B139="","",B139&amp;" | "&amp;C139)</f>
        <v/>
      </c>
      <c r="R139" s="0" t="str">
        <f aca="false">IF(B139="","",Q139&amp;"#"&amp;A139)</f>
        <v/>
      </c>
    </row>
    <row r="140" customFormat="false" ht="15" hidden="false" customHeight="false" outlineLevel="0" collapsed="false">
      <c r="A140" s="37"/>
      <c r="B140" s="10"/>
      <c r="C140" s="10"/>
      <c r="D140" s="10"/>
      <c r="E140" s="10"/>
      <c r="F140" s="6"/>
      <c r="G140" s="38"/>
      <c r="H140" s="38"/>
      <c r="I140" s="6"/>
      <c r="J140" s="38"/>
      <c r="K140" s="6"/>
      <c r="L140" s="25" t="str">
        <f aca="false">IF(B140="","",IFERROR(H140/G140,0))</f>
        <v/>
      </c>
      <c r="M140" s="7" t="str">
        <f aca="false">IF(B140="","",IFERROR(I140/H140,0))</f>
        <v/>
      </c>
      <c r="N140" s="25" t="str">
        <f aca="false">IF(B140="","",IFERROR(I140/K140,0))</f>
        <v/>
      </c>
      <c r="O140" s="26" t="str">
        <f aca="false">IF(B140="","",IFERROR(K140/I140,0))</f>
        <v/>
      </c>
      <c r="P140" s="10"/>
      <c r="Q140" s="4" t="str">
        <f aca="false">IF(B140="","",B140&amp;" | "&amp;C140)</f>
        <v/>
      </c>
      <c r="R140" s="0" t="str">
        <f aca="false">IF(B140="","",Q140&amp;"#"&amp;A140)</f>
        <v/>
      </c>
    </row>
    <row r="141" customFormat="false" ht="15" hidden="false" customHeight="false" outlineLevel="0" collapsed="false">
      <c r="A141" s="37"/>
      <c r="B141" s="10"/>
      <c r="C141" s="10"/>
      <c r="D141" s="10"/>
      <c r="E141" s="10"/>
      <c r="F141" s="6"/>
      <c r="G141" s="38"/>
      <c r="H141" s="38"/>
      <c r="I141" s="6"/>
      <c r="J141" s="38"/>
      <c r="K141" s="6"/>
      <c r="L141" s="25" t="str">
        <f aca="false">IF(B141="","",IFERROR(H141/G141,0))</f>
        <v/>
      </c>
      <c r="M141" s="7" t="str">
        <f aca="false">IF(B141="","",IFERROR(I141/H141,0))</f>
        <v/>
      </c>
      <c r="N141" s="25" t="str">
        <f aca="false">IF(B141="","",IFERROR(I141/K141,0))</f>
        <v/>
      </c>
      <c r="O141" s="26" t="str">
        <f aca="false">IF(B141="","",IFERROR(K141/I141,0))</f>
        <v/>
      </c>
      <c r="P141" s="10"/>
      <c r="Q141" s="4" t="str">
        <f aca="false">IF(B141="","",B141&amp;" | "&amp;C141)</f>
        <v/>
      </c>
      <c r="R141" s="0" t="str">
        <f aca="false">IF(B141="","",Q141&amp;"#"&amp;A141)</f>
        <v/>
      </c>
    </row>
    <row r="142" customFormat="false" ht="15" hidden="false" customHeight="false" outlineLevel="0" collapsed="false">
      <c r="A142" s="37"/>
      <c r="B142" s="10"/>
      <c r="C142" s="10"/>
      <c r="D142" s="10"/>
      <c r="E142" s="10"/>
      <c r="F142" s="6"/>
      <c r="G142" s="38"/>
      <c r="H142" s="38"/>
      <c r="I142" s="6"/>
      <c r="J142" s="38"/>
      <c r="K142" s="6"/>
      <c r="L142" s="25" t="str">
        <f aca="false">IF(B142="","",IFERROR(H142/G142,0))</f>
        <v/>
      </c>
      <c r="M142" s="7" t="str">
        <f aca="false">IF(B142="","",IFERROR(I142/H142,0))</f>
        <v/>
      </c>
      <c r="N142" s="25" t="str">
        <f aca="false">IF(B142="","",IFERROR(I142/K142,0))</f>
        <v/>
      </c>
      <c r="O142" s="26" t="str">
        <f aca="false">IF(B142="","",IFERROR(K142/I142,0))</f>
        <v/>
      </c>
      <c r="P142" s="10"/>
      <c r="Q142" s="4" t="str">
        <f aca="false">IF(B142="","",B142&amp;" | "&amp;C142)</f>
        <v/>
      </c>
      <c r="R142" s="0" t="str">
        <f aca="false">IF(B142="","",Q142&amp;"#"&amp;A142)</f>
        <v/>
      </c>
    </row>
    <row r="143" customFormat="false" ht="15" hidden="false" customHeight="false" outlineLevel="0" collapsed="false">
      <c r="A143" s="37"/>
      <c r="B143" s="10"/>
      <c r="C143" s="10"/>
      <c r="D143" s="10"/>
      <c r="E143" s="10"/>
      <c r="F143" s="6"/>
      <c r="G143" s="38"/>
      <c r="H143" s="38"/>
      <c r="I143" s="6"/>
      <c r="J143" s="38"/>
      <c r="K143" s="6"/>
      <c r="L143" s="25" t="str">
        <f aca="false">IF(B143="","",IFERROR(H143/G143,0))</f>
        <v/>
      </c>
      <c r="M143" s="7" t="str">
        <f aca="false">IF(B143="","",IFERROR(I143/H143,0))</f>
        <v/>
      </c>
      <c r="N143" s="25" t="str">
        <f aca="false">IF(B143="","",IFERROR(I143/K143,0))</f>
        <v/>
      </c>
      <c r="O143" s="26" t="str">
        <f aca="false">IF(B143="","",IFERROR(K143/I143,0))</f>
        <v/>
      </c>
      <c r="P143" s="10"/>
      <c r="Q143" s="4" t="str">
        <f aca="false">IF(B143="","",B143&amp;" | "&amp;C143)</f>
        <v/>
      </c>
      <c r="R143" s="0" t="str">
        <f aca="false">IF(B143="","",Q143&amp;"#"&amp;A143)</f>
        <v/>
      </c>
    </row>
    <row r="144" customFormat="false" ht="15" hidden="false" customHeight="false" outlineLevel="0" collapsed="false">
      <c r="A144" s="37"/>
      <c r="B144" s="10"/>
      <c r="C144" s="10"/>
      <c r="D144" s="10"/>
      <c r="E144" s="10"/>
      <c r="F144" s="6"/>
      <c r="G144" s="38"/>
      <c r="H144" s="38"/>
      <c r="I144" s="6"/>
      <c r="J144" s="38"/>
      <c r="K144" s="6"/>
      <c r="L144" s="25" t="str">
        <f aca="false">IF(B144="","",IFERROR(H144/G144,0))</f>
        <v/>
      </c>
      <c r="M144" s="7" t="str">
        <f aca="false">IF(B144="","",IFERROR(I144/H144,0))</f>
        <v/>
      </c>
      <c r="N144" s="25" t="str">
        <f aca="false">IF(B144="","",IFERROR(I144/K144,0))</f>
        <v/>
      </c>
      <c r="O144" s="26" t="str">
        <f aca="false">IF(B144="","",IFERROR(K144/I144,0))</f>
        <v/>
      </c>
      <c r="P144" s="10"/>
      <c r="Q144" s="4" t="str">
        <f aca="false">IF(B144="","",B144&amp;" | "&amp;C144)</f>
        <v/>
      </c>
      <c r="R144" s="0" t="str">
        <f aca="false">IF(B144="","",Q144&amp;"#"&amp;A144)</f>
        <v/>
      </c>
    </row>
    <row r="145" customFormat="false" ht="15" hidden="false" customHeight="false" outlineLevel="0" collapsed="false">
      <c r="A145" s="37"/>
      <c r="B145" s="10"/>
      <c r="C145" s="10"/>
      <c r="D145" s="10"/>
      <c r="E145" s="10"/>
      <c r="F145" s="6"/>
      <c r="G145" s="38"/>
      <c r="H145" s="38"/>
      <c r="I145" s="6"/>
      <c r="J145" s="38"/>
      <c r="K145" s="6"/>
      <c r="L145" s="25" t="str">
        <f aca="false">IF(B145="","",IFERROR(H145/G145,0))</f>
        <v/>
      </c>
      <c r="M145" s="7" t="str">
        <f aca="false">IF(B145="","",IFERROR(I145/H145,0))</f>
        <v/>
      </c>
      <c r="N145" s="25" t="str">
        <f aca="false">IF(B145="","",IFERROR(I145/K145,0))</f>
        <v/>
      </c>
      <c r="O145" s="26" t="str">
        <f aca="false">IF(B145="","",IFERROR(K145/I145,0))</f>
        <v/>
      </c>
      <c r="P145" s="10"/>
      <c r="Q145" s="4" t="str">
        <f aca="false">IF(B145="","",B145&amp;" | "&amp;C145)</f>
        <v/>
      </c>
      <c r="R145" s="0" t="str">
        <f aca="false">IF(B145="","",Q145&amp;"#"&amp;A145)</f>
        <v/>
      </c>
    </row>
    <row r="146" customFormat="false" ht="15" hidden="false" customHeight="false" outlineLevel="0" collapsed="false">
      <c r="A146" s="37"/>
      <c r="B146" s="10"/>
      <c r="C146" s="10"/>
      <c r="D146" s="10"/>
      <c r="E146" s="10"/>
      <c r="F146" s="6"/>
      <c r="G146" s="38"/>
      <c r="H146" s="38"/>
      <c r="I146" s="6"/>
      <c r="J146" s="38"/>
      <c r="K146" s="6"/>
      <c r="L146" s="25" t="str">
        <f aca="false">IF(B146="","",IFERROR(H146/G146,0))</f>
        <v/>
      </c>
      <c r="M146" s="7" t="str">
        <f aca="false">IF(B146="","",IFERROR(I146/H146,0))</f>
        <v/>
      </c>
      <c r="N146" s="25" t="str">
        <f aca="false">IF(B146="","",IFERROR(I146/K146,0))</f>
        <v/>
      </c>
      <c r="O146" s="26" t="str">
        <f aca="false">IF(B146="","",IFERROR(K146/I146,0))</f>
        <v/>
      </c>
      <c r="P146" s="10"/>
      <c r="Q146" s="4" t="str">
        <f aca="false">IF(B146="","",B146&amp;" | "&amp;C146)</f>
        <v/>
      </c>
      <c r="R146" s="0" t="str">
        <f aca="false">IF(B146="","",Q146&amp;"#"&amp;A146)</f>
        <v/>
      </c>
    </row>
    <row r="147" customFormat="false" ht="15" hidden="false" customHeight="false" outlineLevel="0" collapsed="false">
      <c r="A147" s="37"/>
      <c r="B147" s="10"/>
      <c r="C147" s="10"/>
      <c r="D147" s="10"/>
      <c r="E147" s="10"/>
      <c r="F147" s="6"/>
      <c r="G147" s="38"/>
      <c r="H147" s="38"/>
      <c r="I147" s="6"/>
      <c r="J147" s="38"/>
      <c r="K147" s="6"/>
      <c r="L147" s="25" t="str">
        <f aca="false">IF(B147="","",IFERROR(H147/G147,0))</f>
        <v/>
      </c>
      <c r="M147" s="7" t="str">
        <f aca="false">IF(B147="","",IFERROR(I147/H147,0))</f>
        <v/>
      </c>
      <c r="N147" s="25" t="str">
        <f aca="false">IF(B147="","",IFERROR(I147/K147,0))</f>
        <v/>
      </c>
      <c r="O147" s="26" t="str">
        <f aca="false">IF(B147="","",IFERROR(K147/I147,0))</f>
        <v/>
      </c>
      <c r="P147" s="10"/>
      <c r="Q147" s="4" t="str">
        <f aca="false">IF(B147="","",B147&amp;" | "&amp;C147)</f>
        <v/>
      </c>
      <c r="R147" s="0" t="str">
        <f aca="false">IF(B147="","",Q147&amp;"#"&amp;A147)</f>
        <v/>
      </c>
    </row>
    <row r="148" customFormat="false" ht="15" hidden="false" customHeight="false" outlineLevel="0" collapsed="false">
      <c r="A148" s="37"/>
      <c r="B148" s="10"/>
      <c r="C148" s="10"/>
      <c r="D148" s="10"/>
      <c r="E148" s="10"/>
      <c r="F148" s="6"/>
      <c r="G148" s="38"/>
      <c r="H148" s="38"/>
      <c r="I148" s="6"/>
      <c r="J148" s="38"/>
      <c r="K148" s="6"/>
      <c r="L148" s="25" t="str">
        <f aca="false">IF(B148="","",IFERROR(H148/G148,0))</f>
        <v/>
      </c>
      <c r="M148" s="7" t="str">
        <f aca="false">IF(B148="","",IFERROR(I148/H148,0))</f>
        <v/>
      </c>
      <c r="N148" s="25" t="str">
        <f aca="false">IF(B148="","",IFERROR(I148/K148,0))</f>
        <v/>
      </c>
      <c r="O148" s="26" t="str">
        <f aca="false">IF(B148="","",IFERROR(K148/I148,0))</f>
        <v/>
      </c>
      <c r="P148" s="10"/>
      <c r="Q148" s="4" t="str">
        <f aca="false">IF(B148="","",B148&amp;" | "&amp;C148)</f>
        <v/>
      </c>
      <c r="R148" s="0" t="str">
        <f aca="false">IF(B148="","",Q148&amp;"#"&amp;A148)</f>
        <v/>
      </c>
    </row>
    <row r="149" customFormat="false" ht="15" hidden="false" customHeight="false" outlineLevel="0" collapsed="false">
      <c r="A149" s="37"/>
      <c r="B149" s="10"/>
      <c r="C149" s="10"/>
      <c r="D149" s="10"/>
      <c r="E149" s="10"/>
      <c r="F149" s="6"/>
      <c r="G149" s="38"/>
      <c r="H149" s="38"/>
      <c r="I149" s="6"/>
      <c r="J149" s="38"/>
      <c r="K149" s="6"/>
      <c r="L149" s="25" t="str">
        <f aca="false">IF(B149="","",IFERROR(H149/G149,0))</f>
        <v/>
      </c>
      <c r="M149" s="7" t="str">
        <f aca="false">IF(B149="","",IFERROR(I149/H149,0))</f>
        <v/>
      </c>
      <c r="N149" s="25" t="str">
        <f aca="false">IF(B149="","",IFERROR(I149/K149,0))</f>
        <v/>
      </c>
      <c r="O149" s="26" t="str">
        <f aca="false">IF(B149="","",IFERROR(K149/I149,0))</f>
        <v/>
      </c>
      <c r="P149" s="10"/>
      <c r="Q149" s="4" t="str">
        <f aca="false">IF(B149="","",B149&amp;" | "&amp;C149)</f>
        <v/>
      </c>
      <c r="R149" s="0" t="str">
        <f aca="false">IF(B149="","",Q149&amp;"#"&amp;A149)</f>
        <v/>
      </c>
    </row>
    <row r="150" customFormat="false" ht="15" hidden="false" customHeight="false" outlineLevel="0" collapsed="false">
      <c r="A150" s="37"/>
      <c r="B150" s="10"/>
      <c r="C150" s="10"/>
      <c r="D150" s="10"/>
      <c r="E150" s="10"/>
      <c r="F150" s="6"/>
      <c r="G150" s="38"/>
      <c r="H150" s="38"/>
      <c r="I150" s="6"/>
      <c r="J150" s="38"/>
      <c r="K150" s="6"/>
      <c r="L150" s="25" t="str">
        <f aca="false">IF(B150="","",IFERROR(H150/G150,0))</f>
        <v/>
      </c>
      <c r="M150" s="7" t="str">
        <f aca="false">IF(B150="","",IFERROR(I150/H150,0))</f>
        <v/>
      </c>
      <c r="N150" s="25" t="str">
        <f aca="false">IF(B150="","",IFERROR(I150/K150,0))</f>
        <v/>
      </c>
      <c r="O150" s="26" t="str">
        <f aca="false">IF(B150="","",IFERROR(K150/I150,0))</f>
        <v/>
      </c>
      <c r="P150" s="10"/>
      <c r="Q150" s="4" t="str">
        <f aca="false">IF(B150="","",B150&amp;" | "&amp;C150)</f>
        <v/>
      </c>
      <c r="R150" s="0" t="str">
        <f aca="false">IF(B150="","",Q150&amp;"#"&amp;A150)</f>
        <v/>
      </c>
    </row>
    <row r="151" customFormat="false" ht="15" hidden="false" customHeight="false" outlineLevel="0" collapsed="false">
      <c r="A151" s="37"/>
      <c r="B151" s="10"/>
      <c r="C151" s="10"/>
      <c r="D151" s="10"/>
      <c r="E151" s="10"/>
      <c r="F151" s="6"/>
      <c r="G151" s="38"/>
      <c r="H151" s="38"/>
      <c r="I151" s="6"/>
      <c r="J151" s="38"/>
      <c r="K151" s="6"/>
      <c r="L151" s="25" t="str">
        <f aca="false">IF(B151="","",IFERROR(H151/G151,0))</f>
        <v/>
      </c>
      <c r="M151" s="7" t="str">
        <f aca="false">IF(B151="","",IFERROR(I151/H151,0))</f>
        <v/>
      </c>
      <c r="N151" s="25" t="str">
        <f aca="false">IF(B151="","",IFERROR(I151/K151,0))</f>
        <v/>
      </c>
      <c r="O151" s="26" t="str">
        <f aca="false">IF(B151="","",IFERROR(K151/I151,0))</f>
        <v/>
      </c>
      <c r="P151" s="10"/>
      <c r="Q151" s="4" t="str">
        <f aca="false">IF(B151="","",B151&amp;" | "&amp;C151)</f>
        <v/>
      </c>
      <c r="R151" s="0" t="str">
        <f aca="false">IF(B151="","",Q151&amp;"#"&amp;A151)</f>
        <v/>
      </c>
    </row>
    <row r="152" customFormat="false" ht="15" hidden="false" customHeight="false" outlineLevel="0" collapsed="false">
      <c r="A152" s="37"/>
      <c r="B152" s="10"/>
      <c r="C152" s="10"/>
      <c r="D152" s="10"/>
      <c r="E152" s="10"/>
      <c r="F152" s="6"/>
      <c r="G152" s="38"/>
      <c r="H152" s="38"/>
      <c r="I152" s="6"/>
      <c r="J152" s="38"/>
      <c r="K152" s="6"/>
      <c r="L152" s="25" t="str">
        <f aca="false">IF(B152="","",IFERROR(H152/G152,0))</f>
        <v/>
      </c>
      <c r="M152" s="7" t="str">
        <f aca="false">IF(B152="","",IFERROR(I152/H152,0))</f>
        <v/>
      </c>
      <c r="N152" s="25" t="str">
        <f aca="false">IF(B152="","",IFERROR(I152/K152,0))</f>
        <v/>
      </c>
      <c r="O152" s="26" t="str">
        <f aca="false">IF(B152="","",IFERROR(K152/I152,0))</f>
        <v/>
      </c>
      <c r="P152" s="10"/>
      <c r="Q152" s="4" t="str">
        <f aca="false">IF(B152="","",B152&amp;" | "&amp;C152)</f>
        <v/>
      </c>
      <c r="R152" s="0" t="str">
        <f aca="false">IF(B152="","",Q152&amp;"#"&amp;A152)</f>
        <v/>
      </c>
    </row>
    <row r="153" customFormat="false" ht="15" hidden="false" customHeight="false" outlineLevel="0" collapsed="false">
      <c r="A153" s="37"/>
      <c r="B153" s="10"/>
      <c r="C153" s="10"/>
      <c r="D153" s="10"/>
      <c r="E153" s="10"/>
      <c r="F153" s="6"/>
      <c r="G153" s="38"/>
      <c r="H153" s="38"/>
      <c r="I153" s="6"/>
      <c r="J153" s="38"/>
      <c r="K153" s="6"/>
      <c r="L153" s="25" t="str">
        <f aca="false">IF(B153="","",IFERROR(H153/G153,0))</f>
        <v/>
      </c>
      <c r="M153" s="7" t="str">
        <f aca="false">IF(B153="","",IFERROR(I153/H153,0))</f>
        <v/>
      </c>
      <c r="N153" s="25" t="str">
        <f aca="false">IF(B153="","",IFERROR(I153/K153,0))</f>
        <v/>
      </c>
      <c r="O153" s="26" t="str">
        <f aca="false">IF(B153="","",IFERROR(K153/I153,0))</f>
        <v/>
      </c>
      <c r="P153" s="10"/>
      <c r="Q153" s="4" t="str">
        <f aca="false">IF(B153="","",B153&amp;" | "&amp;C153)</f>
        <v/>
      </c>
      <c r="R153" s="0" t="str">
        <f aca="false">IF(B153="","",Q153&amp;"#"&amp;A153)</f>
        <v/>
      </c>
    </row>
    <row r="154" customFormat="false" ht="15" hidden="false" customHeight="false" outlineLevel="0" collapsed="false">
      <c r="A154" s="37"/>
      <c r="B154" s="10"/>
      <c r="C154" s="10"/>
      <c r="D154" s="10"/>
      <c r="E154" s="10"/>
      <c r="F154" s="6"/>
      <c r="G154" s="38"/>
      <c r="H154" s="38"/>
      <c r="I154" s="6"/>
      <c r="J154" s="38"/>
      <c r="K154" s="6"/>
      <c r="L154" s="25" t="str">
        <f aca="false">IF(B154="","",IFERROR(H154/G154,0))</f>
        <v/>
      </c>
      <c r="M154" s="7" t="str">
        <f aca="false">IF(B154="","",IFERROR(I154/H154,0))</f>
        <v/>
      </c>
      <c r="N154" s="25" t="str">
        <f aca="false">IF(B154="","",IFERROR(I154/K154,0))</f>
        <v/>
      </c>
      <c r="O154" s="26" t="str">
        <f aca="false">IF(B154="","",IFERROR(K154/I154,0))</f>
        <v/>
      </c>
      <c r="P154" s="10"/>
      <c r="Q154" s="4" t="str">
        <f aca="false">IF(B154="","",B154&amp;" | "&amp;C154)</f>
        <v/>
      </c>
      <c r="R154" s="0" t="str">
        <f aca="false">IF(B154="","",Q154&amp;"#"&amp;A154)</f>
        <v/>
      </c>
    </row>
    <row r="155" customFormat="false" ht="15" hidden="false" customHeight="false" outlineLevel="0" collapsed="false">
      <c r="A155" s="37"/>
      <c r="B155" s="10"/>
      <c r="C155" s="10"/>
      <c r="D155" s="10"/>
      <c r="E155" s="10"/>
      <c r="F155" s="6"/>
      <c r="G155" s="38"/>
      <c r="H155" s="38"/>
      <c r="I155" s="6"/>
      <c r="J155" s="38"/>
      <c r="K155" s="6"/>
      <c r="L155" s="25" t="str">
        <f aca="false">IF(B155="","",IFERROR(H155/G155,0))</f>
        <v/>
      </c>
      <c r="M155" s="7" t="str">
        <f aca="false">IF(B155="","",IFERROR(I155/H155,0))</f>
        <v/>
      </c>
      <c r="N155" s="25" t="str">
        <f aca="false">IF(B155="","",IFERROR(I155/K155,0))</f>
        <v/>
      </c>
      <c r="O155" s="26" t="str">
        <f aca="false">IF(B155="","",IFERROR(K155/I155,0))</f>
        <v/>
      </c>
      <c r="P155" s="10"/>
      <c r="Q155" s="4" t="str">
        <f aca="false">IF(B155="","",B155&amp;" | "&amp;C155)</f>
        <v/>
      </c>
      <c r="R155" s="0" t="str">
        <f aca="false">IF(B155="","",Q155&amp;"#"&amp;A155)</f>
        <v/>
      </c>
    </row>
    <row r="156" customFormat="false" ht="15" hidden="false" customHeight="false" outlineLevel="0" collapsed="false">
      <c r="A156" s="37"/>
      <c r="B156" s="10"/>
      <c r="C156" s="10"/>
      <c r="D156" s="10"/>
      <c r="E156" s="10"/>
      <c r="F156" s="6"/>
      <c r="G156" s="38"/>
      <c r="H156" s="38"/>
      <c r="I156" s="6"/>
      <c r="J156" s="38"/>
      <c r="K156" s="6"/>
      <c r="L156" s="25" t="str">
        <f aca="false">IF(B156="","",IFERROR(H156/G156,0))</f>
        <v/>
      </c>
      <c r="M156" s="7" t="str">
        <f aca="false">IF(B156="","",IFERROR(I156/H156,0))</f>
        <v/>
      </c>
      <c r="N156" s="25" t="str">
        <f aca="false">IF(B156="","",IFERROR(I156/K156,0))</f>
        <v/>
      </c>
      <c r="O156" s="26" t="str">
        <f aca="false">IF(B156="","",IFERROR(K156/I156,0))</f>
        <v/>
      </c>
      <c r="P156" s="10"/>
      <c r="Q156" s="4" t="str">
        <f aca="false">IF(B156="","",B156&amp;" | "&amp;C156)</f>
        <v/>
      </c>
      <c r="R156" s="0" t="str">
        <f aca="false">IF(B156="","",Q156&amp;"#"&amp;A156)</f>
        <v/>
      </c>
    </row>
    <row r="157" customFormat="false" ht="15" hidden="false" customHeight="false" outlineLevel="0" collapsed="false">
      <c r="A157" s="37"/>
      <c r="B157" s="10"/>
      <c r="C157" s="10"/>
      <c r="D157" s="10"/>
      <c r="E157" s="10"/>
      <c r="F157" s="6"/>
      <c r="G157" s="38"/>
      <c r="H157" s="38"/>
      <c r="I157" s="6"/>
      <c r="J157" s="38"/>
      <c r="K157" s="6"/>
      <c r="L157" s="25" t="str">
        <f aca="false">IF(B157="","",IFERROR(H157/G157,0))</f>
        <v/>
      </c>
      <c r="M157" s="7" t="str">
        <f aca="false">IF(B157="","",IFERROR(I157/H157,0))</f>
        <v/>
      </c>
      <c r="N157" s="25" t="str">
        <f aca="false">IF(B157="","",IFERROR(I157/K157,0))</f>
        <v/>
      </c>
      <c r="O157" s="26" t="str">
        <f aca="false">IF(B157="","",IFERROR(K157/I157,0))</f>
        <v/>
      </c>
      <c r="P157" s="10"/>
      <c r="Q157" s="4" t="str">
        <f aca="false">IF(B157="","",B157&amp;" | "&amp;C157)</f>
        <v/>
      </c>
      <c r="R157" s="0" t="str">
        <f aca="false">IF(B157="","",Q157&amp;"#"&amp;A157)</f>
        <v/>
      </c>
    </row>
    <row r="158" customFormat="false" ht="15" hidden="false" customHeight="false" outlineLevel="0" collapsed="false">
      <c r="A158" s="37"/>
      <c r="B158" s="10"/>
      <c r="C158" s="10"/>
      <c r="D158" s="10"/>
      <c r="E158" s="10"/>
      <c r="F158" s="6"/>
      <c r="G158" s="38"/>
      <c r="H158" s="38"/>
      <c r="I158" s="6"/>
      <c r="J158" s="38"/>
      <c r="K158" s="6"/>
      <c r="L158" s="25" t="str">
        <f aca="false">IF(B158="","",IFERROR(H158/G158,0))</f>
        <v/>
      </c>
      <c r="M158" s="7" t="str">
        <f aca="false">IF(B158="","",IFERROR(I158/H158,0))</f>
        <v/>
      </c>
      <c r="N158" s="25" t="str">
        <f aca="false">IF(B158="","",IFERROR(I158/K158,0))</f>
        <v/>
      </c>
      <c r="O158" s="26" t="str">
        <f aca="false">IF(B158="","",IFERROR(K158/I158,0))</f>
        <v/>
      </c>
      <c r="P158" s="10"/>
      <c r="Q158" s="4" t="str">
        <f aca="false">IF(B158="","",B158&amp;" | "&amp;C158)</f>
        <v/>
      </c>
      <c r="R158" s="0" t="str">
        <f aca="false">IF(B158="","",Q158&amp;"#"&amp;A158)</f>
        <v/>
      </c>
    </row>
    <row r="159" customFormat="false" ht="15" hidden="false" customHeight="false" outlineLevel="0" collapsed="false">
      <c r="A159" s="37"/>
      <c r="B159" s="10"/>
      <c r="C159" s="10"/>
      <c r="D159" s="10"/>
      <c r="E159" s="10"/>
      <c r="F159" s="6"/>
      <c r="G159" s="38"/>
      <c r="H159" s="38"/>
      <c r="I159" s="6"/>
      <c r="J159" s="38"/>
      <c r="K159" s="6"/>
      <c r="L159" s="25" t="str">
        <f aca="false">IF(B159="","",IFERROR(H159/G159,0))</f>
        <v/>
      </c>
      <c r="M159" s="7" t="str">
        <f aca="false">IF(B159="","",IFERROR(I159/H159,0))</f>
        <v/>
      </c>
      <c r="N159" s="25" t="str">
        <f aca="false">IF(B159="","",IFERROR(I159/K159,0))</f>
        <v/>
      </c>
      <c r="O159" s="26" t="str">
        <f aca="false">IF(B159="","",IFERROR(K159/I159,0))</f>
        <v/>
      </c>
      <c r="P159" s="10"/>
      <c r="Q159" s="4" t="str">
        <f aca="false">IF(B159="","",B159&amp;" | "&amp;C159)</f>
        <v/>
      </c>
      <c r="R159" s="0" t="str">
        <f aca="false">IF(B159="","",Q159&amp;"#"&amp;A159)</f>
        <v/>
      </c>
    </row>
    <row r="160" customFormat="false" ht="15" hidden="false" customHeight="false" outlineLevel="0" collapsed="false">
      <c r="A160" s="37"/>
      <c r="B160" s="10"/>
      <c r="C160" s="10"/>
      <c r="D160" s="10"/>
      <c r="E160" s="10"/>
      <c r="F160" s="6"/>
      <c r="G160" s="38"/>
      <c r="H160" s="38"/>
      <c r="I160" s="6"/>
      <c r="J160" s="38"/>
      <c r="K160" s="6"/>
      <c r="L160" s="25" t="str">
        <f aca="false">IF(B160="","",IFERROR(H160/G160,0))</f>
        <v/>
      </c>
      <c r="M160" s="7" t="str">
        <f aca="false">IF(B160="","",IFERROR(I160/H160,0))</f>
        <v/>
      </c>
      <c r="N160" s="25" t="str">
        <f aca="false">IF(B160="","",IFERROR(I160/K160,0))</f>
        <v/>
      </c>
      <c r="O160" s="26" t="str">
        <f aca="false">IF(B160="","",IFERROR(K160/I160,0))</f>
        <v/>
      </c>
      <c r="P160" s="10"/>
      <c r="Q160" s="4" t="str">
        <f aca="false">IF(B160="","",B160&amp;" | "&amp;C160)</f>
        <v/>
      </c>
      <c r="R160" s="0" t="str">
        <f aca="false">IF(B160="","",Q160&amp;"#"&amp;A160)</f>
        <v/>
      </c>
    </row>
    <row r="161" customFormat="false" ht="15" hidden="false" customHeight="false" outlineLevel="0" collapsed="false">
      <c r="A161" s="37"/>
      <c r="B161" s="10"/>
      <c r="C161" s="10"/>
      <c r="D161" s="10"/>
      <c r="E161" s="10"/>
      <c r="F161" s="6"/>
      <c r="G161" s="38"/>
      <c r="H161" s="38"/>
      <c r="I161" s="6"/>
      <c r="J161" s="38"/>
      <c r="K161" s="6"/>
      <c r="L161" s="25" t="str">
        <f aca="false">IF(B161="","",IFERROR(H161/G161,0))</f>
        <v/>
      </c>
      <c r="M161" s="7" t="str">
        <f aca="false">IF(B161="","",IFERROR(I161/H161,0))</f>
        <v/>
      </c>
      <c r="N161" s="25" t="str">
        <f aca="false">IF(B161="","",IFERROR(I161/K161,0))</f>
        <v/>
      </c>
      <c r="O161" s="26" t="str">
        <f aca="false">IF(B161="","",IFERROR(K161/I161,0))</f>
        <v/>
      </c>
      <c r="P161" s="10"/>
      <c r="Q161" s="4" t="str">
        <f aca="false">IF(B161="","",B161&amp;" | "&amp;C161)</f>
        <v/>
      </c>
      <c r="R161" s="0" t="str">
        <f aca="false">IF(B161="","",Q161&amp;"#"&amp;A161)</f>
        <v/>
      </c>
    </row>
    <row r="162" customFormat="false" ht="15" hidden="false" customHeight="false" outlineLevel="0" collapsed="false">
      <c r="A162" s="37"/>
      <c r="B162" s="10"/>
      <c r="C162" s="10"/>
      <c r="D162" s="10"/>
      <c r="E162" s="10"/>
      <c r="F162" s="6"/>
      <c r="G162" s="38"/>
      <c r="H162" s="38"/>
      <c r="I162" s="6"/>
      <c r="J162" s="38"/>
      <c r="K162" s="6"/>
      <c r="L162" s="25" t="str">
        <f aca="false">IF(B162="","",IFERROR(H162/G162,0))</f>
        <v/>
      </c>
      <c r="M162" s="7" t="str">
        <f aca="false">IF(B162="","",IFERROR(I162/H162,0))</f>
        <v/>
      </c>
      <c r="N162" s="25" t="str">
        <f aca="false">IF(B162="","",IFERROR(I162/K162,0))</f>
        <v/>
      </c>
      <c r="O162" s="26" t="str">
        <f aca="false">IF(B162="","",IFERROR(K162/I162,0))</f>
        <v/>
      </c>
      <c r="P162" s="10"/>
      <c r="Q162" s="4" t="str">
        <f aca="false">IF(B162="","",B162&amp;" | "&amp;C162)</f>
        <v/>
      </c>
      <c r="R162" s="0" t="str">
        <f aca="false">IF(B162="","",Q162&amp;"#"&amp;A162)</f>
        <v/>
      </c>
    </row>
    <row r="163" customFormat="false" ht="15" hidden="false" customHeight="false" outlineLevel="0" collapsed="false">
      <c r="A163" s="37"/>
      <c r="B163" s="10"/>
      <c r="C163" s="10"/>
      <c r="D163" s="10"/>
      <c r="E163" s="10"/>
      <c r="F163" s="6"/>
      <c r="G163" s="38"/>
      <c r="H163" s="38"/>
      <c r="I163" s="6"/>
      <c r="J163" s="38"/>
      <c r="K163" s="6"/>
      <c r="L163" s="25" t="str">
        <f aca="false">IF(B163="","",IFERROR(H163/G163,0))</f>
        <v/>
      </c>
      <c r="M163" s="7" t="str">
        <f aca="false">IF(B163="","",IFERROR(I163/H163,0))</f>
        <v/>
      </c>
      <c r="N163" s="25" t="str">
        <f aca="false">IF(B163="","",IFERROR(I163/K163,0))</f>
        <v/>
      </c>
      <c r="O163" s="26" t="str">
        <f aca="false">IF(B163="","",IFERROR(K163/I163,0))</f>
        <v/>
      </c>
      <c r="P163" s="10"/>
      <c r="Q163" s="4" t="str">
        <f aca="false">IF(B163="","",B163&amp;" | "&amp;C163)</f>
        <v/>
      </c>
      <c r="R163" s="0" t="str">
        <f aca="false">IF(B163="","",Q163&amp;"#"&amp;A163)</f>
        <v/>
      </c>
    </row>
    <row r="164" customFormat="false" ht="15" hidden="false" customHeight="false" outlineLevel="0" collapsed="false">
      <c r="A164" s="37"/>
      <c r="B164" s="10"/>
      <c r="C164" s="10"/>
      <c r="D164" s="10"/>
      <c r="E164" s="10"/>
      <c r="F164" s="6"/>
      <c r="G164" s="38"/>
      <c r="H164" s="38"/>
      <c r="I164" s="6"/>
      <c r="J164" s="38"/>
      <c r="K164" s="6"/>
      <c r="L164" s="25" t="str">
        <f aca="false">IF(B164="","",IFERROR(H164/G164,0))</f>
        <v/>
      </c>
      <c r="M164" s="7" t="str">
        <f aca="false">IF(B164="","",IFERROR(I164/H164,0))</f>
        <v/>
      </c>
      <c r="N164" s="25" t="str">
        <f aca="false">IF(B164="","",IFERROR(I164/K164,0))</f>
        <v/>
      </c>
      <c r="O164" s="26" t="str">
        <f aca="false">IF(B164="","",IFERROR(K164/I164,0))</f>
        <v/>
      </c>
      <c r="P164" s="10"/>
      <c r="Q164" s="4" t="str">
        <f aca="false">IF(B164="","",B164&amp;" | "&amp;C164)</f>
        <v/>
      </c>
      <c r="R164" s="0" t="str">
        <f aca="false">IF(B164="","",Q164&amp;"#"&amp;A164)</f>
        <v/>
      </c>
    </row>
    <row r="165" customFormat="false" ht="15" hidden="false" customHeight="false" outlineLevel="0" collapsed="false">
      <c r="A165" s="37"/>
      <c r="B165" s="10"/>
      <c r="C165" s="10"/>
      <c r="D165" s="10"/>
      <c r="E165" s="10"/>
      <c r="F165" s="6"/>
      <c r="G165" s="38"/>
      <c r="H165" s="38"/>
      <c r="I165" s="6"/>
      <c r="J165" s="38"/>
      <c r="K165" s="6"/>
      <c r="L165" s="25" t="str">
        <f aca="false">IF(B165="","",IFERROR(H165/G165,0))</f>
        <v/>
      </c>
      <c r="M165" s="7" t="str">
        <f aca="false">IF(B165="","",IFERROR(I165/H165,0))</f>
        <v/>
      </c>
      <c r="N165" s="25" t="str">
        <f aca="false">IF(B165="","",IFERROR(I165/K165,0))</f>
        <v/>
      </c>
      <c r="O165" s="26" t="str">
        <f aca="false">IF(B165="","",IFERROR(K165/I165,0))</f>
        <v/>
      </c>
      <c r="P165" s="10"/>
      <c r="Q165" s="4" t="str">
        <f aca="false">IF(B165="","",B165&amp;" | "&amp;C165)</f>
        <v/>
      </c>
      <c r="R165" s="0" t="str">
        <f aca="false">IF(B165="","",Q165&amp;"#"&amp;A165)</f>
        <v/>
      </c>
    </row>
    <row r="166" customFormat="false" ht="15" hidden="false" customHeight="false" outlineLevel="0" collapsed="false">
      <c r="A166" s="37"/>
      <c r="B166" s="10"/>
      <c r="C166" s="10"/>
      <c r="D166" s="10"/>
      <c r="E166" s="10"/>
      <c r="F166" s="6"/>
      <c r="G166" s="38"/>
      <c r="H166" s="38"/>
      <c r="I166" s="6"/>
      <c r="J166" s="38"/>
      <c r="K166" s="6"/>
      <c r="L166" s="25" t="str">
        <f aca="false">IF(B166="","",IFERROR(H166/G166,0))</f>
        <v/>
      </c>
      <c r="M166" s="7" t="str">
        <f aca="false">IF(B166="","",IFERROR(I166/H166,0))</f>
        <v/>
      </c>
      <c r="N166" s="25" t="str">
        <f aca="false">IF(B166="","",IFERROR(I166/K166,0))</f>
        <v/>
      </c>
      <c r="O166" s="26" t="str">
        <f aca="false">IF(B166="","",IFERROR(K166/I166,0))</f>
        <v/>
      </c>
      <c r="P166" s="10"/>
      <c r="Q166" s="4" t="str">
        <f aca="false">IF(B166="","",B166&amp;" | "&amp;C166)</f>
        <v/>
      </c>
      <c r="R166" s="0" t="str">
        <f aca="false">IF(B166="","",Q166&amp;"#"&amp;A166)</f>
        <v/>
      </c>
    </row>
    <row r="167" customFormat="false" ht="15" hidden="false" customHeight="false" outlineLevel="0" collapsed="false">
      <c r="A167" s="37"/>
      <c r="B167" s="10"/>
      <c r="C167" s="10"/>
      <c r="D167" s="10"/>
      <c r="E167" s="10"/>
      <c r="F167" s="6"/>
      <c r="G167" s="38"/>
      <c r="H167" s="38"/>
      <c r="I167" s="6"/>
      <c r="J167" s="38"/>
      <c r="K167" s="6"/>
      <c r="L167" s="25" t="str">
        <f aca="false">IF(B167="","",IFERROR(H167/G167,0))</f>
        <v/>
      </c>
      <c r="M167" s="7" t="str">
        <f aca="false">IF(B167="","",IFERROR(I167/H167,0))</f>
        <v/>
      </c>
      <c r="N167" s="25" t="str">
        <f aca="false">IF(B167="","",IFERROR(I167/K167,0))</f>
        <v/>
      </c>
      <c r="O167" s="26" t="str">
        <f aca="false">IF(B167="","",IFERROR(K167/I167,0))</f>
        <v/>
      </c>
      <c r="P167" s="10"/>
      <c r="Q167" s="4" t="str">
        <f aca="false">IF(B167="","",B167&amp;" | "&amp;C167)</f>
        <v/>
      </c>
      <c r="R167" s="0" t="str">
        <f aca="false">IF(B167="","",Q167&amp;"#"&amp;A167)</f>
        <v/>
      </c>
    </row>
    <row r="168" customFormat="false" ht="15" hidden="false" customHeight="false" outlineLevel="0" collapsed="false">
      <c r="A168" s="37"/>
      <c r="B168" s="10"/>
      <c r="C168" s="10"/>
      <c r="D168" s="10"/>
      <c r="E168" s="10"/>
      <c r="F168" s="6"/>
      <c r="G168" s="38"/>
      <c r="H168" s="38"/>
      <c r="I168" s="6"/>
      <c r="J168" s="38"/>
      <c r="K168" s="6"/>
      <c r="L168" s="25" t="str">
        <f aca="false">IF(B168="","",IFERROR(H168/G168,0))</f>
        <v/>
      </c>
      <c r="M168" s="7" t="str">
        <f aca="false">IF(B168="","",IFERROR(I168/H168,0))</f>
        <v/>
      </c>
      <c r="N168" s="25" t="str">
        <f aca="false">IF(B168="","",IFERROR(I168/K168,0))</f>
        <v/>
      </c>
      <c r="O168" s="26" t="str">
        <f aca="false">IF(B168="","",IFERROR(K168/I168,0))</f>
        <v/>
      </c>
      <c r="P168" s="10"/>
      <c r="Q168" s="4" t="str">
        <f aca="false">IF(B168="","",B168&amp;" | "&amp;C168)</f>
        <v/>
      </c>
      <c r="R168" s="0" t="str">
        <f aca="false">IF(B168="","",Q168&amp;"#"&amp;A168)</f>
        <v/>
      </c>
    </row>
    <row r="169" customFormat="false" ht="15" hidden="false" customHeight="false" outlineLevel="0" collapsed="false">
      <c r="A169" s="37"/>
      <c r="B169" s="10"/>
      <c r="C169" s="10"/>
      <c r="D169" s="10"/>
      <c r="E169" s="10"/>
      <c r="F169" s="6"/>
      <c r="G169" s="38"/>
      <c r="H169" s="38"/>
      <c r="I169" s="6"/>
      <c r="J169" s="38"/>
      <c r="K169" s="6"/>
      <c r="L169" s="25" t="str">
        <f aca="false">IF(B169="","",IFERROR(H169/G169,0))</f>
        <v/>
      </c>
      <c r="M169" s="7" t="str">
        <f aca="false">IF(B169="","",IFERROR(I169/H169,0))</f>
        <v/>
      </c>
      <c r="N169" s="25" t="str">
        <f aca="false">IF(B169="","",IFERROR(I169/K169,0))</f>
        <v/>
      </c>
      <c r="O169" s="26" t="str">
        <f aca="false">IF(B169="","",IFERROR(K169/I169,0))</f>
        <v/>
      </c>
      <c r="P169" s="10"/>
      <c r="Q169" s="4" t="str">
        <f aca="false">IF(B169="","",B169&amp;" | "&amp;C169)</f>
        <v/>
      </c>
      <c r="R169" s="0" t="str">
        <f aca="false">IF(B169="","",Q169&amp;"#"&amp;A169)</f>
        <v/>
      </c>
    </row>
    <row r="170" customFormat="false" ht="15" hidden="false" customHeight="false" outlineLevel="0" collapsed="false">
      <c r="A170" s="37"/>
      <c r="B170" s="10"/>
      <c r="C170" s="10"/>
      <c r="D170" s="10"/>
      <c r="E170" s="10"/>
      <c r="F170" s="6"/>
      <c r="G170" s="38"/>
      <c r="H170" s="38"/>
      <c r="I170" s="6"/>
      <c r="J170" s="38"/>
      <c r="K170" s="6"/>
      <c r="L170" s="25" t="str">
        <f aca="false">IF(B170="","",IFERROR(H170/G170,0))</f>
        <v/>
      </c>
      <c r="M170" s="7" t="str">
        <f aca="false">IF(B170="","",IFERROR(I170/H170,0))</f>
        <v/>
      </c>
      <c r="N170" s="25" t="str">
        <f aca="false">IF(B170="","",IFERROR(I170/K170,0))</f>
        <v/>
      </c>
      <c r="O170" s="26" t="str">
        <f aca="false">IF(B170="","",IFERROR(K170/I170,0))</f>
        <v/>
      </c>
      <c r="P170" s="10"/>
      <c r="Q170" s="4" t="str">
        <f aca="false">IF(B170="","",B170&amp;" | "&amp;C170)</f>
        <v/>
      </c>
      <c r="R170" s="0" t="str">
        <f aca="false">IF(B170="","",Q170&amp;"#"&amp;A170)</f>
        <v/>
      </c>
    </row>
    <row r="171" customFormat="false" ht="15" hidden="false" customHeight="false" outlineLevel="0" collapsed="false">
      <c r="A171" s="37"/>
      <c r="B171" s="10"/>
      <c r="C171" s="10"/>
      <c r="D171" s="10"/>
      <c r="E171" s="10"/>
      <c r="F171" s="6"/>
      <c r="G171" s="38"/>
      <c r="H171" s="38"/>
      <c r="I171" s="6"/>
      <c r="J171" s="38"/>
      <c r="K171" s="6"/>
      <c r="L171" s="25" t="str">
        <f aca="false">IF(B171="","",IFERROR(H171/G171,0))</f>
        <v/>
      </c>
      <c r="M171" s="7" t="str">
        <f aca="false">IF(B171="","",IFERROR(I171/H171,0))</f>
        <v/>
      </c>
      <c r="N171" s="25" t="str">
        <f aca="false">IF(B171="","",IFERROR(I171/K171,0))</f>
        <v/>
      </c>
      <c r="O171" s="26" t="str">
        <f aca="false">IF(B171="","",IFERROR(K171/I171,0))</f>
        <v/>
      </c>
      <c r="P171" s="10"/>
      <c r="Q171" s="4" t="str">
        <f aca="false">IF(B171="","",B171&amp;" | "&amp;C171)</f>
        <v/>
      </c>
      <c r="R171" s="0" t="str">
        <f aca="false">IF(B171="","",Q171&amp;"#"&amp;A171)</f>
        <v/>
      </c>
    </row>
    <row r="172" customFormat="false" ht="15" hidden="false" customHeight="false" outlineLevel="0" collapsed="false">
      <c r="A172" s="37"/>
      <c r="B172" s="10"/>
      <c r="C172" s="10"/>
      <c r="D172" s="10"/>
      <c r="E172" s="10"/>
      <c r="F172" s="6"/>
      <c r="G172" s="38"/>
      <c r="H172" s="38"/>
      <c r="I172" s="6"/>
      <c r="J172" s="38"/>
      <c r="K172" s="6"/>
      <c r="L172" s="25" t="str">
        <f aca="false">IF(B172="","",IFERROR(H172/G172,0))</f>
        <v/>
      </c>
      <c r="M172" s="7" t="str">
        <f aca="false">IF(B172="","",IFERROR(I172/H172,0))</f>
        <v/>
      </c>
      <c r="N172" s="25" t="str">
        <f aca="false">IF(B172="","",IFERROR(I172/K172,0))</f>
        <v/>
      </c>
      <c r="O172" s="26" t="str">
        <f aca="false">IF(B172="","",IFERROR(K172/I172,0))</f>
        <v/>
      </c>
      <c r="P172" s="10"/>
      <c r="Q172" s="4" t="str">
        <f aca="false">IF(B172="","",B172&amp;" | "&amp;C172)</f>
        <v/>
      </c>
      <c r="R172" s="0" t="str">
        <f aca="false">IF(B172="","",Q172&amp;"#"&amp;A172)</f>
        <v/>
      </c>
    </row>
    <row r="173" customFormat="false" ht="15" hidden="false" customHeight="false" outlineLevel="0" collapsed="false">
      <c r="A173" s="37"/>
      <c r="B173" s="10"/>
      <c r="C173" s="10"/>
      <c r="D173" s="10"/>
      <c r="E173" s="10"/>
      <c r="F173" s="6"/>
      <c r="G173" s="38"/>
      <c r="H173" s="38"/>
      <c r="I173" s="6"/>
      <c r="J173" s="38"/>
      <c r="K173" s="6"/>
      <c r="L173" s="25" t="str">
        <f aca="false">IF(B173="","",IFERROR(H173/G173,0))</f>
        <v/>
      </c>
      <c r="M173" s="7" t="str">
        <f aca="false">IF(B173="","",IFERROR(I173/H173,0))</f>
        <v/>
      </c>
      <c r="N173" s="25" t="str">
        <f aca="false">IF(B173="","",IFERROR(I173/K173,0))</f>
        <v/>
      </c>
      <c r="O173" s="26" t="str">
        <f aca="false">IF(B173="","",IFERROR(K173/I173,0))</f>
        <v/>
      </c>
      <c r="P173" s="10"/>
      <c r="Q173" s="4" t="str">
        <f aca="false">IF(B173="","",B173&amp;" | "&amp;C173)</f>
        <v/>
      </c>
      <c r="R173" s="0" t="str">
        <f aca="false">IF(B173="","",Q173&amp;"#"&amp;A173)</f>
        <v/>
      </c>
    </row>
    <row r="174" customFormat="false" ht="15" hidden="false" customHeight="false" outlineLevel="0" collapsed="false">
      <c r="A174" s="37"/>
      <c r="B174" s="10"/>
      <c r="C174" s="10"/>
      <c r="D174" s="10"/>
      <c r="E174" s="10"/>
      <c r="F174" s="6"/>
      <c r="G174" s="38"/>
      <c r="H174" s="38"/>
      <c r="I174" s="6"/>
      <c r="J174" s="38"/>
      <c r="K174" s="6"/>
      <c r="L174" s="25" t="str">
        <f aca="false">IF(B174="","",IFERROR(H174/G174,0))</f>
        <v/>
      </c>
      <c r="M174" s="7" t="str">
        <f aca="false">IF(B174="","",IFERROR(I174/H174,0))</f>
        <v/>
      </c>
      <c r="N174" s="25" t="str">
        <f aca="false">IF(B174="","",IFERROR(I174/K174,0))</f>
        <v/>
      </c>
      <c r="O174" s="26" t="str">
        <f aca="false">IF(B174="","",IFERROR(K174/I174,0))</f>
        <v/>
      </c>
      <c r="P174" s="10"/>
      <c r="Q174" s="4" t="str">
        <f aca="false">IF(B174="","",B174&amp;" | "&amp;C174)</f>
        <v/>
      </c>
      <c r="R174" s="0" t="str">
        <f aca="false">IF(B174="","",Q174&amp;"#"&amp;A174)</f>
        <v/>
      </c>
    </row>
    <row r="175" customFormat="false" ht="15" hidden="false" customHeight="false" outlineLevel="0" collapsed="false">
      <c r="A175" s="37"/>
      <c r="B175" s="10"/>
      <c r="C175" s="10"/>
      <c r="D175" s="10"/>
      <c r="E175" s="10"/>
      <c r="F175" s="6"/>
      <c r="G175" s="38"/>
      <c r="H175" s="38"/>
      <c r="I175" s="6"/>
      <c r="J175" s="38"/>
      <c r="K175" s="6"/>
      <c r="L175" s="25" t="str">
        <f aca="false">IF(B175="","",IFERROR(H175/G175,0))</f>
        <v/>
      </c>
      <c r="M175" s="7" t="str">
        <f aca="false">IF(B175="","",IFERROR(I175/H175,0))</f>
        <v/>
      </c>
      <c r="N175" s="25" t="str">
        <f aca="false">IF(B175="","",IFERROR(I175/K175,0))</f>
        <v/>
      </c>
      <c r="O175" s="26" t="str">
        <f aca="false">IF(B175="","",IFERROR(K175/I175,0))</f>
        <v/>
      </c>
      <c r="P175" s="10"/>
      <c r="Q175" s="4" t="str">
        <f aca="false">IF(B175="","",B175&amp;" | "&amp;C175)</f>
        <v/>
      </c>
      <c r="R175" s="0" t="str">
        <f aca="false">IF(B175="","",Q175&amp;"#"&amp;A175)</f>
        <v/>
      </c>
    </row>
    <row r="176" customFormat="false" ht="15" hidden="false" customHeight="false" outlineLevel="0" collapsed="false">
      <c r="A176" s="37"/>
      <c r="B176" s="10"/>
      <c r="C176" s="10"/>
      <c r="D176" s="10"/>
      <c r="E176" s="10"/>
      <c r="F176" s="6"/>
      <c r="G176" s="38"/>
      <c r="H176" s="38"/>
      <c r="I176" s="6"/>
      <c r="J176" s="38"/>
      <c r="K176" s="6"/>
      <c r="L176" s="25" t="str">
        <f aca="false">IF(B176="","",IFERROR(H176/G176,0))</f>
        <v/>
      </c>
      <c r="M176" s="7" t="str">
        <f aca="false">IF(B176="","",IFERROR(I176/H176,0))</f>
        <v/>
      </c>
      <c r="N176" s="25" t="str">
        <f aca="false">IF(B176="","",IFERROR(I176/K176,0))</f>
        <v/>
      </c>
      <c r="O176" s="26" t="str">
        <f aca="false">IF(B176="","",IFERROR(K176/I176,0))</f>
        <v/>
      </c>
      <c r="P176" s="10"/>
      <c r="Q176" s="4" t="str">
        <f aca="false">IF(B176="","",B176&amp;" | "&amp;C176)</f>
        <v/>
      </c>
      <c r="R176" s="0" t="str">
        <f aca="false">IF(B176="","",Q176&amp;"#"&amp;A176)</f>
        <v/>
      </c>
    </row>
    <row r="177" customFormat="false" ht="15" hidden="false" customHeight="false" outlineLevel="0" collapsed="false">
      <c r="A177" s="37"/>
      <c r="B177" s="10"/>
      <c r="C177" s="10"/>
      <c r="D177" s="10"/>
      <c r="E177" s="10"/>
      <c r="F177" s="6"/>
      <c r="G177" s="38"/>
      <c r="H177" s="38"/>
      <c r="I177" s="6"/>
      <c r="J177" s="38"/>
      <c r="K177" s="6"/>
      <c r="L177" s="25" t="str">
        <f aca="false">IF(B177="","",IFERROR(H177/G177,0))</f>
        <v/>
      </c>
      <c r="M177" s="7" t="str">
        <f aca="false">IF(B177="","",IFERROR(I177/H177,0))</f>
        <v/>
      </c>
      <c r="N177" s="25" t="str">
        <f aca="false">IF(B177="","",IFERROR(I177/K177,0))</f>
        <v/>
      </c>
      <c r="O177" s="26" t="str">
        <f aca="false">IF(B177="","",IFERROR(K177/I177,0))</f>
        <v/>
      </c>
      <c r="P177" s="10"/>
      <c r="Q177" s="4" t="str">
        <f aca="false">IF(B177="","",B177&amp;" | "&amp;C177)</f>
        <v/>
      </c>
      <c r="R177" s="0" t="str">
        <f aca="false">IF(B177="","",Q177&amp;"#"&amp;A177)</f>
        <v/>
      </c>
    </row>
    <row r="178" customFormat="false" ht="15" hidden="false" customHeight="false" outlineLevel="0" collapsed="false">
      <c r="A178" s="37"/>
      <c r="B178" s="10"/>
      <c r="C178" s="10"/>
      <c r="D178" s="10"/>
      <c r="E178" s="10"/>
      <c r="F178" s="6"/>
      <c r="G178" s="38"/>
      <c r="H178" s="38"/>
      <c r="I178" s="6"/>
      <c r="J178" s="38"/>
      <c r="K178" s="6"/>
      <c r="L178" s="25" t="str">
        <f aca="false">IF(B178="","",IFERROR(H178/G178,0))</f>
        <v/>
      </c>
      <c r="M178" s="7" t="str">
        <f aca="false">IF(B178="","",IFERROR(I178/H178,0))</f>
        <v/>
      </c>
      <c r="N178" s="25" t="str">
        <f aca="false">IF(B178="","",IFERROR(I178/K178,0))</f>
        <v/>
      </c>
      <c r="O178" s="26" t="str">
        <f aca="false">IF(B178="","",IFERROR(K178/I178,0))</f>
        <v/>
      </c>
      <c r="P178" s="10"/>
      <c r="Q178" s="4" t="str">
        <f aca="false">IF(B178="","",B178&amp;" | "&amp;C178)</f>
        <v/>
      </c>
      <c r="R178" s="0" t="str">
        <f aca="false">IF(B178="","",Q178&amp;"#"&amp;A178)</f>
        <v/>
      </c>
    </row>
    <row r="179" customFormat="false" ht="15" hidden="false" customHeight="false" outlineLevel="0" collapsed="false">
      <c r="A179" s="37"/>
      <c r="B179" s="10"/>
      <c r="C179" s="10"/>
      <c r="D179" s="10"/>
      <c r="E179" s="10"/>
      <c r="F179" s="6"/>
      <c r="G179" s="38"/>
      <c r="H179" s="38"/>
      <c r="I179" s="6"/>
      <c r="J179" s="38"/>
      <c r="K179" s="6"/>
      <c r="L179" s="25" t="str">
        <f aca="false">IF(B179="","",IFERROR(H179/G179,0))</f>
        <v/>
      </c>
      <c r="M179" s="7" t="str">
        <f aca="false">IF(B179="","",IFERROR(I179/H179,0))</f>
        <v/>
      </c>
      <c r="N179" s="25" t="str">
        <f aca="false">IF(B179="","",IFERROR(I179/K179,0))</f>
        <v/>
      </c>
      <c r="O179" s="26" t="str">
        <f aca="false">IF(B179="","",IFERROR(K179/I179,0))</f>
        <v/>
      </c>
      <c r="P179" s="10"/>
      <c r="Q179" s="4" t="str">
        <f aca="false">IF(B179="","",B179&amp;" | "&amp;C179)</f>
        <v/>
      </c>
      <c r="R179" s="0" t="str">
        <f aca="false">IF(B179="","",Q179&amp;"#"&amp;A179)</f>
        <v/>
      </c>
    </row>
    <row r="180" customFormat="false" ht="15" hidden="false" customHeight="false" outlineLevel="0" collapsed="false">
      <c r="A180" s="37"/>
      <c r="B180" s="10"/>
      <c r="C180" s="10"/>
      <c r="D180" s="10"/>
      <c r="E180" s="10"/>
      <c r="F180" s="6"/>
      <c r="G180" s="38"/>
      <c r="H180" s="38"/>
      <c r="I180" s="6"/>
      <c r="J180" s="38"/>
      <c r="K180" s="6"/>
      <c r="L180" s="25" t="str">
        <f aca="false">IF(B180="","",IFERROR(H180/G180,0))</f>
        <v/>
      </c>
      <c r="M180" s="7" t="str">
        <f aca="false">IF(B180="","",IFERROR(I180/H180,0))</f>
        <v/>
      </c>
      <c r="N180" s="25" t="str">
        <f aca="false">IF(B180="","",IFERROR(I180/K180,0))</f>
        <v/>
      </c>
      <c r="O180" s="26" t="str">
        <f aca="false">IF(B180="","",IFERROR(K180/I180,0))</f>
        <v/>
      </c>
      <c r="P180" s="10"/>
      <c r="Q180" s="4" t="str">
        <f aca="false">IF(B180="","",B180&amp;" | "&amp;C180)</f>
        <v/>
      </c>
      <c r="R180" s="0" t="str">
        <f aca="false">IF(B180="","",Q180&amp;"#"&amp;A180)</f>
        <v/>
      </c>
    </row>
    <row r="181" customFormat="false" ht="15" hidden="false" customHeight="false" outlineLevel="0" collapsed="false">
      <c r="A181" s="37"/>
      <c r="B181" s="10"/>
      <c r="C181" s="10"/>
      <c r="D181" s="10"/>
      <c r="E181" s="10"/>
      <c r="F181" s="6"/>
      <c r="G181" s="38"/>
      <c r="H181" s="38"/>
      <c r="I181" s="6"/>
      <c r="J181" s="38"/>
      <c r="K181" s="6"/>
      <c r="L181" s="25" t="str">
        <f aca="false">IF(B181="","",IFERROR(H181/G181,0))</f>
        <v/>
      </c>
      <c r="M181" s="7" t="str">
        <f aca="false">IF(B181="","",IFERROR(I181/H181,0))</f>
        <v/>
      </c>
      <c r="N181" s="25" t="str">
        <f aca="false">IF(B181="","",IFERROR(I181/K181,0))</f>
        <v/>
      </c>
      <c r="O181" s="26" t="str">
        <f aca="false">IF(B181="","",IFERROR(K181/I181,0))</f>
        <v/>
      </c>
      <c r="P181" s="10"/>
      <c r="Q181" s="4" t="str">
        <f aca="false">IF(B181="","",B181&amp;" | "&amp;C181)</f>
        <v/>
      </c>
      <c r="R181" s="0" t="str">
        <f aca="false">IF(B181="","",Q181&amp;"#"&amp;A181)</f>
        <v/>
      </c>
    </row>
    <row r="182" customFormat="false" ht="15" hidden="false" customHeight="false" outlineLevel="0" collapsed="false">
      <c r="A182" s="37"/>
      <c r="B182" s="10"/>
      <c r="C182" s="10"/>
      <c r="D182" s="10"/>
      <c r="E182" s="10"/>
      <c r="F182" s="6"/>
      <c r="G182" s="38"/>
      <c r="H182" s="38"/>
      <c r="I182" s="6"/>
      <c r="J182" s="38"/>
      <c r="K182" s="6"/>
      <c r="L182" s="25" t="str">
        <f aca="false">IF(B182="","",IFERROR(H182/G182,0))</f>
        <v/>
      </c>
      <c r="M182" s="7" t="str">
        <f aca="false">IF(B182="","",IFERROR(I182/H182,0))</f>
        <v/>
      </c>
      <c r="N182" s="25" t="str">
        <f aca="false">IF(B182="","",IFERROR(I182/K182,0))</f>
        <v/>
      </c>
      <c r="O182" s="26" t="str">
        <f aca="false">IF(B182="","",IFERROR(K182/I182,0))</f>
        <v/>
      </c>
      <c r="P182" s="10"/>
      <c r="Q182" s="4" t="str">
        <f aca="false">IF(B182="","",B182&amp;" | "&amp;C182)</f>
        <v/>
      </c>
      <c r="R182" s="0" t="str">
        <f aca="false">IF(B182="","",Q182&amp;"#"&amp;A182)</f>
        <v/>
      </c>
    </row>
    <row r="183" customFormat="false" ht="15" hidden="false" customHeight="false" outlineLevel="0" collapsed="false">
      <c r="A183" s="37"/>
      <c r="B183" s="10"/>
      <c r="C183" s="10"/>
      <c r="D183" s="10"/>
      <c r="E183" s="10"/>
      <c r="F183" s="6"/>
      <c r="G183" s="38"/>
      <c r="H183" s="38"/>
      <c r="I183" s="6"/>
      <c r="J183" s="38"/>
      <c r="K183" s="6"/>
      <c r="L183" s="25" t="str">
        <f aca="false">IF(B183="","",IFERROR(H183/G183,0))</f>
        <v/>
      </c>
      <c r="M183" s="7" t="str">
        <f aca="false">IF(B183="","",IFERROR(I183/H183,0))</f>
        <v/>
      </c>
      <c r="N183" s="25" t="str">
        <f aca="false">IF(B183="","",IFERROR(I183/K183,0))</f>
        <v/>
      </c>
      <c r="O183" s="26" t="str">
        <f aca="false">IF(B183="","",IFERROR(K183/I183,0))</f>
        <v/>
      </c>
      <c r="P183" s="10"/>
      <c r="Q183" s="4" t="str">
        <f aca="false">IF(B183="","",B183&amp;" | "&amp;C183)</f>
        <v/>
      </c>
      <c r="R183" s="0" t="str">
        <f aca="false">IF(B183="","",Q183&amp;"#"&amp;A183)</f>
        <v/>
      </c>
    </row>
    <row r="184" customFormat="false" ht="15" hidden="false" customHeight="false" outlineLevel="0" collapsed="false">
      <c r="A184" s="37"/>
      <c r="B184" s="10"/>
      <c r="C184" s="10"/>
      <c r="D184" s="10"/>
      <c r="E184" s="10"/>
      <c r="F184" s="6"/>
      <c r="G184" s="38"/>
      <c r="H184" s="38"/>
      <c r="I184" s="6"/>
      <c r="J184" s="38"/>
      <c r="K184" s="6"/>
      <c r="L184" s="25" t="str">
        <f aca="false">IF(B184="","",IFERROR(H184/G184,0))</f>
        <v/>
      </c>
      <c r="M184" s="7" t="str">
        <f aca="false">IF(B184="","",IFERROR(I184/H184,0))</f>
        <v/>
      </c>
      <c r="N184" s="25" t="str">
        <f aca="false">IF(B184="","",IFERROR(I184/K184,0))</f>
        <v/>
      </c>
      <c r="O184" s="26" t="str">
        <f aca="false">IF(B184="","",IFERROR(K184/I184,0))</f>
        <v/>
      </c>
      <c r="P184" s="10"/>
      <c r="Q184" s="4" t="str">
        <f aca="false">IF(B184="","",B184&amp;" | "&amp;C184)</f>
        <v/>
      </c>
      <c r="R184" s="0" t="str">
        <f aca="false">IF(B184="","",Q184&amp;"#"&amp;A184)</f>
        <v/>
      </c>
    </row>
    <row r="185" customFormat="false" ht="15" hidden="false" customHeight="false" outlineLevel="0" collapsed="false">
      <c r="A185" s="37"/>
      <c r="B185" s="10"/>
      <c r="C185" s="10"/>
      <c r="D185" s="10"/>
      <c r="E185" s="10"/>
      <c r="F185" s="6"/>
      <c r="G185" s="38"/>
      <c r="H185" s="38"/>
      <c r="I185" s="6"/>
      <c r="J185" s="38"/>
      <c r="K185" s="6"/>
      <c r="L185" s="25" t="str">
        <f aca="false">IF(B185="","",IFERROR(H185/G185,0))</f>
        <v/>
      </c>
      <c r="M185" s="7" t="str">
        <f aca="false">IF(B185="","",IFERROR(I185/H185,0))</f>
        <v/>
      </c>
      <c r="N185" s="25" t="str">
        <f aca="false">IF(B185="","",IFERROR(I185/K185,0))</f>
        <v/>
      </c>
      <c r="O185" s="26" t="str">
        <f aca="false">IF(B185="","",IFERROR(K185/I185,0))</f>
        <v/>
      </c>
      <c r="P185" s="10"/>
      <c r="Q185" s="4" t="str">
        <f aca="false">IF(B185="","",B185&amp;" | "&amp;C185)</f>
        <v/>
      </c>
      <c r="R185" s="0" t="str">
        <f aca="false">IF(B185="","",Q185&amp;"#"&amp;A185)</f>
        <v/>
      </c>
    </row>
    <row r="186" customFormat="false" ht="15" hidden="false" customHeight="false" outlineLevel="0" collapsed="false">
      <c r="A186" s="37"/>
      <c r="B186" s="10"/>
      <c r="C186" s="10"/>
      <c r="D186" s="10"/>
      <c r="E186" s="10"/>
      <c r="F186" s="6"/>
      <c r="G186" s="38"/>
      <c r="H186" s="38"/>
      <c r="I186" s="6"/>
      <c r="J186" s="38"/>
      <c r="K186" s="6"/>
      <c r="L186" s="25" t="str">
        <f aca="false">IF(B186="","",IFERROR(H186/G186,0))</f>
        <v/>
      </c>
      <c r="M186" s="7" t="str">
        <f aca="false">IF(B186="","",IFERROR(I186/H186,0))</f>
        <v/>
      </c>
      <c r="N186" s="25" t="str">
        <f aca="false">IF(B186="","",IFERROR(I186/K186,0))</f>
        <v/>
      </c>
      <c r="O186" s="26" t="str">
        <f aca="false">IF(B186="","",IFERROR(K186/I186,0))</f>
        <v/>
      </c>
      <c r="P186" s="10"/>
      <c r="Q186" s="4" t="str">
        <f aca="false">IF(B186="","",B186&amp;" | "&amp;C186)</f>
        <v/>
      </c>
      <c r="R186" s="0" t="str">
        <f aca="false">IF(B186="","",Q186&amp;"#"&amp;A186)</f>
        <v/>
      </c>
    </row>
    <row r="187" customFormat="false" ht="15" hidden="false" customHeight="false" outlineLevel="0" collapsed="false">
      <c r="A187" s="37"/>
      <c r="B187" s="10"/>
      <c r="C187" s="10"/>
      <c r="D187" s="10"/>
      <c r="E187" s="10"/>
      <c r="F187" s="6"/>
      <c r="G187" s="38"/>
      <c r="H187" s="38"/>
      <c r="I187" s="6"/>
      <c r="J187" s="38"/>
      <c r="K187" s="6"/>
      <c r="L187" s="25" t="str">
        <f aca="false">IF(B187="","",IFERROR(H187/G187,0))</f>
        <v/>
      </c>
      <c r="M187" s="7" t="str">
        <f aca="false">IF(B187="","",IFERROR(I187/H187,0))</f>
        <v/>
      </c>
      <c r="N187" s="25" t="str">
        <f aca="false">IF(B187="","",IFERROR(I187/K187,0))</f>
        <v/>
      </c>
      <c r="O187" s="26" t="str">
        <f aca="false">IF(B187="","",IFERROR(K187/I187,0))</f>
        <v/>
      </c>
      <c r="P187" s="10"/>
      <c r="Q187" s="4" t="str">
        <f aca="false">IF(B187="","",B187&amp;" | "&amp;C187)</f>
        <v/>
      </c>
      <c r="R187" s="0" t="str">
        <f aca="false">IF(B187="","",Q187&amp;"#"&amp;A187)</f>
        <v/>
      </c>
    </row>
    <row r="188" customFormat="false" ht="15" hidden="false" customHeight="false" outlineLevel="0" collapsed="false">
      <c r="A188" s="37"/>
      <c r="B188" s="10"/>
      <c r="C188" s="10"/>
      <c r="D188" s="10"/>
      <c r="E188" s="10"/>
      <c r="F188" s="6"/>
      <c r="G188" s="38"/>
      <c r="H188" s="38"/>
      <c r="I188" s="6"/>
      <c r="J188" s="38"/>
      <c r="K188" s="6"/>
      <c r="L188" s="25" t="str">
        <f aca="false">IF(B188="","",IFERROR(H188/G188,0))</f>
        <v/>
      </c>
      <c r="M188" s="7" t="str">
        <f aca="false">IF(B188="","",IFERROR(I188/H188,0))</f>
        <v/>
      </c>
      <c r="N188" s="25" t="str">
        <f aca="false">IF(B188="","",IFERROR(I188/K188,0))</f>
        <v/>
      </c>
      <c r="O188" s="26" t="str">
        <f aca="false">IF(B188="","",IFERROR(K188/I188,0))</f>
        <v/>
      </c>
      <c r="P188" s="10"/>
      <c r="Q188" s="4" t="str">
        <f aca="false">IF(B188="","",B188&amp;" | "&amp;C188)</f>
        <v/>
      </c>
      <c r="R188" s="0" t="str">
        <f aca="false">IF(B188="","",Q188&amp;"#"&amp;A188)</f>
        <v/>
      </c>
    </row>
    <row r="189" customFormat="false" ht="15" hidden="false" customHeight="false" outlineLevel="0" collapsed="false">
      <c r="A189" s="37"/>
      <c r="B189" s="10"/>
      <c r="C189" s="10"/>
      <c r="D189" s="10"/>
      <c r="E189" s="10"/>
      <c r="F189" s="6"/>
      <c r="G189" s="38"/>
      <c r="H189" s="38"/>
      <c r="I189" s="6"/>
      <c r="J189" s="38"/>
      <c r="K189" s="6"/>
      <c r="L189" s="25" t="str">
        <f aca="false">IF(B189="","",IFERROR(H189/G189,0))</f>
        <v/>
      </c>
      <c r="M189" s="7" t="str">
        <f aca="false">IF(B189="","",IFERROR(I189/H189,0))</f>
        <v/>
      </c>
      <c r="N189" s="25" t="str">
        <f aca="false">IF(B189="","",IFERROR(I189/K189,0))</f>
        <v/>
      </c>
      <c r="O189" s="26" t="str">
        <f aca="false">IF(B189="","",IFERROR(K189/I189,0))</f>
        <v/>
      </c>
      <c r="P189" s="10"/>
      <c r="Q189" s="4" t="str">
        <f aca="false">IF(B189="","",B189&amp;" | "&amp;C189)</f>
        <v/>
      </c>
      <c r="R189" s="0" t="str">
        <f aca="false">IF(B189="","",Q189&amp;"#"&amp;A189)</f>
        <v/>
      </c>
    </row>
    <row r="190" customFormat="false" ht="15" hidden="false" customHeight="false" outlineLevel="0" collapsed="false">
      <c r="A190" s="37"/>
      <c r="B190" s="10"/>
      <c r="C190" s="10"/>
      <c r="D190" s="10"/>
      <c r="E190" s="10"/>
      <c r="F190" s="6"/>
      <c r="G190" s="38"/>
      <c r="H190" s="38"/>
      <c r="I190" s="6"/>
      <c r="J190" s="38"/>
      <c r="K190" s="6"/>
      <c r="L190" s="25" t="str">
        <f aca="false">IF(B190="","",IFERROR(H190/G190,0))</f>
        <v/>
      </c>
      <c r="M190" s="7" t="str">
        <f aca="false">IF(B190="","",IFERROR(I190/H190,0))</f>
        <v/>
      </c>
      <c r="N190" s="25" t="str">
        <f aca="false">IF(B190="","",IFERROR(I190/K190,0))</f>
        <v/>
      </c>
      <c r="O190" s="26" t="str">
        <f aca="false">IF(B190="","",IFERROR(K190/I190,0))</f>
        <v/>
      </c>
      <c r="P190" s="10"/>
      <c r="Q190" s="4" t="str">
        <f aca="false">IF(B190="","",B190&amp;" | "&amp;C190)</f>
        <v/>
      </c>
      <c r="R190" s="0" t="str">
        <f aca="false">IF(B190="","",Q190&amp;"#"&amp;A190)</f>
        <v/>
      </c>
    </row>
    <row r="191" customFormat="false" ht="15" hidden="false" customHeight="false" outlineLevel="0" collapsed="false">
      <c r="A191" s="37"/>
      <c r="B191" s="10"/>
      <c r="C191" s="10"/>
      <c r="D191" s="10"/>
      <c r="E191" s="10"/>
      <c r="F191" s="6"/>
      <c r="G191" s="38"/>
      <c r="H191" s="38"/>
      <c r="I191" s="6"/>
      <c r="J191" s="38"/>
      <c r="K191" s="6"/>
      <c r="L191" s="25" t="str">
        <f aca="false">IF(B191="","",IFERROR(H191/G191,0))</f>
        <v/>
      </c>
      <c r="M191" s="7" t="str">
        <f aca="false">IF(B191="","",IFERROR(I191/H191,0))</f>
        <v/>
      </c>
      <c r="N191" s="25" t="str">
        <f aca="false">IF(B191="","",IFERROR(I191/K191,0))</f>
        <v/>
      </c>
      <c r="O191" s="26" t="str">
        <f aca="false">IF(B191="","",IFERROR(K191/I191,0))</f>
        <v/>
      </c>
      <c r="P191" s="10"/>
      <c r="Q191" s="4" t="str">
        <f aca="false">IF(B191="","",B191&amp;" | "&amp;C191)</f>
        <v/>
      </c>
      <c r="R191" s="0" t="str">
        <f aca="false">IF(B191="","",Q191&amp;"#"&amp;A191)</f>
        <v/>
      </c>
    </row>
    <row r="192" customFormat="false" ht="15" hidden="false" customHeight="false" outlineLevel="0" collapsed="false">
      <c r="A192" s="37"/>
      <c r="B192" s="10"/>
      <c r="C192" s="10"/>
      <c r="D192" s="10"/>
      <c r="E192" s="10"/>
      <c r="F192" s="6"/>
      <c r="G192" s="38"/>
      <c r="H192" s="38"/>
      <c r="I192" s="6"/>
      <c r="J192" s="38"/>
      <c r="K192" s="6"/>
      <c r="L192" s="25" t="str">
        <f aca="false">IF(B192="","",IFERROR(H192/G192,0))</f>
        <v/>
      </c>
      <c r="M192" s="7" t="str">
        <f aca="false">IF(B192="","",IFERROR(I192/H192,0))</f>
        <v/>
      </c>
      <c r="N192" s="25" t="str">
        <f aca="false">IF(B192="","",IFERROR(I192/K192,0))</f>
        <v/>
      </c>
      <c r="O192" s="26" t="str">
        <f aca="false">IF(B192="","",IFERROR(K192/I192,0))</f>
        <v/>
      </c>
      <c r="P192" s="10"/>
      <c r="Q192" s="4" t="str">
        <f aca="false">IF(B192="","",B192&amp;" | "&amp;C192)</f>
        <v/>
      </c>
      <c r="R192" s="0" t="str">
        <f aca="false">IF(B192="","",Q192&amp;"#"&amp;A192)</f>
        <v/>
      </c>
    </row>
    <row r="193" customFormat="false" ht="15" hidden="false" customHeight="false" outlineLevel="0" collapsed="false">
      <c r="A193" s="37"/>
      <c r="B193" s="10"/>
      <c r="C193" s="10"/>
      <c r="D193" s="10"/>
      <c r="E193" s="10"/>
      <c r="F193" s="6"/>
      <c r="G193" s="38"/>
      <c r="H193" s="38"/>
      <c r="I193" s="6"/>
      <c r="J193" s="38"/>
      <c r="K193" s="6"/>
      <c r="L193" s="25" t="str">
        <f aca="false">IF(B193="","",IFERROR(H193/G193,0))</f>
        <v/>
      </c>
      <c r="M193" s="7" t="str">
        <f aca="false">IF(B193="","",IFERROR(I193/H193,0))</f>
        <v/>
      </c>
      <c r="N193" s="25" t="str">
        <f aca="false">IF(B193="","",IFERROR(I193/K193,0))</f>
        <v/>
      </c>
      <c r="O193" s="26" t="str">
        <f aca="false">IF(B193="","",IFERROR(K193/I193,0))</f>
        <v/>
      </c>
      <c r="P193" s="10"/>
      <c r="Q193" s="4" t="str">
        <f aca="false">IF(B193="","",B193&amp;" | "&amp;C193)</f>
        <v/>
      </c>
      <c r="R193" s="0" t="str">
        <f aca="false">IF(B193="","",Q193&amp;"#"&amp;A193)</f>
        <v/>
      </c>
    </row>
    <row r="194" customFormat="false" ht="15" hidden="false" customHeight="false" outlineLevel="0" collapsed="false">
      <c r="A194" s="37"/>
      <c r="B194" s="10"/>
      <c r="C194" s="10"/>
      <c r="D194" s="10"/>
      <c r="E194" s="10"/>
      <c r="F194" s="6"/>
      <c r="G194" s="38"/>
      <c r="H194" s="38"/>
      <c r="I194" s="6"/>
      <c r="J194" s="38"/>
      <c r="K194" s="6"/>
      <c r="L194" s="25" t="str">
        <f aca="false">IF(B194="","",IFERROR(H194/G194,0))</f>
        <v/>
      </c>
      <c r="M194" s="7" t="str">
        <f aca="false">IF(B194="","",IFERROR(I194/H194,0))</f>
        <v/>
      </c>
      <c r="N194" s="25" t="str">
        <f aca="false">IF(B194="","",IFERROR(I194/K194,0))</f>
        <v/>
      </c>
      <c r="O194" s="26" t="str">
        <f aca="false">IF(B194="","",IFERROR(K194/I194,0))</f>
        <v/>
      </c>
      <c r="P194" s="10"/>
      <c r="Q194" s="4" t="str">
        <f aca="false">IF(B194="","",B194&amp;" | "&amp;C194)</f>
        <v/>
      </c>
      <c r="R194" s="0" t="str">
        <f aca="false">IF(B194="","",Q194&amp;"#"&amp;A194)</f>
        <v/>
      </c>
    </row>
    <row r="195" customFormat="false" ht="15" hidden="false" customHeight="false" outlineLevel="0" collapsed="false">
      <c r="A195" s="37"/>
      <c r="B195" s="10"/>
      <c r="C195" s="10"/>
      <c r="D195" s="10"/>
      <c r="E195" s="10"/>
      <c r="F195" s="6"/>
      <c r="G195" s="38"/>
      <c r="H195" s="38"/>
      <c r="I195" s="6"/>
      <c r="J195" s="38"/>
      <c r="K195" s="6"/>
      <c r="L195" s="25" t="str">
        <f aca="false">IF(B195="","",IFERROR(H195/G195,0))</f>
        <v/>
      </c>
      <c r="M195" s="7" t="str">
        <f aca="false">IF(B195="","",IFERROR(I195/H195,0))</f>
        <v/>
      </c>
      <c r="N195" s="25" t="str">
        <f aca="false">IF(B195="","",IFERROR(I195/K195,0))</f>
        <v/>
      </c>
      <c r="O195" s="26" t="str">
        <f aca="false">IF(B195="","",IFERROR(K195/I195,0))</f>
        <v/>
      </c>
      <c r="P195" s="10"/>
      <c r="Q195" s="4" t="str">
        <f aca="false">IF(B195="","",B195&amp;" | "&amp;C195)</f>
        <v/>
      </c>
      <c r="R195" s="0" t="str">
        <f aca="false">IF(B195="","",Q195&amp;"#"&amp;A195)</f>
        <v/>
      </c>
    </row>
    <row r="196" customFormat="false" ht="15" hidden="false" customHeight="false" outlineLevel="0" collapsed="false">
      <c r="A196" s="37"/>
      <c r="B196" s="10"/>
      <c r="C196" s="10"/>
      <c r="D196" s="10"/>
      <c r="E196" s="10"/>
      <c r="F196" s="6"/>
      <c r="G196" s="38"/>
      <c r="H196" s="38"/>
      <c r="I196" s="6"/>
      <c r="J196" s="38"/>
      <c r="K196" s="6"/>
      <c r="L196" s="25" t="str">
        <f aca="false">IF(B196="","",IFERROR(H196/G196,0))</f>
        <v/>
      </c>
      <c r="M196" s="7" t="str">
        <f aca="false">IF(B196="","",IFERROR(I196/H196,0))</f>
        <v/>
      </c>
      <c r="N196" s="25" t="str">
        <f aca="false">IF(B196="","",IFERROR(I196/K196,0))</f>
        <v/>
      </c>
      <c r="O196" s="26" t="str">
        <f aca="false">IF(B196="","",IFERROR(K196/I196,0))</f>
        <v/>
      </c>
      <c r="P196" s="10"/>
      <c r="Q196" s="4" t="str">
        <f aca="false">IF(B196="","",B196&amp;" | "&amp;C196)</f>
        <v/>
      </c>
      <c r="R196" s="0" t="str">
        <f aca="false">IF(B196="","",Q196&amp;"#"&amp;A196)</f>
        <v/>
      </c>
    </row>
    <row r="197" customFormat="false" ht="15" hidden="false" customHeight="false" outlineLevel="0" collapsed="false">
      <c r="A197" s="37"/>
      <c r="B197" s="10"/>
      <c r="C197" s="10"/>
      <c r="D197" s="10"/>
      <c r="E197" s="10"/>
      <c r="F197" s="6"/>
      <c r="G197" s="38"/>
      <c r="H197" s="38"/>
      <c r="I197" s="6"/>
      <c r="J197" s="38"/>
      <c r="K197" s="6"/>
      <c r="L197" s="25" t="str">
        <f aca="false">IF(B197="","",IFERROR(H197/G197,0))</f>
        <v/>
      </c>
      <c r="M197" s="7" t="str">
        <f aca="false">IF(B197="","",IFERROR(I197/H197,0))</f>
        <v/>
      </c>
      <c r="N197" s="25" t="str">
        <f aca="false">IF(B197="","",IFERROR(I197/K197,0))</f>
        <v/>
      </c>
      <c r="O197" s="26" t="str">
        <f aca="false">IF(B197="","",IFERROR(K197/I197,0))</f>
        <v/>
      </c>
      <c r="P197" s="10"/>
      <c r="Q197" s="4" t="str">
        <f aca="false">IF(B197="","",B197&amp;" | "&amp;C197)</f>
        <v/>
      </c>
      <c r="R197" s="0" t="str">
        <f aca="false">IF(B197="","",Q197&amp;"#"&amp;A197)</f>
        <v/>
      </c>
    </row>
    <row r="198" customFormat="false" ht="15" hidden="false" customHeight="false" outlineLevel="0" collapsed="false">
      <c r="A198" s="37"/>
      <c r="B198" s="10"/>
      <c r="C198" s="10"/>
      <c r="D198" s="10"/>
      <c r="E198" s="10"/>
      <c r="F198" s="6"/>
      <c r="G198" s="38"/>
      <c r="H198" s="38"/>
      <c r="I198" s="6"/>
      <c r="J198" s="38"/>
      <c r="K198" s="6"/>
      <c r="L198" s="25" t="str">
        <f aca="false">IF(B198="","",IFERROR(H198/G198,0))</f>
        <v/>
      </c>
      <c r="M198" s="7" t="str">
        <f aca="false">IF(B198="","",IFERROR(I198/H198,0))</f>
        <v/>
      </c>
      <c r="N198" s="25" t="str">
        <f aca="false">IF(B198="","",IFERROR(I198/K198,0))</f>
        <v/>
      </c>
      <c r="O198" s="26" t="str">
        <f aca="false">IF(B198="","",IFERROR(K198/I198,0))</f>
        <v/>
      </c>
      <c r="P198" s="10"/>
      <c r="Q198" s="4" t="str">
        <f aca="false">IF(B198="","",B198&amp;" | "&amp;C198)</f>
        <v/>
      </c>
      <c r="R198" s="0" t="str">
        <f aca="false">IF(B198="","",Q198&amp;"#"&amp;A198)</f>
        <v/>
      </c>
    </row>
    <row r="199" customFormat="false" ht="15" hidden="false" customHeight="false" outlineLevel="0" collapsed="false">
      <c r="A199" s="37"/>
      <c r="B199" s="10"/>
      <c r="C199" s="10"/>
      <c r="D199" s="10"/>
      <c r="E199" s="10"/>
      <c r="F199" s="6"/>
      <c r="G199" s="38"/>
      <c r="H199" s="38"/>
      <c r="I199" s="6"/>
      <c r="J199" s="38"/>
      <c r="K199" s="6"/>
      <c r="L199" s="25" t="str">
        <f aca="false">IF(B199="","",IFERROR(H199/G199,0))</f>
        <v/>
      </c>
      <c r="M199" s="7" t="str">
        <f aca="false">IF(B199="","",IFERROR(I199/H199,0))</f>
        <v/>
      </c>
      <c r="N199" s="25" t="str">
        <f aca="false">IF(B199="","",IFERROR(I199/K199,0))</f>
        <v/>
      </c>
      <c r="O199" s="26" t="str">
        <f aca="false">IF(B199="","",IFERROR(K199/I199,0))</f>
        <v/>
      </c>
      <c r="P199" s="10"/>
      <c r="Q199" s="4" t="str">
        <f aca="false">IF(B199="","",B199&amp;" | "&amp;C199)</f>
        <v/>
      </c>
      <c r="R199" s="0" t="str">
        <f aca="false">IF(B199="","",Q199&amp;"#"&amp;A199)</f>
        <v/>
      </c>
    </row>
    <row r="200" customFormat="false" ht="15" hidden="false" customHeight="false" outlineLevel="0" collapsed="false">
      <c r="A200" s="37"/>
      <c r="B200" s="10"/>
      <c r="C200" s="10"/>
      <c r="D200" s="10"/>
      <c r="E200" s="10"/>
      <c r="F200" s="6"/>
      <c r="G200" s="38"/>
      <c r="H200" s="38"/>
      <c r="I200" s="6"/>
      <c r="J200" s="38"/>
      <c r="K200" s="6"/>
      <c r="L200" s="25" t="str">
        <f aca="false">IF(B200="","",IFERROR(H200/G200,0))</f>
        <v/>
      </c>
      <c r="M200" s="7" t="str">
        <f aca="false">IF(B200="","",IFERROR(I200/H200,0))</f>
        <v/>
      </c>
      <c r="N200" s="25" t="str">
        <f aca="false">IF(B200="","",IFERROR(I200/K200,0))</f>
        <v/>
      </c>
      <c r="O200" s="26" t="str">
        <f aca="false">IF(B200="","",IFERROR(K200/I200,0))</f>
        <v/>
      </c>
      <c r="P200" s="10"/>
      <c r="Q200" s="4" t="str">
        <f aca="false">IF(B200="","",B200&amp;" | "&amp;C200)</f>
        <v/>
      </c>
      <c r="R200" s="0" t="str">
        <f aca="false">IF(B200="","",Q200&amp;"#"&amp;A200)</f>
        <v/>
      </c>
    </row>
    <row r="201" customFormat="false" ht="15" hidden="false" customHeight="false" outlineLevel="0" collapsed="false">
      <c r="A201" s="37"/>
      <c r="B201" s="10"/>
      <c r="C201" s="10"/>
      <c r="D201" s="10"/>
      <c r="E201" s="10"/>
      <c r="F201" s="6"/>
      <c r="G201" s="38"/>
      <c r="H201" s="38"/>
      <c r="I201" s="6"/>
      <c r="J201" s="38"/>
      <c r="K201" s="6"/>
      <c r="L201" s="25" t="str">
        <f aca="false">IF(B201="","",IFERROR(H201/G201,0))</f>
        <v/>
      </c>
      <c r="M201" s="7" t="str">
        <f aca="false">IF(B201="","",IFERROR(I201/H201,0))</f>
        <v/>
      </c>
      <c r="N201" s="25" t="str">
        <f aca="false">IF(B201="","",IFERROR(I201/K201,0))</f>
        <v/>
      </c>
      <c r="O201" s="26" t="str">
        <f aca="false">IF(B201="","",IFERROR(K201/I201,0))</f>
        <v/>
      </c>
      <c r="P201" s="10"/>
      <c r="Q201" s="4" t="str">
        <f aca="false">IF(B201="","",B201&amp;" | "&amp;C201)</f>
        <v/>
      </c>
      <c r="R201" s="0" t="str">
        <f aca="false">IF(B201="","",Q201&amp;"#"&amp;A201)</f>
        <v/>
      </c>
    </row>
    <row r="202" customFormat="false" ht="15" hidden="false" customHeight="false" outlineLevel="0" collapsed="false">
      <c r="A202" s="37"/>
      <c r="B202" s="10"/>
      <c r="C202" s="10"/>
      <c r="D202" s="10"/>
      <c r="E202" s="10"/>
      <c r="F202" s="6"/>
      <c r="G202" s="38"/>
      <c r="H202" s="38"/>
      <c r="I202" s="6"/>
      <c r="J202" s="38"/>
      <c r="K202" s="6"/>
      <c r="L202" s="25" t="str">
        <f aca="false">IF(B202="","",IFERROR(H202/G202,0))</f>
        <v/>
      </c>
      <c r="M202" s="7" t="str">
        <f aca="false">IF(B202="","",IFERROR(I202/H202,0))</f>
        <v/>
      </c>
      <c r="N202" s="25" t="str">
        <f aca="false">IF(B202="","",IFERROR(I202/K202,0))</f>
        <v/>
      </c>
      <c r="O202" s="26" t="str">
        <f aca="false">IF(B202="","",IFERROR(K202/I202,0))</f>
        <v/>
      </c>
      <c r="P202" s="10"/>
      <c r="Q202" s="4" t="str">
        <f aca="false">IF(B202="","",B202&amp;" | "&amp;C202)</f>
        <v/>
      </c>
      <c r="R202" s="0" t="str">
        <f aca="false">IF(B202="","",Q202&amp;"#"&amp;A202)</f>
        <v/>
      </c>
    </row>
    <row r="203" customFormat="false" ht="15" hidden="false" customHeight="false" outlineLevel="0" collapsed="false">
      <c r="A203" s="37"/>
      <c r="B203" s="10"/>
      <c r="C203" s="10"/>
      <c r="D203" s="10"/>
      <c r="E203" s="10"/>
      <c r="F203" s="6"/>
      <c r="G203" s="38"/>
      <c r="H203" s="38"/>
      <c r="I203" s="6"/>
      <c r="J203" s="38"/>
      <c r="K203" s="6"/>
      <c r="L203" s="25" t="str">
        <f aca="false">IF(B203="","",IFERROR(H203/G203,0))</f>
        <v/>
      </c>
      <c r="M203" s="7" t="str">
        <f aca="false">IF(B203="","",IFERROR(I203/H203,0))</f>
        <v/>
      </c>
      <c r="N203" s="25" t="str">
        <f aca="false">IF(B203="","",IFERROR(I203/K203,0))</f>
        <v/>
      </c>
      <c r="O203" s="26" t="str">
        <f aca="false">IF(B203="","",IFERROR(K203/I203,0))</f>
        <v/>
      </c>
      <c r="P203" s="10"/>
      <c r="Q203" s="4" t="str">
        <f aca="false">IF(B203="","",B203&amp;" | "&amp;C203)</f>
        <v/>
      </c>
      <c r="R203" s="0" t="str">
        <f aca="false">IF(B203="","",Q203&amp;"#"&amp;A203)</f>
        <v/>
      </c>
    </row>
    <row r="204" customFormat="false" ht="15" hidden="false" customHeight="false" outlineLevel="0" collapsed="false">
      <c r="A204" s="37"/>
      <c r="B204" s="10"/>
      <c r="C204" s="10"/>
      <c r="D204" s="10"/>
      <c r="E204" s="10"/>
      <c r="F204" s="6"/>
      <c r="G204" s="38"/>
      <c r="H204" s="38"/>
      <c r="I204" s="6"/>
      <c r="J204" s="38"/>
      <c r="K204" s="6"/>
      <c r="L204" s="25" t="str">
        <f aca="false">IF(B204="","",IFERROR(H204/G204,0))</f>
        <v/>
      </c>
      <c r="M204" s="7" t="str">
        <f aca="false">IF(B204="","",IFERROR(I204/H204,0))</f>
        <v/>
      </c>
      <c r="N204" s="25" t="str">
        <f aca="false">IF(B204="","",IFERROR(I204/K204,0))</f>
        <v/>
      </c>
      <c r="O204" s="26" t="str">
        <f aca="false">IF(B204="","",IFERROR(K204/I204,0))</f>
        <v/>
      </c>
      <c r="P204" s="10"/>
      <c r="Q204" s="4" t="str">
        <f aca="false">IF(B204="","",B204&amp;" | "&amp;C204)</f>
        <v/>
      </c>
      <c r="R204" s="0" t="str">
        <f aca="false">IF(B204="","",Q204&amp;"#"&amp;A204)</f>
        <v/>
      </c>
    </row>
    <row r="205" customFormat="false" ht="15" hidden="false" customHeight="false" outlineLevel="0" collapsed="false">
      <c r="A205" s="37"/>
      <c r="B205" s="10"/>
      <c r="C205" s="10"/>
      <c r="D205" s="10"/>
      <c r="E205" s="10"/>
      <c r="F205" s="6"/>
      <c r="G205" s="38"/>
      <c r="H205" s="38"/>
      <c r="I205" s="6"/>
      <c r="J205" s="38"/>
      <c r="K205" s="6"/>
      <c r="L205" s="25" t="str">
        <f aca="false">IF(B205="","",IFERROR(H205/G205,0))</f>
        <v/>
      </c>
      <c r="M205" s="7" t="str">
        <f aca="false">IF(B205="","",IFERROR(I205/H205,0))</f>
        <v/>
      </c>
      <c r="N205" s="25" t="str">
        <f aca="false">IF(B205="","",IFERROR(I205/K205,0))</f>
        <v/>
      </c>
      <c r="O205" s="26" t="str">
        <f aca="false">IF(B205="","",IFERROR(K205/I205,0))</f>
        <v/>
      </c>
      <c r="P205" s="10"/>
      <c r="Q205" s="4" t="str">
        <f aca="false">IF(B205="","",B205&amp;" | "&amp;C205)</f>
        <v/>
      </c>
      <c r="R205" s="0" t="str">
        <f aca="false">IF(B205="","",Q205&amp;"#"&amp;A205)</f>
        <v/>
      </c>
    </row>
    <row r="206" customFormat="false" ht="15" hidden="false" customHeight="false" outlineLevel="0" collapsed="false">
      <c r="A206" s="37"/>
      <c r="B206" s="10"/>
      <c r="C206" s="10"/>
      <c r="D206" s="10"/>
      <c r="E206" s="10"/>
      <c r="F206" s="6"/>
      <c r="G206" s="38"/>
      <c r="H206" s="38"/>
      <c r="I206" s="6"/>
      <c r="J206" s="38"/>
      <c r="K206" s="6"/>
      <c r="L206" s="25" t="str">
        <f aca="false">IF(B206="","",IFERROR(H206/G206,0))</f>
        <v/>
      </c>
      <c r="M206" s="7" t="str">
        <f aca="false">IF(B206="","",IFERROR(I206/H206,0))</f>
        <v/>
      </c>
      <c r="N206" s="25" t="str">
        <f aca="false">IF(B206="","",IFERROR(I206/K206,0))</f>
        <v/>
      </c>
      <c r="O206" s="26" t="str">
        <f aca="false">IF(B206="","",IFERROR(K206/I206,0))</f>
        <v/>
      </c>
      <c r="P206" s="10"/>
      <c r="Q206" s="4" t="str">
        <f aca="false">IF(B206="","",B206&amp;" | "&amp;C206)</f>
        <v/>
      </c>
      <c r="R206" s="0" t="str">
        <f aca="false">IF(B206="","",Q206&amp;"#"&amp;A206)</f>
        <v/>
      </c>
    </row>
    <row r="207" customFormat="false" ht="15" hidden="false" customHeight="false" outlineLevel="0" collapsed="false">
      <c r="A207" s="37"/>
      <c r="B207" s="10"/>
      <c r="C207" s="10"/>
      <c r="D207" s="10"/>
      <c r="E207" s="10"/>
      <c r="F207" s="6"/>
      <c r="G207" s="38"/>
      <c r="H207" s="38"/>
      <c r="I207" s="6"/>
      <c r="J207" s="38"/>
      <c r="K207" s="6"/>
      <c r="L207" s="25" t="str">
        <f aca="false">IF(B207="","",IFERROR(H207/G207,0))</f>
        <v/>
      </c>
      <c r="M207" s="7" t="str">
        <f aca="false">IF(B207="","",IFERROR(I207/H207,0))</f>
        <v/>
      </c>
      <c r="N207" s="25" t="str">
        <f aca="false">IF(B207="","",IFERROR(I207/K207,0))</f>
        <v/>
      </c>
      <c r="O207" s="26" t="str">
        <f aca="false">IF(B207="","",IFERROR(K207/I207,0))</f>
        <v/>
      </c>
      <c r="P207" s="10"/>
      <c r="Q207" s="4" t="str">
        <f aca="false">IF(B207="","",B207&amp;" | "&amp;C207)</f>
        <v/>
      </c>
      <c r="R207" s="0" t="str">
        <f aca="false">IF(B207="","",Q207&amp;"#"&amp;A207)</f>
        <v/>
      </c>
    </row>
    <row r="208" customFormat="false" ht="15" hidden="false" customHeight="false" outlineLevel="0" collapsed="false">
      <c r="A208" s="37"/>
      <c r="B208" s="10"/>
      <c r="C208" s="10"/>
      <c r="D208" s="10"/>
      <c r="E208" s="10"/>
      <c r="F208" s="6"/>
      <c r="G208" s="38"/>
      <c r="H208" s="38"/>
      <c r="I208" s="6"/>
      <c r="J208" s="38"/>
      <c r="K208" s="6"/>
      <c r="L208" s="25" t="str">
        <f aca="false">IF(B208="","",IFERROR(H208/G208,0))</f>
        <v/>
      </c>
      <c r="M208" s="7" t="str">
        <f aca="false">IF(B208="","",IFERROR(I208/H208,0))</f>
        <v/>
      </c>
      <c r="N208" s="25" t="str">
        <f aca="false">IF(B208="","",IFERROR(I208/K208,0))</f>
        <v/>
      </c>
      <c r="O208" s="26" t="str">
        <f aca="false">IF(B208="","",IFERROR(K208/I208,0))</f>
        <v/>
      </c>
      <c r="P208" s="10"/>
      <c r="Q208" s="4" t="str">
        <f aca="false">IF(B208="","",B208&amp;" | "&amp;C208)</f>
        <v/>
      </c>
      <c r="R208" s="0" t="str">
        <f aca="false">IF(B208="","",Q208&amp;"#"&amp;A208)</f>
        <v/>
      </c>
    </row>
    <row r="209" customFormat="false" ht="15" hidden="false" customHeight="false" outlineLevel="0" collapsed="false">
      <c r="A209" s="37"/>
      <c r="B209" s="10"/>
      <c r="C209" s="10"/>
      <c r="D209" s="10"/>
      <c r="E209" s="10"/>
      <c r="F209" s="6"/>
      <c r="G209" s="38"/>
      <c r="H209" s="38"/>
      <c r="I209" s="6"/>
      <c r="J209" s="38"/>
      <c r="K209" s="6"/>
      <c r="L209" s="25" t="str">
        <f aca="false">IF(B209="","",IFERROR(H209/G209,0))</f>
        <v/>
      </c>
      <c r="M209" s="7" t="str">
        <f aca="false">IF(B209="","",IFERROR(I209/H209,0))</f>
        <v/>
      </c>
      <c r="N209" s="25" t="str">
        <f aca="false">IF(B209="","",IFERROR(I209/K209,0))</f>
        <v/>
      </c>
      <c r="O209" s="26" t="str">
        <f aca="false">IF(B209="","",IFERROR(K209/I209,0))</f>
        <v/>
      </c>
      <c r="P209" s="10"/>
      <c r="Q209" s="4" t="str">
        <f aca="false">IF(B209="","",B209&amp;" | "&amp;C209)</f>
        <v/>
      </c>
      <c r="R209" s="0" t="str">
        <f aca="false">IF(B209="","",Q209&amp;"#"&amp;A209)</f>
        <v/>
      </c>
    </row>
    <row r="210" customFormat="false" ht="15" hidden="false" customHeight="false" outlineLevel="0" collapsed="false">
      <c r="A210" s="37"/>
      <c r="B210" s="10"/>
      <c r="C210" s="10"/>
      <c r="D210" s="10"/>
      <c r="E210" s="10"/>
      <c r="F210" s="6"/>
      <c r="G210" s="38"/>
      <c r="H210" s="38"/>
      <c r="I210" s="6"/>
      <c r="J210" s="38"/>
      <c r="K210" s="6"/>
      <c r="L210" s="25" t="str">
        <f aca="false">IF(B210="","",IFERROR(H210/G210,0))</f>
        <v/>
      </c>
      <c r="M210" s="7" t="str">
        <f aca="false">IF(B210="","",IFERROR(I210/H210,0))</f>
        <v/>
      </c>
      <c r="N210" s="25" t="str">
        <f aca="false">IF(B210="","",IFERROR(I210/K210,0))</f>
        <v/>
      </c>
      <c r="O210" s="26" t="str">
        <f aca="false">IF(B210="","",IFERROR(K210/I210,0))</f>
        <v/>
      </c>
      <c r="P210" s="10"/>
      <c r="Q210" s="4" t="str">
        <f aca="false">IF(B210="","",B210&amp;" | "&amp;C210)</f>
        <v/>
      </c>
      <c r="R210" s="0" t="str">
        <f aca="false">IF(B210="","",Q210&amp;"#"&amp;A210)</f>
        <v/>
      </c>
    </row>
    <row r="211" customFormat="false" ht="15" hidden="false" customHeight="false" outlineLevel="0" collapsed="false">
      <c r="A211" s="37"/>
      <c r="B211" s="10"/>
      <c r="C211" s="10"/>
      <c r="D211" s="10"/>
      <c r="E211" s="10"/>
      <c r="F211" s="6"/>
      <c r="G211" s="38"/>
      <c r="H211" s="38"/>
      <c r="I211" s="6"/>
      <c r="J211" s="38"/>
      <c r="K211" s="6"/>
      <c r="L211" s="25" t="str">
        <f aca="false">IF(B211="","",IFERROR(H211/G211,0))</f>
        <v/>
      </c>
      <c r="M211" s="7" t="str">
        <f aca="false">IF(B211="","",IFERROR(I211/H211,0))</f>
        <v/>
      </c>
      <c r="N211" s="25" t="str">
        <f aca="false">IF(B211="","",IFERROR(I211/K211,0))</f>
        <v/>
      </c>
      <c r="O211" s="26" t="str">
        <f aca="false">IF(B211="","",IFERROR(K211/I211,0))</f>
        <v/>
      </c>
      <c r="P211" s="10"/>
      <c r="Q211" s="4" t="str">
        <f aca="false">IF(B211="","",B211&amp;" | "&amp;C211)</f>
        <v/>
      </c>
      <c r="R211" s="0" t="str">
        <f aca="false">IF(B211="","",Q211&amp;"#"&amp;A211)</f>
        <v/>
      </c>
    </row>
    <row r="212" customFormat="false" ht="15" hidden="false" customHeight="false" outlineLevel="0" collapsed="false">
      <c r="A212" s="37"/>
      <c r="B212" s="10"/>
      <c r="C212" s="10"/>
      <c r="D212" s="10"/>
      <c r="E212" s="10"/>
      <c r="F212" s="6"/>
      <c r="G212" s="38"/>
      <c r="H212" s="38"/>
      <c r="I212" s="6"/>
      <c r="J212" s="38"/>
      <c r="K212" s="6"/>
      <c r="L212" s="25" t="str">
        <f aca="false">IF(B212="","",IFERROR(H212/G212,0))</f>
        <v/>
      </c>
      <c r="M212" s="7" t="str">
        <f aca="false">IF(B212="","",IFERROR(I212/H212,0))</f>
        <v/>
      </c>
      <c r="N212" s="25" t="str">
        <f aca="false">IF(B212="","",IFERROR(I212/K212,0))</f>
        <v/>
      </c>
      <c r="O212" s="26" t="str">
        <f aca="false">IF(B212="","",IFERROR(K212/I212,0))</f>
        <v/>
      </c>
      <c r="P212" s="10"/>
      <c r="Q212" s="4" t="str">
        <f aca="false">IF(B212="","",B212&amp;" | "&amp;C212)</f>
        <v/>
      </c>
      <c r="R212" s="0" t="str">
        <f aca="false">IF(B212="","",Q212&amp;"#"&amp;A212)</f>
        <v/>
      </c>
    </row>
    <row r="213" customFormat="false" ht="15" hidden="false" customHeight="false" outlineLevel="0" collapsed="false">
      <c r="A213" s="37"/>
      <c r="B213" s="10"/>
      <c r="C213" s="10"/>
      <c r="D213" s="10"/>
      <c r="E213" s="10"/>
      <c r="F213" s="6"/>
      <c r="G213" s="38"/>
      <c r="H213" s="38"/>
      <c r="I213" s="6"/>
      <c r="J213" s="38"/>
      <c r="K213" s="6"/>
      <c r="L213" s="25" t="str">
        <f aca="false">IF(B213="","",IFERROR(H213/G213,0))</f>
        <v/>
      </c>
      <c r="M213" s="7" t="str">
        <f aca="false">IF(B213="","",IFERROR(I213/H213,0))</f>
        <v/>
      </c>
      <c r="N213" s="25" t="str">
        <f aca="false">IF(B213="","",IFERROR(I213/K213,0))</f>
        <v/>
      </c>
      <c r="O213" s="26" t="str">
        <f aca="false">IF(B213="","",IFERROR(K213/I213,0))</f>
        <v/>
      </c>
      <c r="P213" s="10"/>
      <c r="Q213" s="4" t="str">
        <f aca="false">IF(B213="","",B213&amp;" | "&amp;C213)</f>
        <v/>
      </c>
      <c r="R213" s="0" t="str">
        <f aca="false">IF(B213="","",Q213&amp;"#"&amp;A213)</f>
        <v/>
      </c>
    </row>
    <row r="214" customFormat="false" ht="15" hidden="false" customHeight="false" outlineLevel="0" collapsed="false">
      <c r="A214" s="37"/>
      <c r="B214" s="10"/>
      <c r="C214" s="10"/>
      <c r="D214" s="10"/>
      <c r="E214" s="10"/>
      <c r="F214" s="6"/>
      <c r="G214" s="38"/>
      <c r="H214" s="38"/>
      <c r="I214" s="6"/>
      <c r="J214" s="38"/>
      <c r="K214" s="6"/>
      <c r="L214" s="25" t="str">
        <f aca="false">IF(B214="","",IFERROR(H214/G214,0))</f>
        <v/>
      </c>
      <c r="M214" s="7" t="str">
        <f aca="false">IF(B214="","",IFERROR(I214/H214,0))</f>
        <v/>
      </c>
      <c r="N214" s="25" t="str">
        <f aca="false">IF(B214="","",IFERROR(I214/K214,0))</f>
        <v/>
      </c>
      <c r="O214" s="26" t="str">
        <f aca="false">IF(B214="","",IFERROR(K214/I214,0))</f>
        <v/>
      </c>
      <c r="P214" s="10"/>
      <c r="Q214" s="4" t="str">
        <f aca="false">IF(B214="","",B214&amp;" | "&amp;C214)</f>
        <v/>
      </c>
      <c r="R214" s="0" t="str">
        <f aca="false">IF(B214="","",Q214&amp;"#"&amp;A214)</f>
        <v/>
      </c>
    </row>
    <row r="215" customFormat="false" ht="15" hidden="false" customHeight="false" outlineLevel="0" collapsed="false">
      <c r="A215" s="37"/>
      <c r="B215" s="10"/>
      <c r="C215" s="10"/>
      <c r="D215" s="10"/>
      <c r="E215" s="10"/>
      <c r="F215" s="6"/>
      <c r="G215" s="38"/>
      <c r="H215" s="38"/>
      <c r="I215" s="6"/>
      <c r="J215" s="38"/>
      <c r="K215" s="6"/>
      <c r="L215" s="25" t="str">
        <f aca="false">IF(B215="","",IFERROR(H215/G215,0))</f>
        <v/>
      </c>
      <c r="M215" s="7" t="str">
        <f aca="false">IF(B215="","",IFERROR(I215/H215,0))</f>
        <v/>
      </c>
      <c r="N215" s="25" t="str">
        <f aca="false">IF(B215="","",IFERROR(I215/K215,0))</f>
        <v/>
      </c>
      <c r="O215" s="26" t="str">
        <f aca="false">IF(B215="","",IFERROR(K215/I215,0))</f>
        <v/>
      </c>
      <c r="P215" s="10"/>
      <c r="Q215" s="4" t="str">
        <f aca="false">IF(B215="","",B215&amp;" | "&amp;C215)</f>
        <v/>
      </c>
      <c r="R215" s="0" t="str">
        <f aca="false">IF(B215="","",Q215&amp;"#"&amp;A215)</f>
        <v/>
      </c>
    </row>
    <row r="216" customFormat="false" ht="15" hidden="false" customHeight="false" outlineLevel="0" collapsed="false">
      <c r="A216" s="37"/>
      <c r="B216" s="10"/>
      <c r="C216" s="10"/>
      <c r="D216" s="10"/>
      <c r="E216" s="10"/>
      <c r="F216" s="6"/>
      <c r="G216" s="38"/>
      <c r="H216" s="38"/>
      <c r="I216" s="6"/>
      <c r="J216" s="38"/>
      <c r="K216" s="6"/>
      <c r="L216" s="25" t="str">
        <f aca="false">IF(B216="","",IFERROR(H216/G216,0))</f>
        <v/>
      </c>
      <c r="M216" s="7" t="str">
        <f aca="false">IF(B216="","",IFERROR(I216/H216,0))</f>
        <v/>
      </c>
      <c r="N216" s="25" t="str">
        <f aca="false">IF(B216="","",IFERROR(I216/K216,0))</f>
        <v/>
      </c>
      <c r="O216" s="26" t="str">
        <f aca="false">IF(B216="","",IFERROR(K216/I216,0))</f>
        <v/>
      </c>
      <c r="P216" s="10"/>
      <c r="Q216" s="4" t="str">
        <f aca="false">IF(B216="","",B216&amp;" | "&amp;C216)</f>
        <v/>
      </c>
      <c r="R216" s="0" t="str">
        <f aca="false">IF(B216="","",Q216&amp;"#"&amp;A216)</f>
        <v/>
      </c>
    </row>
    <row r="217" customFormat="false" ht="15" hidden="false" customHeight="false" outlineLevel="0" collapsed="false">
      <c r="A217" s="37"/>
      <c r="B217" s="10"/>
      <c r="C217" s="10"/>
      <c r="D217" s="10"/>
      <c r="E217" s="10"/>
      <c r="F217" s="6"/>
      <c r="G217" s="38"/>
      <c r="H217" s="38"/>
      <c r="I217" s="6"/>
      <c r="J217" s="38"/>
      <c r="K217" s="6"/>
      <c r="L217" s="25" t="str">
        <f aca="false">IF(B217="","",IFERROR(H217/G217,0))</f>
        <v/>
      </c>
      <c r="M217" s="7" t="str">
        <f aca="false">IF(B217="","",IFERROR(I217/H217,0))</f>
        <v/>
      </c>
      <c r="N217" s="25" t="str">
        <f aca="false">IF(B217="","",IFERROR(I217/K217,0))</f>
        <v/>
      </c>
      <c r="O217" s="26" t="str">
        <f aca="false">IF(B217="","",IFERROR(K217/I217,0))</f>
        <v/>
      </c>
      <c r="P217" s="10"/>
      <c r="Q217" s="4" t="str">
        <f aca="false">IF(B217="","",B217&amp;" | "&amp;C217)</f>
        <v/>
      </c>
      <c r="R217" s="0" t="str">
        <f aca="false">IF(B217="","",Q217&amp;"#"&amp;A217)</f>
        <v/>
      </c>
    </row>
    <row r="218" customFormat="false" ht="15" hidden="false" customHeight="false" outlineLevel="0" collapsed="false">
      <c r="A218" s="37"/>
      <c r="B218" s="10"/>
      <c r="C218" s="10"/>
      <c r="D218" s="10"/>
      <c r="E218" s="10"/>
      <c r="F218" s="6"/>
      <c r="G218" s="38"/>
      <c r="H218" s="38"/>
      <c r="I218" s="6"/>
      <c r="J218" s="38"/>
      <c r="K218" s="6"/>
      <c r="L218" s="25" t="str">
        <f aca="false">IF(B218="","",IFERROR(H218/G218,0))</f>
        <v/>
      </c>
      <c r="M218" s="7" t="str">
        <f aca="false">IF(B218="","",IFERROR(I218/H218,0))</f>
        <v/>
      </c>
      <c r="N218" s="25" t="str">
        <f aca="false">IF(B218="","",IFERROR(I218/K218,0))</f>
        <v/>
      </c>
      <c r="O218" s="26" t="str">
        <f aca="false">IF(B218="","",IFERROR(K218/I218,0))</f>
        <v/>
      </c>
      <c r="P218" s="10"/>
      <c r="Q218" s="4" t="str">
        <f aca="false">IF(B218="","",B218&amp;" | "&amp;C218)</f>
        <v/>
      </c>
      <c r="R218" s="0" t="str">
        <f aca="false">IF(B218="","",Q218&amp;"#"&amp;A218)</f>
        <v/>
      </c>
    </row>
    <row r="219" customFormat="false" ht="15" hidden="false" customHeight="false" outlineLevel="0" collapsed="false">
      <c r="A219" s="37"/>
      <c r="B219" s="10"/>
      <c r="C219" s="10"/>
      <c r="D219" s="10"/>
      <c r="E219" s="10"/>
      <c r="F219" s="6"/>
      <c r="G219" s="38"/>
      <c r="H219" s="38"/>
      <c r="I219" s="6"/>
      <c r="J219" s="38"/>
      <c r="K219" s="6"/>
      <c r="L219" s="25" t="str">
        <f aca="false">IF(B219="","",IFERROR(H219/G219,0))</f>
        <v/>
      </c>
      <c r="M219" s="7" t="str">
        <f aca="false">IF(B219="","",IFERROR(I219/H219,0))</f>
        <v/>
      </c>
      <c r="N219" s="25" t="str">
        <f aca="false">IF(B219="","",IFERROR(I219/K219,0))</f>
        <v/>
      </c>
      <c r="O219" s="26" t="str">
        <f aca="false">IF(B219="","",IFERROR(K219/I219,0))</f>
        <v/>
      </c>
      <c r="P219" s="10"/>
      <c r="Q219" s="4" t="str">
        <f aca="false">IF(B219="","",B219&amp;" | "&amp;C219)</f>
        <v/>
      </c>
      <c r="R219" s="0" t="str">
        <f aca="false">IF(B219="","",Q219&amp;"#"&amp;A219)</f>
        <v/>
      </c>
    </row>
    <row r="220" customFormat="false" ht="15" hidden="false" customHeight="false" outlineLevel="0" collapsed="false">
      <c r="A220" s="37"/>
      <c r="B220" s="10"/>
      <c r="C220" s="10"/>
      <c r="D220" s="10"/>
      <c r="E220" s="10"/>
      <c r="F220" s="6"/>
      <c r="G220" s="38"/>
      <c r="H220" s="38"/>
      <c r="I220" s="6"/>
      <c r="J220" s="38"/>
      <c r="K220" s="6"/>
      <c r="L220" s="25" t="str">
        <f aca="false">IF(B220="","",IFERROR(H220/G220,0))</f>
        <v/>
      </c>
      <c r="M220" s="7" t="str">
        <f aca="false">IF(B220="","",IFERROR(I220/H220,0))</f>
        <v/>
      </c>
      <c r="N220" s="25" t="str">
        <f aca="false">IF(B220="","",IFERROR(I220/K220,0))</f>
        <v/>
      </c>
      <c r="O220" s="26" t="str">
        <f aca="false">IF(B220="","",IFERROR(K220/I220,0))</f>
        <v/>
      </c>
      <c r="P220" s="10"/>
      <c r="Q220" s="4" t="str">
        <f aca="false">IF(B220="","",B220&amp;" | "&amp;C220)</f>
        <v/>
      </c>
      <c r="R220" s="0" t="str">
        <f aca="false">IF(B220="","",Q220&amp;"#"&amp;A220)</f>
        <v/>
      </c>
    </row>
    <row r="221" customFormat="false" ht="15" hidden="false" customHeight="false" outlineLevel="0" collapsed="false">
      <c r="A221" s="37"/>
      <c r="B221" s="10"/>
      <c r="C221" s="10"/>
      <c r="D221" s="10"/>
      <c r="E221" s="10"/>
      <c r="F221" s="6"/>
      <c r="G221" s="38"/>
      <c r="H221" s="38"/>
      <c r="I221" s="6"/>
      <c r="J221" s="38"/>
      <c r="K221" s="6"/>
      <c r="L221" s="25" t="str">
        <f aca="false">IF(B221="","",IFERROR(H221/G221,0))</f>
        <v/>
      </c>
      <c r="M221" s="7" t="str">
        <f aca="false">IF(B221="","",IFERROR(I221/H221,0))</f>
        <v/>
      </c>
      <c r="N221" s="25" t="str">
        <f aca="false">IF(B221="","",IFERROR(I221/K221,0))</f>
        <v/>
      </c>
      <c r="O221" s="26" t="str">
        <f aca="false">IF(B221="","",IFERROR(K221/I221,0))</f>
        <v/>
      </c>
      <c r="P221" s="10"/>
      <c r="Q221" s="4" t="str">
        <f aca="false">IF(B221="","",B221&amp;" | "&amp;C221)</f>
        <v/>
      </c>
      <c r="R221" s="0" t="str">
        <f aca="false">IF(B221="","",Q221&amp;"#"&amp;A221)</f>
        <v/>
      </c>
    </row>
    <row r="222" customFormat="false" ht="15" hidden="false" customHeight="false" outlineLevel="0" collapsed="false">
      <c r="A222" s="37"/>
      <c r="B222" s="10"/>
      <c r="C222" s="10"/>
      <c r="D222" s="10"/>
      <c r="E222" s="10"/>
      <c r="F222" s="6"/>
      <c r="G222" s="38"/>
      <c r="H222" s="38"/>
      <c r="I222" s="6"/>
      <c r="J222" s="38"/>
      <c r="K222" s="6"/>
      <c r="L222" s="25" t="str">
        <f aca="false">IF(B222="","",IFERROR(H222/G222,0))</f>
        <v/>
      </c>
      <c r="M222" s="7" t="str">
        <f aca="false">IF(B222="","",IFERROR(I222/H222,0))</f>
        <v/>
      </c>
      <c r="N222" s="25" t="str">
        <f aca="false">IF(B222="","",IFERROR(I222/K222,0))</f>
        <v/>
      </c>
      <c r="O222" s="26" t="str">
        <f aca="false">IF(B222="","",IFERROR(K222/I222,0))</f>
        <v/>
      </c>
      <c r="P222" s="10"/>
      <c r="Q222" s="4" t="str">
        <f aca="false">IF(B222="","",B222&amp;" | "&amp;C222)</f>
        <v/>
      </c>
      <c r="R222" s="0" t="str">
        <f aca="false">IF(B222="","",Q222&amp;"#"&amp;A222)</f>
        <v/>
      </c>
    </row>
    <row r="223" customFormat="false" ht="15" hidden="false" customHeight="false" outlineLevel="0" collapsed="false">
      <c r="A223" s="37"/>
      <c r="B223" s="10"/>
      <c r="C223" s="10"/>
      <c r="D223" s="10"/>
      <c r="E223" s="10"/>
      <c r="F223" s="6"/>
      <c r="G223" s="38"/>
      <c r="H223" s="38"/>
      <c r="I223" s="6"/>
      <c r="J223" s="38"/>
      <c r="K223" s="6"/>
      <c r="L223" s="25" t="str">
        <f aca="false">IF(B223="","",IFERROR(H223/G223,0))</f>
        <v/>
      </c>
      <c r="M223" s="7" t="str">
        <f aca="false">IF(B223="","",IFERROR(I223/H223,0))</f>
        <v/>
      </c>
      <c r="N223" s="25" t="str">
        <f aca="false">IF(B223="","",IFERROR(I223/K223,0))</f>
        <v/>
      </c>
      <c r="O223" s="26" t="str">
        <f aca="false">IF(B223="","",IFERROR(K223/I223,0))</f>
        <v/>
      </c>
      <c r="P223" s="10"/>
      <c r="Q223" s="4" t="str">
        <f aca="false">IF(B223="","",B223&amp;" | "&amp;C223)</f>
        <v/>
      </c>
      <c r="R223" s="0" t="str">
        <f aca="false">IF(B223="","",Q223&amp;"#"&amp;A223)</f>
        <v/>
      </c>
    </row>
    <row r="224" customFormat="false" ht="15" hidden="false" customHeight="false" outlineLevel="0" collapsed="false">
      <c r="A224" s="37"/>
      <c r="B224" s="10"/>
      <c r="C224" s="10"/>
      <c r="D224" s="10"/>
      <c r="E224" s="10"/>
      <c r="F224" s="6"/>
      <c r="G224" s="38"/>
      <c r="H224" s="38"/>
      <c r="I224" s="6"/>
      <c r="J224" s="38"/>
      <c r="K224" s="6"/>
      <c r="L224" s="25" t="str">
        <f aca="false">IF(B224="","",IFERROR(H224/G224,0))</f>
        <v/>
      </c>
      <c r="M224" s="7" t="str">
        <f aca="false">IF(B224="","",IFERROR(I224/H224,0))</f>
        <v/>
      </c>
      <c r="N224" s="25" t="str">
        <f aca="false">IF(B224="","",IFERROR(I224/K224,0))</f>
        <v/>
      </c>
      <c r="O224" s="26" t="str">
        <f aca="false">IF(B224="","",IFERROR(K224/I224,0))</f>
        <v/>
      </c>
      <c r="P224" s="10"/>
      <c r="Q224" s="4" t="str">
        <f aca="false">IF(B224="","",B224&amp;" | "&amp;C224)</f>
        <v/>
      </c>
      <c r="R224" s="0" t="str">
        <f aca="false">IF(B224="","",Q224&amp;"#"&amp;A224)</f>
        <v/>
      </c>
    </row>
    <row r="225" customFormat="false" ht="15" hidden="false" customHeight="false" outlineLevel="0" collapsed="false">
      <c r="A225" s="37"/>
      <c r="B225" s="10"/>
      <c r="C225" s="10"/>
      <c r="D225" s="10"/>
      <c r="E225" s="10"/>
      <c r="F225" s="6"/>
      <c r="G225" s="38"/>
      <c r="H225" s="38"/>
      <c r="I225" s="6"/>
      <c r="J225" s="38"/>
      <c r="K225" s="6"/>
      <c r="L225" s="25" t="str">
        <f aca="false">IF(B225="","",IFERROR(H225/G225,0))</f>
        <v/>
      </c>
      <c r="M225" s="7" t="str">
        <f aca="false">IF(B225="","",IFERROR(I225/H225,0))</f>
        <v/>
      </c>
      <c r="N225" s="25" t="str">
        <f aca="false">IF(B225="","",IFERROR(I225/K225,0))</f>
        <v/>
      </c>
      <c r="O225" s="26" t="str">
        <f aca="false">IF(B225="","",IFERROR(K225/I225,0))</f>
        <v/>
      </c>
      <c r="P225" s="10"/>
      <c r="Q225" s="4" t="str">
        <f aca="false">IF(B225="","",B225&amp;" | "&amp;C225)</f>
        <v/>
      </c>
      <c r="R225" s="0" t="str">
        <f aca="false">IF(B225="","",Q225&amp;"#"&amp;A225)</f>
        <v/>
      </c>
    </row>
    <row r="226" customFormat="false" ht="15" hidden="false" customHeight="false" outlineLevel="0" collapsed="false">
      <c r="A226" s="37"/>
      <c r="B226" s="10"/>
      <c r="C226" s="10"/>
      <c r="D226" s="10"/>
      <c r="E226" s="10"/>
      <c r="F226" s="6"/>
      <c r="G226" s="38"/>
      <c r="H226" s="38"/>
      <c r="I226" s="6"/>
      <c r="J226" s="38"/>
      <c r="K226" s="6"/>
      <c r="L226" s="25" t="str">
        <f aca="false">IF(B226="","",IFERROR(H226/G226,0))</f>
        <v/>
      </c>
      <c r="M226" s="7" t="str">
        <f aca="false">IF(B226="","",IFERROR(I226/H226,0))</f>
        <v/>
      </c>
      <c r="N226" s="25" t="str">
        <f aca="false">IF(B226="","",IFERROR(I226/K226,0))</f>
        <v/>
      </c>
      <c r="O226" s="26" t="str">
        <f aca="false">IF(B226="","",IFERROR(K226/I226,0))</f>
        <v/>
      </c>
      <c r="P226" s="10"/>
      <c r="Q226" s="4" t="str">
        <f aca="false">IF(B226="","",B226&amp;" | "&amp;C226)</f>
        <v/>
      </c>
      <c r="R226" s="0" t="str">
        <f aca="false">IF(B226="","",Q226&amp;"#"&amp;A226)</f>
        <v/>
      </c>
    </row>
    <row r="227" customFormat="false" ht="15" hidden="false" customHeight="false" outlineLevel="0" collapsed="false">
      <c r="A227" s="37"/>
      <c r="B227" s="10"/>
      <c r="C227" s="10"/>
      <c r="D227" s="10"/>
      <c r="E227" s="10"/>
      <c r="F227" s="6"/>
      <c r="G227" s="38"/>
      <c r="H227" s="38"/>
      <c r="I227" s="6"/>
      <c r="J227" s="38"/>
      <c r="K227" s="6"/>
      <c r="L227" s="25" t="str">
        <f aca="false">IF(B227="","",IFERROR(H227/G227,0))</f>
        <v/>
      </c>
      <c r="M227" s="7" t="str">
        <f aca="false">IF(B227="","",IFERROR(I227/H227,0))</f>
        <v/>
      </c>
      <c r="N227" s="25" t="str">
        <f aca="false">IF(B227="","",IFERROR(I227/K227,0))</f>
        <v/>
      </c>
      <c r="O227" s="26" t="str">
        <f aca="false">IF(B227="","",IFERROR(K227/I227,0))</f>
        <v/>
      </c>
      <c r="P227" s="10"/>
      <c r="Q227" s="4" t="str">
        <f aca="false">IF(B227="","",B227&amp;" | "&amp;C227)</f>
        <v/>
      </c>
      <c r="R227" s="0" t="str">
        <f aca="false">IF(B227="","",Q227&amp;"#"&amp;A227)</f>
        <v/>
      </c>
    </row>
    <row r="228" customFormat="false" ht="15" hidden="false" customHeight="false" outlineLevel="0" collapsed="false">
      <c r="A228" s="37"/>
      <c r="B228" s="10"/>
      <c r="C228" s="10"/>
      <c r="D228" s="10"/>
      <c r="E228" s="10"/>
      <c r="F228" s="6"/>
      <c r="G228" s="38"/>
      <c r="H228" s="38"/>
      <c r="I228" s="6"/>
      <c r="J228" s="38"/>
      <c r="K228" s="6"/>
      <c r="L228" s="25" t="str">
        <f aca="false">IF(B228="","",IFERROR(H228/G228,0))</f>
        <v/>
      </c>
      <c r="M228" s="7" t="str">
        <f aca="false">IF(B228="","",IFERROR(I228/H228,0))</f>
        <v/>
      </c>
      <c r="N228" s="25" t="str">
        <f aca="false">IF(B228="","",IFERROR(I228/K228,0))</f>
        <v/>
      </c>
      <c r="O228" s="26" t="str">
        <f aca="false">IF(B228="","",IFERROR(K228/I228,0))</f>
        <v/>
      </c>
      <c r="P228" s="10"/>
      <c r="Q228" s="4" t="str">
        <f aca="false">IF(B228="","",B228&amp;" | "&amp;C228)</f>
        <v/>
      </c>
      <c r="R228" s="0" t="str">
        <f aca="false">IF(B228="","",Q228&amp;"#"&amp;A228)</f>
        <v/>
      </c>
    </row>
    <row r="229" customFormat="false" ht="15" hidden="false" customHeight="false" outlineLevel="0" collapsed="false">
      <c r="A229" s="37"/>
      <c r="B229" s="10"/>
      <c r="C229" s="10"/>
      <c r="D229" s="10"/>
      <c r="E229" s="10"/>
      <c r="F229" s="6"/>
      <c r="G229" s="38"/>
      <c r="H229" s="38"/>
      <c r="I229" s="6"/>
      <c r="J229" s="38"/>
      <c r="K229" s="6"/>
      <c r="L229" s="25" t="str">
        <f aca="false">IF(B229="","",IFERROR(H229/G229,0))</f>
        <v/>
      </c>
      <c r="M229" s="7" t="str">
        <f aca="false">IF(B229="","",IFERROR(I229/H229,0))</f>
        <v/>
      </c>
      <c r="N229" s="25" t="str">
        <f aca="false">IF(B229="","",IFERROR(I229/K229,0))</f>
        <v/>
      </c>
      <c r="O229" s="26" t="str">
        <f aca="false">IF(B229="","",IFERROR(K229/I229,0))</f>
        <v/>
      </c>
      <c r="P229" s="10"/>
      <c r="Q229" s="4" t="str">
        <f aca="false">IF(B229="","",B229&amp;" | "&amp;C229)</f>
        <v/>
      </c>
      <c r="R229" s="0" t="str">
        <f aca="false">IF(B229="","",Q229&amp;"#"&amp;A229)</f>
        <v/>
      </c>
    </row>
    <row r="230" customFormat="false" ht="15" hidden="false" customHeight="false" outlineLevel="0" collapsed="false">
      <c r="A230" s="37"/>
      <c r="B230" s="10"/>
      <c r="C230" s="10"/>
      <c r="D230" s="10"/>
      <c r="E230" s="10"/>
      <c r="F230" s="6"/>
      <c r="G230" s="38"/>
      <c r="H230" s="38"/>
      <c r="I230" s="6"/>
      <c r="J230" s="38"/>
      <c r="K230" s="6"/>
      <c r="L230" s="25" t="str">
        <f aca="false">IF(B230="","",IFERROR(H230/G230,0))</f>
        <v/>
      </c>
      <c r="M230" s="7" t="str">
        <f aca="false">IF(B230="","",IFERROR(I230/H230,0))</f>
        <v/>
      </c>
      <c r="N230" s="25" t="str">
        <f aca="false">IF(B230="","",IFERROR(I230/K230,0))</f>
        <v/>
      </c>
      <c r="O230" s="26" t="str">
        <f aca="false">IF(B230="","",IFERROR(K230/I230,0))</f>
        <v/>
      </c>
      <c r="P230" s="10"/>
      <c r="Q230" s="4" t="str">
        <f aca="false">IF(B230="","",B230&amp;" | "&amp;C230)</f>
        <v/>
      </c>
      <c r="R230" s="0" t="str">
        <f aca="false">IF(B230="","",Q230&amp;"#"&amp;A230)</f>
        <v/>
      </c>
    </row>
    <row r="231" customFormat="false" ht="15" hidden="false" customHeight="false" outlineLevel="0" collapsed="false">
      <c r="A231" s="37"/>
      <c r="B231" s="10"/>
      <c r="C231" s="10"/>
      <c r="D231" s="10"/>
      <c r="E231" s="10"/>
      <c r="F231" s="6"/>
      <c r="G231" s="38"/>
      <c r="H231" s="38"/>
      <c r="I231" s="6"/>
      <c r="J231" s="38"/>
      <c r="K231" s="6"/>
      <c r="L231" s="25" t="str">
        <f aca="false">IF(B231="","",IFERROR(H231/G231,0))</f>
        <v/>
      </c>
      <c r="M231" s="7" t="str">
        <f aca="false">IF(B231="","",IFERROR(I231/H231,0))</f>
        <v/>
      </c>
      <c r="N231" s="25" t="str">
        <f aca="false">IF(B231="","",IFERROR(I231/K231,0))</f>
        <v/>
      </c>
      <c r="O231" s="26" t="str">
        <f aca="false">IF(B231="","",IFERROR(K231/I231,0))</f>
        <v/>
      </c>
      <c r="P231" s="10"/>
      <c r="Q231" s="4" t="str">
        <f aca="false">IF(B231="","",B231&amp;" | "&amp;C231)</f>
        <v/>
      </c>
      <c r="R231" s="0" t="str">
        <f aca="false">IF(B231="","",Q231&amp;"#"&amp;A231)</f>
        <v/>
      </c>
    </row>
    <row r="232" customFormat="false" ht="15" hidden="false" customHeight="false" outlineLevel="0" collapsed="false">
      <c r="A232" s="37"/>
      <c r="B232" s="10"/>
      <c r="C232" s="10"/>
      <c r="D232" s="10"/>
      <c r="E232" s="10"/>
      <c r="F232" s="6"/>
      <c r="G232" s="38"/>
      <c r="H232" s="38"/>
      <c r="I232" s="6"/>
      <c r="J232" s="38"/>
      <c r="K232" s="6"/>
      <c r="L232" s="25" t="str">
        <f aca="false">IF(B232="","",IFERROR(H232/G232,0))</f>
        <v/>
      </c>
      <c r="M232" s="7" t="str">
        <f aca="false">IF(B232="","",IFERROR(I232/H232,0))</f>
        <v/>
      </c>
      <c r="N232" s="25" t="str">
        <f aca="false">IF(B232="","",IFERROR(I232/K232,0))</f>
        <v/>
      </c>
      <c r="O232" s="26" t="str">
        <f aca="false">IF(B232="","",IFERROR(K232/I232,0))</f>
        <v/>
      </c>
      <c r="P232" s="10"/>
      <c r="Q232" s="4" t="str">
        <f aca="false">IF(B232="","",B232&amp;" | "&amp;C232)</f>
        <v/>
      </c>
      <c r="R232" s="0" t="str">
        <f aca="false">IF(B232="","",Q232&amp;"#"&amp;A232)</f>
        <v/>
      </c>
    </row>
    <row r="233" customFormat="false" ht="15" hidden="false" customHeight="false" outlineLevel="0" collapsed="false">
      <c r="A233" s="37"/>
      <c r="B233" s="10"/>
      <c r="C233" s="10"/>
      <c r="D233" s="10"/>
      <c r="E233" s="10"/>
      <c r="F233" s="6"/>
      <c r="G233" s="38"/>
      <c r="H233" s="38"/>
      <c r="I233" s="6"/>
      <c r="J233" s="38"/>
      <c r="K233" s="6"/>
      <c r="L233" s="25" t="str">
        <f aca="false">IF(B233="","",IFERROR(H233/G233,0))</f>
        <v/>
      </c>
      <c r="M233" s="7" t="str">
        <f aca="false">IF(B233="","",IFERROR(I233/H233,0))</f>
        <v/>
      </c>
      <c r="N233" s="25" t="str">
        <f aca="false">IF(B233="","",IFERROR(I233/K233,0))</f>
        <v/>
      </c>
      <c r="O233" s="26" t="str">
        <f aca="false">IF(B233="","",IFERROR(K233/I233,0))</f>
        <v/>
      </c>
      <c r="P233" s="10"/>
      <c r="Q233" s="4" t="str">
        <f aca="false">IF(B233="","",B233&amp;" | "&amp;C233)</f>
        <v/>
      </c>
      <c r="R233" s="0" t="str">
        <f aca="false">IF(B233="","",Q233&amp;"#"&amp;A233)</f>
        <v/>
      </c>
    </row>
    <row r="234" customFormat="false" ht="15" hidden="false" customHeight="false" outlineLevel="0" collapsed="false">
      <c r="A234" s="37"/>
      <c r="B234" s="10"/>
      <c r="C234" s="10"/>
      <c r="D234" s="10"/>
      <c r="E234" s="10"/>
      <c r="F234" s="6"/>
      <c r="G234" s="38"/>
      <c r="H234" s="38"/>
      <c r="I234" s="6"/>
      <c r="J234" s="38"/>
      <c r="K234" s="6"/>
      <c r="L234" s="25" t="str">
        <f aca="false">IF(B234="","",IFERROR(H234/G234,0))</f>
        <v/>
      </c>
      <c r="M234" s="7" t="str">
        <f aca="false">IF(B234="","",IFERROR(I234/H234,0))</f>
        <v/>
      </c>
      <c r="N234" s="25" t="str">
        <f aca="false">IF(B234="","",IFERROR(I234/K234,0))</f>
        <v/>
      </c>
      <c r="O234" s="26" t="str">
        <f aca="false">IF(B234="","",IFERROR(K234/I234,0))</f>
        <v/>
      </c>
      <c r="P234" s="10"/>
      <c r="Q234" s="4" t="str">
        <f aca="false">IF(B234="","",B234&amp;" | "&amp;C234)</f>
        <v/>
      </c>
      <c r="R234" s="0" t="str">
        <f aca="false">IF(B234="","",Q234&amp;"#"&amp;A234)</f>
        <v/>
      </c>
    </row>
    <row r="235" customFormat="false" ht="15" hidden="false" customHeight="false" outlineLevel="0" collapsed="false">
      <c r="A235" s="37"/>
      <c r="B235" s="10"/>
      <c r="C235" s="10"/>
      <c r="D235" s="10"/>
      <c r="E235" s="10"/>
      <c r="F235" s="6"/>
      <c r="G235" s="38"/>
      <c r="H235" s="38"/>
      <c r="I235" s="6"/>
      <c r="J235" s="38"/>
      <c r="K235" s="6"/>
      <c r="L235" s="25" t="str">
        <f aca="false">IF(B235="","",IFERROR(H235/G235,0))</f>
        <v/>
      </c>
      <c r="M235" s="7" t="str">
        <f aca="false">IF(B235="","",IFERROR(I235/H235,0))</f>
        <v/>
      </c>
      <c r="N235" s="25" t="str">
        <f aca="false">IF(B235="","",IFERROR(I235/K235,0))</f>
        <v/>
      </c>
      <c r="O235" s="26" t="str">
        <f aca="false">IF(B235="","",IFERROR(K235/I235,0))</f>
        <v/>
      </c>
      <c r="P235" s="10"/>
      <c r="Q235" s="4" t="str">
        <f aca="false">IF(B235="","",B235&amp;" | "&amp;C235)</f>
        <v/>
      </c>
      <c r="R235" s="0" t="str">
        <f aca="false">IF(B235="","",Q235&amp;"#"&amp;A235)</f>
        <v/>
      </c>
    </row>
    <row r="236" customFormat="false" ht="15" hidden="false" customHeight="false" outlineLevel="0" collapsed="false">
      <c r="A236" s="37"/>
      <c r="B236" s="10"/>
      <c r="C236" s="10"/>
      <c r="D236" s="10"/>
      <c r="E236" s="10"/>
      <c r="F236" s="6"/>
      <c r="G236" s="38"/>
      <c r="H236" s="38"/>
      <c r="I236" s="6"/>
      <c r="J236" s="38"/>
      <c r="K236" s="6"/>
      <c r="L236" s="25" t="str">
        <f aca="false">IF(B236="","",IFERROR(H236/G236,0))</f>
        <v/>
      </c>
      <c r="M236" s="7" t="str">
        <f aca="false">IF(B236="","",IFERROR(I236/H236,0))</f>
        <v/>
      </c>
      <c r="N236" s="25" t="str">
        <f aca="false">IF(B236="","",IFERROR(I236/K236,0))</f>
        <v/>
      </c>
      <c r="O236" s="26" t="str">
        <f aca="false">IF(B236="","",IFERROR(K236/I236,0))</f>
        <v/>
      </c>
      <c r="P236" s="10"/>
      <c r="Q236" s="4" t="str">
        <f aca="false">IF(B236="","",B236&amp;" | "&amp;C236)</f>
        <v/>
      </c>
      <c r="R236" s="0" t="str">
        <f aca="false">IF(B236="","",Q236&amp;"#"&amp;A236)</f>
        <v/>
      </c>
    </row>
    <row r="237" customFormat="false" ht="15" hidden="false" customHeight="false" outlineLevel="0" collapsed="false">
      <c r="A237" s="37"/>
      <c r="B237" s="10"/>
      <c r="C237" s="10"/>
      <c r="D237" s="10"/>
      <c r="E237" s="10"/>
      <c r="F237" s="6"/>
      <c r="G237" s="38"/>
      <c r="H237" s="38"/>
      <c r="I237" s="6"/>
      <c r="J237" s="38"/>
      <c r="K237" s="6"/>
      <c r="L237" s="25" t="str">
        <f aca="false">IF(B237="","",IFERROR(H237/G237,0))</f>
        <v/>
      </c>
      <c r="M237" s="7" t="str">
        <f aca="false">IF(B237="","",IFERROR(I237/H237,0))</f>
        <v/>
      </c>
      <c r="N237" s="25" t="str">
        <f aca="false">IF(B237="","",IFERROR(I237/K237,0))</f>
        <v/>
      </c>
      <c r="O237" s="26" t="str">
        <f aca="false">IF(B237="","",IFERROR(K237/I237,0))</f>
        <v/>
      </c>
      <c r="P237" s="10"/>
      <c r="Q237" s="4" t="str">
        <f aca="false">IF(B237="","",B237&amp;" | "&amp;C237)</f>
        <v/>
      </c>
      <c r="R237" s="0" t="str">
        <f aca="false">IF(B237="","",Q237&amp;"#"&amp;A237)</f>
        <v/>
      </c>
    </row>
    <row r="238" customFormat="false" ht="15" hidden="false" customHeight="false" outlineLevel="0" collapsed="false">
      <c r="A238" s="37"/>
      <c r="B238" s="10"/>
      <c r="C238" s="10"/>
      <c r="D238" s="10"/>
      <c r="E238" s="10"/>
      <c r="F238" s="6"/>
      <c r="G238" s="38"/>
      <c r="H238" s="38"/>
      <c r="I238" s="6"/>
      <c r="J238" s="38"/>
      <c r="K238" s="6"/>
      <c r="L238" s="25" t="str">
        <f aca="false">IF(B238="","",IFERROR(H238/G238,0))</f>
        <v/>
      </c>
      <c r="M238" s="7" t="str">
        <f aca="false">IF(B238="","",IFERROR(I238/H238,0))</f>
        <v/>
      </c>
      <c r="N238" s="25" t="str">
        <f aca="false">IF(B238="","",IFERROR(I238/K238,0))</f>
        <v/>
      </c>
      <c r="O238" s="26" t="str">
        <f aca="false">IF(B238="","",IFERROR(K238/I238,0))</f>
        <v/>
      </c>
      <c r="P238" s="10"/>
      <c r="Q238" s="4" t="str">
        <f aca="false">IF(B238="","",B238&amp;" | "&amp;C238)</f>
        <v/>
      </c>
      <c r="R238" s="0" t="str">
        <f aca="false">IF(B238="","",Q238&amp;"#"&amp;A238)</f>
        <v/>
      </c>
    </row>
    <row r="239" customFormat="false" ht="15" hidden="false" customHeight="false" outlineLevel="0" collapsed="false">
      <c r="A239" s="37"/>
      <c r="B239" s="10"/>
      <c r="C239" s="10"/>
      <c r="D239" s="10"/>
      <c r="E239" s="10"/>
      <c r="F239" s="6"/>
      <c r="G239" s="38"/>
      <c r="H239" s="38"/>
      <c r="I239" s="6"/>
      <c r="J239" s="38"/>
      <c r="K239" s="6"/>
      <c r="L239" s="25" t="str">
        <f aca="false">IF(B239="","",IFERROR(H239/G239,0))</f>
        <v/>
      </c>
      <c r="M239" s="7" t="str">
        <f aca="false">IF(B239="","",IFERROR(I239/H239,0))</f>
        <v/>
      </c>
      <c r="N239" s="25" t="str">
        <f aca="false">IF(B239="","",IFERROR(I239/K239,0))</f>
        <v/>
      </c>
      <c r="O239" s="26" t="str">
        <f aca="false">IF(B239="","",IFERROR(K239/I239,0))</f>
        <v/>
      </c>
      <c r="P239" s="10"/>
      <c r="Q239" s="4" t="str">
        <f aca="false">IF(B239="","",B239&amp;" | "&amp;C239)</f>
        <v/>
      </c>
      <c r="R239" s="0" t="str">
        <f aca="false">IF(B239="","",Q239&amp;"#"&amp;A239)</f>
        <v/>
      </c>
    </row>
    <row r="240" customFormat="false" ht="15" hidden="false" customHeight="false" outlineLevel="0" collapsed="false">
      <c r="A240" s="37"/>
      <c r="B240" s="10"/>
      <c r="C240" s="10"/>
      <c r="D240" s="10"/>
      <c r="E240" s="10"/>
      <c r="F240" s="6"/>
      <c r="G240" s="38"/>
      <c r="H240" s="38"/>
      <c r="I240" s="6"/>
      <c r="J240" s="38"/>
      <c r="K240" s="6"/>
      <c r="L240" s="25" t="str">
        <f aca="false">IF(B240="","",IFERROR(H240/G240,0))</f>
        <v/>
      </c>
      <c r="M240" s="7" t="str">
        <f aca="false">IF(B240="","",IFERROR(I240/H240,0))</f>
        <v/>
      </c>
      <c r="N240" s="25" t="str">
        <f aca="false">IF(B240="","",IFERROR(I240/K240,0))</f>
        <v/>
      </c>
      <c r="O240" s="26" t="str">
        <f aca="false">IF(B240="","",IFERROR(K240/I240,0))</f>
        <v/>
      </c>
      <c r="P240" s="10"/>
      <c r="Q240" s="4" t="str">
        <f aca="false">IF(B240="","",B240&amp;" | "&amp;C240)</f>
        <v/>
      </c>
      <c r="R240" s="0" t="str">
        <f aca="false">IF(B240="","",Q240&amp;"#"&amp;A240)</f>
        <v/>
      </c>
    </row>
    <row r="241" customFormat="false" ht="15" hidden="false" customHeight="false" outlineLevel="0" collapsed="false">
      <c r="A241" s="37"/>
      <c r="B241" s="10"/>
      <c r="C241" s="10"/>
      <c r="D241" s="10"/>
      <c r="E241" s="10"/>
      <c r="F241" s="6"/>
      <c r="G241" s="38"/>
      <c r="H241" s="38"/>
      <c r="I241" s="6"/>
      <c r="J241" s="38"/>
      <c r="K241" s="6"/>
      <c r="L241" s="25" t="str">
        <f aca="false">IF(B241="","",IFERROR(H241/G241,0))</f>
        <v/>
      </c>
      <c r="M241" s="7" t="str">
        <f aca="false">IF(B241="","",IFERROR(I241/H241,0))</f>
        <v/>
      </c>
      <c r="N241" s="25" t="str">
        <f aca="false">IF(B241="","",IFERROR(I241/K241,0))</f>
        <v/>
      </c>
      <c r="O241" s="26" t="str">
        <f aca="false">IF(B241="","",IFERROR(K241/I241,0))</f>
        <v/>
      </c>
      <c r="P241" s="10"/>
      <c r="Q241" s="4" t="str">
        <f aca="false">IF(B241="","",B241&amp;" | "&amp;C241)</f>
        <v/>
      </c>
      <c r="R241" s="0" t="str">
        <f aca="false">IF(B241="","",Q241&amp;"#"&amp;A241)</f>
        <v/>
      </c>
    </row>
    <row r="242" customFormat="false" ht="15" hidden="false" customHeight="false" outlineLevel="0" collapsed="false">
      <c r="A242" s="37"/>
      <c r="B242" s="10"/>
      <c r="C242" s="10"/>
      <c r="D242" s="10"/>
      <c r="E242" s="10"/>
      <c r="F242" s="6"/>
      <c r="G242" s="38"/>
      <c r="H242" s="38"/>
      <c r="I242" s="6"/>
      <c r="J242" s="38"/>
      <c r="K242" s="6"/>
      <c r="L242" s="25" t="str">
        <f aca="false">IF(B242="","",IFERROR(H242/G242,0))</f>
        <v/>
      </c>
      <c r="M242" s="7" t="str">
        <f aca="false">IF(B242="","",IFERROR(I242/H242,0))</f>
        <v/>
      </c>
      <c r="N242" s="25" t="str">
        <f aca="false">IF(B242="","",IFERROR(I242/K242,0))</f>
        <v/>
      </c>
      <c r="O242" s="26" t="str">
        <f aca="false">IF(B242="","",IFERROR(K242/I242,0))</f>
        <v/>
      </c>
      <c r="P242" s="10"/>
      <c r="Q242" s="4" t="str">
        <f aca="false">IF(B242="","",B242&amp;" | "&amp;C242)</f>
        <v/>
      </c>
      <c r="R242" s="0" t="str">
        <f aca="false">IF(B242="","",Q242&amp;"#"&amp;A242)</f>
        <v/>
      </c>
    </row>
    <row r="243" customFormat="false" ht="15" hidden="false" customHeight="false" outlineLevel="0" collapsed="false">
      <c r="A243" s="37"/>
      <c r="B243" s="10"/>
      <c r="C243" s="10"/>
      <c r="D243" s="10"/>
      <c r="E243" s="10"/>
      <c r="F243" s="6"/>
      <c r="G243" s="38"/>
      <c r="H243" s="38"/>
      <c r="I243" s="6"/>
      <c r="J243" s="38"/>
      <c r="K243" s="6"/>
      <c r="L243" s="25" t="str">
        <f aca="false">IF(B243="","",IFERROR(H243/G243,0))</f>
        <v/>
      </c>
      <c r="M243" s="7" t="str">
        <f aca="false">IF(B243="","",IFERROR(I243/H243,0))</f>
        <v/>
      </c>
      <c r="N243" s="25" t="str">
        <f aca="false">IF(B243="","",IFERROR(I243/K243,0))</f>
        <v/>
      </c>
      <c r="O243" s="26" t="str">
        <f aca="false">IF(B243="","",IFERROR(K243/I243,0))</f>
        <v/>
      </c>
      <c r="P243" s="10"/>
      <c r="Q243" s="4" t="str">
        <f aca="false">IF(B243="","",B243&amp;" | "&amp;C243)</f>
        <v/>
      </c>
      <c r="R243" s="0" t="str">
        <f aca="false">IF(B243="","",Q243&amp;"#"&amp;A243)</f>
        <v/>
      </c>
    </row>
    <row r="244" customFormat="false" ht="15" hidden="false" customHeight="false" outlineLevel="0" collapsed="false">
      <c r="A244" s="37"/>
      <c r="B244" s="10"/>
      <c r="C244" s="10"/>
      <c r="D244" s="10"/>
      <c r="E244" s="10"/>
      <c r="F244" s="6"/>
      <c r="G244" s="38"/>
      <c r="H244" s="38"/>
      <c r="I244" s="6"/>
      <c r="J244" s="38"/>
      <c r="K244" s="6"/>
      <c r="L244" s="25" t="str">
        <f aca="false">IF(B244="","",IFERROR(H244/G244,0))</f>
        <v/>
      </c>
      <c r="M244" s="7" t="str">
        <f aca="false">IF(B244="","",IFERROR(I244/H244,0))</f>
        <v/>
      </c>
      <c r="N244" s="25" t="str">
        <f aca="false">IF(B244="","",IFERROR(I244/K244,0))</f>
        <v/>
      </c>
      <c r="O244" s="26" t="str">
        <f aca="false">IF(B244="","",IFERROR(K244/I244,0))</f>
        <v/>
      </c>
      <c r="P244" s="10"/>
      <c r="Q244" s="4" t="str">
        <f aca="false">IF(B244="","",B244&amp;" | "&amp;C244)</f>
        <v/>
      </c>
      <c r="R244" s="0" t="str">
        <f aca="false">IF(B244="","",Q244&amp;"#"&amp;A244)</f>
        <v/>
      </c>
    </row>
    <row r="245" customFormat="false" ht="15" hidden="false" customHeight="false" outlineLevel="0" collapsed="false">
      <c r="A245" s="37"/>
      <c r="B245" s="10"/>
      <c r="C245" s="10"/>
      <c r="D245" s="10"/>
      <c r="E245" s="10"/>
      <c r="F245" s="6"/>
      <c r="G245" s="38"/>
      <c r="H245" s="38"/>
      <c r="I245" s="6"/>
      <c r="J245" s="38"/>
      <c r="K245" s="6"/>
      <c r="L245" s="25" t="str">
        <f aca="false">IF(B245="","",IFERROR(H245/G245,0))</f>
        <v/>
      </c>
      <c r="M245" s="7" t="str">
        <f aca="false">IF(B245="","",IFERROR(I245/H245,0))</f>
        <v/>
      </c>
      <c r="N245" s="25" t="str">
        <f aca="false">IF(B245="","",IFERROR(I245/K245,0))</f>
        <v/>
      </c>
      <c r="O245" s="26" t="str">
        <f aca="false">IF(B245="","",IFERROR(K245/I245,0))</f>
        <v/>
      </c>
      <c r="P245" s="10"/>
      <c r="Q245" s="4" t="str">
        <f aca="false">IF(B245="","",B245&amp;" | "&amp;C245)</f>
        <v/>
      </c>
      <c r="R245" s="0" t="str">
        <f aca="false">IF(B245="","",Q245&amp;"#"&amp;A245)</f>
        <v/>
      </c>
    </row>
    <row r="246" customFormat="false" ht="15" hidden="false" customHeight="false" outlineLevel="0" collapsed="false">
      <c r="A246" s="37"/>
      <c r="B246" s="10"/>
      <c r="C246" s="10"/>
      <c r="D246" s="10"/>
      <c r="E246" s="10"/>
      <c r="F246" s="6"/>
      <c r="G246" s="38"/>
      <c r="H246" s="38"/>
      <c r="I246" s="6"/>
      <c r="J246" s="38"/>
      <c r="K246" s="6"/>
      <c r="L246" s="25" t="str">
        <f aca="false">IF(B246="","",IFERROR(H246/G246,0))</f>
        <v/>
      </c>
      <c r="M246" s="7" t="str">
        <f aca="false">IF(B246="","",IFERROR(I246/H246,0))</f>
        <v/>
      </c>
      <c r="N246" s="25" t="str">
        <f aca="false">IF(B246="","",IFERROR(I246/K246,0))</f>
        <v/>
      </c>
      <c r="O246" s="26" t="str">
        <f aca="false">IF(B246="","",IFERROR(K246/I246,0))</f>
        <v/>
      </c>
      <c r="P246" s="10"/>
      <c r="Q246" s="4" t="str">
        <f aca="false">IF(B246="","",B246&amp;" | "&amp;C246)</f>
        <v/>
      </c>
      <c r="R246" s="0" t="str">
        <f aca="false">IF(B246="","",Q246&amp;"#"&amp;A246)</f>
        <v/>
      </c>
    </row>
    <row r="247" customFormat="false" ht="15" hidden="false" customHeight="false" outlineLevel="0" collapsed="false">
      <c r="A247" s="37"/>
      <c r="B247" s="10"/>
      <c r="C247" s="10"/>
      <c r="D247" s="10"/>
      <c r="E247" s="10"/>
      <c r="F247" s="6"/>
      <c r="G247" s="38"/>
      <c r="H247" s="38"/>
      <c r="I247" s="6"/>
      <c r="J247" s="38"/>
      <c r="K247" s="6"/>
      <c r="L247" s="25" t="str">
        <f aca="false">IF(B247="","",IFERROR(H247/G247,0))</f>
        <v/>
      </c>
      <c r="M247" s="7" t="str">
        <f aca="false">IF(B247="","",IFERROR(I247/H247,0))</f>
        <v/>
      </c>
      <c r="N247" s="25" t="str">
        <f aca="false">IF(B247="","",IFERROR(I247/K247,0))</f>
        <v/>
      </c>
      <c r="O247" s="26" t="str">
        <f aca="false">IF(B247="","",IFERROR(K247/I247,0))</f>
        <v/>
      </c>
      <c r="P247" s="10"/>
      <c r="Q247" s="4" t="str">
        <f aca="false">IF(B247="","",B247&amp;" | "&amp;C247)</f>
        <v/>
      </c>
      <c r="R247" s="0" t="str">
        <f aca="false">IF(B247="","",Q247&amp;"#"&amp;A247)</f>
        <v/>
      </c>
    </row>
    <row r="248" customFormat="false" ht="15" hidden="false" customHeight="false" outlineLevel="0" collapsed="false">
      <c r="A248" s="37"/>
      <c r="B248" s="10"/>
      <c r="C248" s="10"/>
      <c r="D248" s="10"/>
      <c r="E248" s="10"/>
      <c r="F248" s="6"/>
      <c r="G248" s="38"/>
      <c r="H248" s="38"/>
      <c r="I248" s="6"/>
      <c r="J248" s="38"/>
      <c r="K248" s="6"/>
      <c r="L248" s="25" t="str">
        <f aca="false">IF(B248="","",IFERROR(H248/G248,0))</f>
        <v/>
      </c>
      <c r="M248" s="7" t="str">
        <f aca="false">IF(B248="","",IFERROR(I248/H248,0))</f>
        <v/>
      </c>
      <c r="N248" s="25" t="str">
        <f aca="false">IF(B248="","",IFERROR(I248/K248,0))</f>
        <v/>
      </c>
      <c r="O248" s="26" t="str">
        <f aca="false">IF(B248="","",IFERROR(K248/I248,0))</f>
        <v/>
      </c>
      <c r="P248" s="10"/>
      <c r="Q248" s="4" t="str">
        <f aca="false">IF(B248="","",B248&amp;" | "&amp;C248)</f>
        <v/>
      </c>
      <c r="R248" s="0" t="str">
        <f aca="false">IF(B248="","",Q248&amp;"#"&amp;A248)</f>
        <v/>
      </c>
    </row>
    <row r="249" customFormat="false" ht="15" hidden="false" customHeight="false" outlineLevel="0" collapsed="false">
      <c r="A249" s="37"/>
      <c r="B249" s="10"/>
      <c r="C249" s="10"/>
      <c r="D249" s="10"/>
      <c r="E249" s="10"/>
      <c r="F249" s="6"/>
      <c r="G249" s="38"/>
      <c r="H249" s="38"/>
      <c r="I249" s="6"/>
      <c r="J249" s="38"/>
      <c r="K249" s="6"/>
      <c r="L249" s="25" t="str">
        <f aca="false">IF(B249="","",IFERROR(H249/G249,0))</f>
        <v/>
      </c>
      <c r="M249" s="7" t="str">
        <f aca="false">IF(B249="","",IFERROR(I249/H249,0))</f>
        <v/>
      </c>
      <c r="N249" s="25" t="str">
        <f aca="false">IF(B249="","",IFERROR(I249/K249,0))</f>
        <v/>
      </c>
      <c r="O249" s="26" t="str">
        <f aca="false">IF(B249="","",IFERROR(K249/I249,0))</f>
        <v/>
      </c>
      <c r="P249" s="10"/>
      <c r="Q249" s="4" t="str">
        <f aca="false">IF(B249="","",B249&amp;" | "&amp;C249)</f>
        <v/>
      </c>
      <c r="R249" s="0" t="str">
        <f aca="false">IF(B249="","",Q249&amp;"#"&amp;A249)</f>
        <v/>
      </c>
    </row>
    <row r="250" customFormat="false" ht="15" hidden="false" customHeight="false" outlineLevel="0" collapsed="false">
      <c r="A250" s="37"/>
      <c r="B250" s="10"/>
      <c r="C250" s="10"/>
      <c r="D250" s="10"/>
      <c r="E250" s="10"/>
      <c r="F250" s="6"/>
      <c r="G250" s="38"/>
      <c r="H250" s="38"/>
      <c r="I250" s="6"/>
      <c r="J250" s="38"/>
      <c r="K250" s="6"/>
      <c r="L250" s="25" t="str">
        <f aca="false">IF(B250="","",IFERROR(H250/G250,0))</f>
        <v/>
      </c>
      <c r="M250" s="7" t="str">
        <f aca="false">IF(B250="","",IFERROR(I250/H250,0))</f>
        <v/>
      </c>
      <c r="N250" s="25" t="str">
        <f aca="false">IF(B250="","",IFERROR(I250/K250,0))</f>
        <v/>
      </c>
      <c r="O250" s="26" t="str">
        <f aca="false">IF(B250="","",IFERROR(K250/I250,0))</f>
        <v/>
      </c>
      <c r="P250" s="10"/>
      <c r="Q250" s="4" t="str">
        <f aca="false">IF(B250="","",B250&amp;" | "&amp;C250)</f>
        <v/>
      </c>
      <c r="R250" s="0" t="str">
        <f aca="false">IF(B250="","",Q250&amp;"#"&amp;A250)</f>
        <v/>
      </c>
    </row>
    <row r="251" customFormat="false" ht="15" hidden="false" customHeight="false" outlineLevel="0" collapsed="false">
      <c r="A251" s="37"/>
      <c r="B251" s="10"/>
      <c r="C251" s="10"/>
      <c r="D251" s="10"/>
      <c r="E251" s="10"/>
      <c r="F251" s="6"/>
      <c r="G251" s="38"/>
      <c r="H251" s="38"/>
      <c r="I251" s="6"/>
      <c r="J251" s="38"/>
      <c r="K251" s="6"/>
      <c r="L251" s="25" t="str">
        <f aca="false">IF(B251="","",IFERROR(H251/G251,0))</f>
        <v/>
      </c>
      <c r="M251" s="7" t="str">
        <f aca="false">IF(B251="","",IFERROR(I251/H251,0))</f>
        <v/>
      </c>
      <c r="N251" s="25" t="str">
        <f aca="false">IF(B251="","",IFERROR(I251/K251,0))</f>
        <v/>
      </c>
      <c r="O251" s="26" t="str">
        <f aca="false">IF(B251="","",IFERROR(K251/I251,0))</f>
        <v/>
      </c>
      <c r="P251" s="10"/>
      <c r="Q251" s="4" t="str">
        <f aca="false">IF(B251="","",B251&amp;" | "&amp;C251)</f>
        <v/>
      </c>
      <c r="R251" s="0" t="str">
        <f aca="false">IF(B251="","",Q251&amp;"#"&amp;A251)</f>
        <v/>
      </c>
    </row>
    <row r="252" customFormat="false" ht="15" hidden="false" customHeight="false" outlineLevel="0" collapsed="false">
      <c r="A252" s="37"/>
      <c r="B252" s="10"/>
      <c r="C252" s="10"/>
      <c r="D252" s="10"/>
      <c r="E252" s="10"/>
      <c r="F252" s="6"/>
      <c r="G252" s="38"/>
      <c r="H252" s="38"/>
      <c r="I252" s="6"/>
      <c r="J252" s="38"/>
      <c r="K252" s="6"/>
      <c r="L252" s="25" t="str">
        <f aca="false">IF(B252="","",IFERROR(H252/G252,0))</f>
        <v/>
      </c>
      <c r="M252" s="7" t="str">
        <f aca="false">IF(B252="","",IFERROR(I252/H252,0))</f>
        <v/>
      </c>
      <c r="N252" s="25" t="str">
        <f aca="false">IF(B252="","",IFERROR(I252/K252,0))</f>
        <v/>
      </c>
      <c r="O252" s="26" t="str">
        <f aca="false">IF(B252="","",IFERROR(K252/I252,0))</f>
        <v/>
      </c>
      <c r="P252" s="10"/>
      <c r="Q252" s="4" t="str">
        <f aca="false">IF(B252="","",B252&amp;" | "&amp;C252)</f>
        <v/>
      </c>
      <c r="R252" s="0" t="str">
        <f aca="false">IF(B252="","",Q252&amp;"#"&amp;A252)</f>
        <v/>
      </c>
    </row>
    <row r="253" customFormat="false" ht="15" hidden="false" customHeight="false" outlineLevel="0" collapsed="false">
      <c r="A253" s="37"/>
      <c r="B253" s="10"/>
      <c r="C253" s="10"/>
      <c r="D253" s="10"/>
      <c r="E253" s="10"/>
      <c r="F253" s="6"/>
      <c r="G253" s="38"/>
      <c r="H253" s="38"/>
      <c r="I253" s="6"/>
      <c r="J253" s="38"/>
      <c r="K253" s="6"/>
      <c r="L253" s="25" t="str">
        <f aca="false">IF(B253="","",IFERROR(H253/G253,0))</f>
        <v/>
      </c>
      <c r="M253" s="7" t="str">
        <f aca="false">IF(B253="","",IFERROR(I253/H253,0))</f>
        <v/>
      </c>
      <c r="N253" s="25" t="str">
        <f aca="false">IF(B253="","",IFERROR(I253/K253,0))</f>
        <v/>
      </c>
      <c r="O253" s="26" t="str">
        <f aca="false">IF(B253="","",IFERROR(K253/I253,0))</f>
        <v/>
      </c>
      <c r="P253" s="10"/>
      <c r="Q253" s="4" t="str">
        <f aca="false">IF(B253="","",B253&amp;" | "&amp;C253)</f>
        <v/>
      </c>
      <c r="R253" s="0" t="str">
        <f aca="false">IF(B253="","",Q253&amp;"#"&amp;A253)</f>
        <v/>
      </c>
    </row>
    <row r="254" customFormat="false" ht="15" hidden="false" customHeight="false" outlineLevel="0" collapsed="false">
      <c r="A254" s="37"/>
      <c r="B254" s="10"/>
      <c r="C254" s="10"/>
      <c r="D254" s="10"/>
      <c r="E254" s="10"/>
      <c r="F254" s="6"/>
      <c r="G254" s="38"/>
      <c r="H254" s="38"/>
      <c r="I254" s="6"/>
      <c r="J254" s="38"/>
      <c r="K254" s="6"/>
      <c r="L254" s="25" t="str">
        <f aca="false">IF(B254="","",IFERROR(H254/G254,0))</f>
        <v/>
      </c>
      <c r="M254" s="7" t="str">
        <f aca="false">IF(B254="","",IFERROR(I254/H254,0))</f>
        <v/>
      </c>
      <c r="N254" s="25" t="str">
        <f aca="false">IF(B254="","",IFERROR(I254/K254,0))</f>
        <v/>
      </c>
      <c r="O254" s="26" t="str">
        <f aca="false">IF(B254="","",IFERROR(K254/I254,0))</f>
        <v/>
      </c>
      <c r="P254" s="10"/>
      <c r="Q254" s="4" t="str">
        <f aca="false">IF(B254="","",B254&amp;" | "&amp;C254)</f>
        <v/>
      </c>
      <c r="R254" s="0" t="str">
        <f aca="false">IF(B254="","",Q254&amp;"#"&amp;A254)</f>
        <v/>
      </c>
    </row>
    <row r="255" customFormat="false" ht="15" hidden="false" customHeight="false" outlineLevel="0" collapsed="false">
      <c r="A255" s="37"/>
      <c r="B255" s="10"/>
      <c r="C255" s="10"/>
      <c r="D255" s="10"/>
      <c r="E255" s="10"/>
      <c r="F255" s="6"/>
      <c r="G255" s="38"/>
      <c r="H255" s="38"/>
      <c r="I255" s="6"/>
      <c r="J255" s="38"/>
      <c r="K255" s="6"/>
      <c r="L255" s="25" t="str">
        <f aca="false">IF(B255="","",IFERROR(H255/G255,0))</f>
        <v/>
      </c>
      <c r="M255" s="7" t="str">
        <f aca="false">IF(B255="","",IFERROR(I255/H255,0))</f>
        <v/>
      </c>
      <c r="N255" s="25" t="str">
        <f aca="false">IF(B255="","",IFERROR(I255/K255,0))</f>
        <v/>
      </c>
      <c r="O255" s="26" t="str">
        <f aca="false">IF(B255="","",IFERROR(K255/I255,0))</f>
        <v/>
      </c>
      <c r="P255" s="10"/>
      <c r="Q255" s="4" t="str">
        <f aca="false">IF(B255="","",B255&amp;" | "&amp;C255)</f>
        <v/>
      </c>
      <c r="R255" s="0" t="str">
        <f aca="false">IF(B255="","",Q255&amp;"#"&amp;A255)</f>
        <v/>
      </c>
    </row>
    <row r="256" customFormat="false" ht="15" hidden="false" customHeight="false" outlineLevel="0" collapsed="false">
      <c r="A256" s="37"/>
      <c r="B256" s="10"/>
      <c r="C256" s="10"/>
      <c r="D256" s="10"/>
      <c r="E256" s="10"/>
      <c r="F256" s="6"/>
      <c r="G256" s="38"/>
      <c r="H256" s="38"/>
      <c r="I256" s="6"/>
      <c r="J256" s="38"/>
      <c r="K256" s="6"/>
      <c r="L256" s="25" t="str">
        <f aca="false">IF(B256="","",IFERROR(H256/G256,0))</f>
        <v/>
      </c>
      <c r="M256" s="7" t="str">
        <f aca="false">IF(B256="","",IFERROR(I256/H256,0))</f>
        <v/>
      </c>
      <c r="N256" s="25" t="str">
        <f aca="false">IF(B256="","",IFERROR(I256/K256,0))</f>
        <v/>
      </c>
      <c r="O256" s="26" t="str">
        <f aca="false">IF(B256="","",IFERROR(K256/I256,0))</f>
        <v/>
      </c>
      <c r="P256" s="10"/>
      <c r="Q256" s="4" t="str">
        <f aca="false">IF(B256="","",B256&amp;" | "&amp;C256)</f>
        <v/>
      </c>
      <c r="R256" s="0" t="str">
        <f aca="false">IF(B256="","",Q256&amp;"#"&amp;A256)</f>
        <v/>
      </c>
    </row>
    <row r="257" customFormat="false" ht="15" hidden="false" customHeight="false" outlineLevel="0" collapsed="false">
      <c r="A257" s="37"/>
      <c r="B257" s="10"/>
      <c r="C257" s="10"/>
      <c r="D257" s="10"/>
      <c r="E257" s="10"/>
      <c r="F257" s="6"/>
      <c r="G257" s="38"/>
      <c r="H257" s="38"/>
      <c r="I257" s="6"/>
      <c r="J257" s="38"/>
      <c r="K257" s="6"/>
      <c r="L257" s="25" t="str">
        <f aca="false">IF(B257="","",IFERROR(H257/G257,0))</f>
        <v/>
      </c>
      <c r="M257" s="7" t="str">
        <f aca="false">IF(B257="","",IFERROR(I257/H257,0))</f>
        <v/>
      </c>
      <c r="N257" s="25" t="str">
        <f aca="false">IF(B257="","",IFERROR(I257/K257,0))</f>
        <v/>
      </c>
      <c r="O257" s="26" t="str">
        <f aca="false">IF(B257="","",IFERROR(K257/I257,0))</f>
        <v/>
      </c>
      <c r="P257" s="10"/>
      <c r="Q257" s="4" t="str">
        <f aca="false">IF(B257="","",B257&amp;" | "&amp;C257)</f>
        <v/>
      </c>
      <c r="R257" s="0" t="str">
        <f aca="false">IF(B257="","",Q257&amp;"#"&amp;A257)</f>
        <v/>
      </c>
    </row>
    <row r="258" customFormat="false" ht="15" hidden="false" customHeight="false" outlineLevel="0" collapsed="false">
      <c r="A258" s="37"/>
      <c r="B258" s="10"/>
      <c r="C258" s="10"/>
      <c r="D258" s="10"/>
      <c r="E258" s="10"/>
      <c r="F258" s="6"/>
      <c r="G258" s="38"/>
      <c r="H258" s="38"/>
      <c r="I258" s="6"/>
      <c r="J258" s="38"/>
      <c r="K258" s="6"/>
      <c r="L258" s="25" t="str">
        <f aca="false">IF(B258="","",IFERROR(H258/G258,0))</f>
        <v/>
      </c>
      <c r="M258" s="7" t="str">
        <f aca="false">IF(B258="","",IFERROR(I258/H258,0))</f>
        <v/>
      </c>
      <c r="N258" s="25" t="str">
        <f aca="false">IF(B258="","",IFERROR(I258/K258,0))</f>
        <v/>
      </c>
      <c r="O258" s="26" t="str">
        <f aca="false">IF(B258="","",IFERROR(K258/I258,0))</f>
        <v/>
      </c>
      <c r="P258" s="10"/>
      <c r="Q258" s="4" t="str">
        <f aca="false">IF(B258="","",B258&amp;" | "&amp;C258)</f>
        <v/>
      </c>
      <c r="R258" s="0" t="str">
        <f aca="false">IF(B258="","",Q258&amp;"#"&amp;A258)</f>
        <v/>
      </c>
    </row>
    <row r="259" customFormat="false" ht="15" hidden="false" customHeight="false" outlineLevel="0" collapsed="false">
      <c r="A259" s="37"/>
      <c r="B259" s="10"/>
      <c r="C259" s="10"/>
      <c r="D259" s="10"/>
      <c r="E259" s="10"/>
      <c r="F259" s="6"/>
      <c r="G259" s="38"/>
      <c r="H259" s="38"/>
      <c r="I259" s="6"/>
      <c r="J259" s="38"/>
      <c r="K259" s="6"/>
      <c r="L259" s="25" t="str">
        <f aca="false">IF(B259="","",IFERROR(H259/G259,0))</f>
        <v/>
      </c>
      <c r="M259" s="7" t="str">
        <f aca="false">IF(B259="","",IFERROR(I259/H259,0))</f>
        <v/>
      </c>
      <c r="N259" s="25" t="str">
        <f aca="false">IF(B259="","",IFERROR(I259/K259,0))</f>
        <v/>
      </c>
      <c r="O259" s="26" t="str">
        <f aca="false">IF(B259="","",IFERROR(K259/I259,0))</f>
        <v/>
      </c>
      <c r="P259" s="10"/>
      <c r="Q259" s="4" t="str">
        <f aca="false">IF(B259="","",B259&amp;" | "&amp;C259)</f>
        <v/>
      </c>
      <c r="R259" s="0" t="str">
        <f aca="false">IF(B259="","",Q259&amp;"#"&amp;A259)</f>
        <v/>
      </c>
    </row>
    <row r="260" customFormat="false" ht="15" hidden="false" customHeight="false" outlineLevel="0" collapsed="false">
      <c r="A260" s="37"/>
      <c r="B260" s="10"/>
      <c r="C260" s="10"/>
      <c r="D260" s="10"/>
      <c r="E260" s="10"/>
      <c r="F260" s="6"/>
      <c r="G260" s="38"/>
      <c r="H260" s="38"/>
      <c r="I260" s="6"/>
      <c r="J260" s="38"/>
      <c r="K260" s="6"/>
      <c r="L260" s="25" t="str">
        <f aca="false">IF(B260="","",IFERROR(H260/G260,0))</f>
        <v/>
      </c>
      <c r="M260" s="7" t="str">
        <f aca="false">IF(B260="","",IFERROR(I260/H260,0))</f>
        <v/>
      </c>
      <c r="N260" s="25" t="str">
        <f aca="false">IF(B260="","",IFERROR(I260/K260,0))</f>
        <v/>
      </c>
      <c r="O260" s="26" t="str">
        <f aca="false">IF(B260="","",IFERROR(K260/I260,0))</f>
        <v/>
      </c>
      <c r="P260" s="10"/>
      <c r="Q260" s="4" t="str">
        <f aca="false">IF(B260="","",B260&amp;" | "&amp;C260)</f>
        <v/>
      </c>
      <c r="R260" s="0" t="str">
        <f aca="false">IF(B260="","",Q260&amp;"#"&amp;A260)</f>
        <v/>
      </c>
    </row>
    <row r="261" customFormat="false" ht="15" hidden="false" customHeight="false" outlineLevel="0" collapsed="false">
      <c r="A261" s="37"/>
      <c r="B261" s="10"/>
      <c r="C261" s="10"/>
      <c r="D261" s="10"/>
      <c r="E261" s="10"/>
      <c r="F261" s="6"/>
      <c r="G261" s="38"/>
      <c r="H261" s="38"/>
      <c r="I261" s="6"/>
      <c r="J261" s="38"/>
      <c r="K261" s="6"/>
      <c r="L261" s="25" t="str">
        <f aca="false">IF(B261="","",IFERROR(H261/G261,0))</f>
        <v/>
      </c>
      <c r="M261" s="7" t="str">
        <f aca="false">IF(B261="","",IFERROR(I261/H261,0))</f>
        <v/>
      </c>
      <c r="N261" s="25" t="str">
        <f aca="false">IF(B261="","",IFERROR(I261/K261,0))</f>
        <v/>
      </c>
      <c r="O261" s="26" t="str">
        <f aca="false">IF(B261="","",IFERROR(K261/I261,0))</f>
        <v/>
      </c>
      <c r="P261" s="10"/>
      <c r="Q261" s="4" t="str">
        <f aca="false">IF(B261="","",B261&amp;" | "&amp;C261)</f>
        <v/>
      </c>
      <c r="R261" s="0" t="str">
        <f aca="false">IF(B261="","",Q261&amp;"#"&amp;A261)</f>
        <v/>
      </c>
    </row>
    <row r="262" customFormat="false" ht="15" hidden="false" customHeight="false" outlineLevel="0" collapsed="false">
      <c r="A262" s="37"/>
      <c r="B262" s="10"/>
      <c r="C262" s="10"/>
      <c r="D262" s="10"/>
      <c r="E262" s="10"/>
      <c r="F262" s="6"/>
      <c r="G262" s="38"/>
      <c r="H262" s="38"/>
      <c r="I262" s="6"/>
      <c r="J262" s="38"/>
      <c r="K262" s="6"/>
      <c r="L262" s="25" t="str">
        <f aca="false">IF(B262="","",IFERROR(H262/G262,0))</f>
        <v/>
      </c>
      <c r="M262" s="7" t="str">
        <f aca="false">IF(B262="","",IFERROR(I262/H262,0))</f>
        <v/>
      </c>
      <c r="N262" s="25" t="str">
        <f aca="false">IF(B262="","",IFERROR(I262/K262,0))</f>
        <v/>
      </c>
      <c r="O262" s="26" t="str">
        <f aca="false">IF(B262="","",IFERROR(K262/I262,0))</f>
        <v/>
      </c>
      <c r="P262" s="10"/>
      <c r="Q262" s="4" t="str">
        <f aca="false">IF(B262="","",B262&amp;" | "&amp;C262)</f>
        <v/>
      </c>
      <c r="R262" s="0" t="str">
        <f aca="false">IF(B262="","",Q262&amp;"#"&amp;A262)</f>
        <v/>
      </c>
    </row>
    <row r="263" customFormat="false" ht="15" hidden="false" customHeight="false" outlineLevel="0" collapsed="false">
      <c r="A263" s="37"/>
      <c r="B263" s="10"/>
      <c r="C263" s="10"/>
      <c r="D263" s="10"/>
      <c r="E263" s="10"/>
      <c r="F263" s="6"/>
      <c r="G263" s="38"/>
      <c r="H263" s="38"/>
      <c r="I263" s="6"/>
      <c r="J263" s="38"/>
      <c r="K263" s="6"/>
      <c r="L263" s="25" t="str">
        <f aca="false">IF(B263="","",IFERROR(H263/G263,0))</f>
        <v/>
      </c>
      <c r="M263" s="7" t="str">
        <f aca="false">IF(B263="","",IFERROR(I263/H263,0))</f>
        <v/>
      </c>
      <c r="N263" s="25" t="str">
        <f aca="false">IF(B263="","",IFERROR(I263/K263,0))</f>
        <v/>
      </c>
      <c r="O263" s="26" t="str">
        <f aca="false">IF(B263="","",IFERROR(K263/I263,0))</f>
        <v/>
      </c>
      <c r="P263" s="10"/>
      <c r="Q263" s="4" t="str">
        <f aca="false">IF(B263="","",B263&amp;" | "&amp;C263)</f>
        <v/>
      </c>
      <c r="R263" s="0" t="str">
        <f aca="false">IF(B263="","",Q263&amp;"#"&amp;A263)</f>
        <v/>
      </c>
    </row>
    <row r="264" customFormat="false" ht="15" hidden="false" customHeight="false" outlineLevel="0" collapsed="false">
      <c r="A264" s="37"/>
      <c r="B264" s="10"/>
      <c r="C264" s="10"/>
      <c r="D264" s="10"/>
      <c r="E264" s="10"/>
      <c r="F264" s="6"/>
      <c r="G264" s="38"/>
      <c r="H264" s="38"/>
      <c r="I264" s="6"/>
      <c r="J264" s="38"/>
      <c r="K264" s="6"/>
      <c r="L264" s="25" t="str">
        <f aca="false">IF(B264="","",IFERROR(H264/G264,0))</f>
        <v/>
      </c>
      <c r="M264" s="7" t="str">
        <f aca="false">IF(B264="","",IFERROR(I264/H264,0))</f>
        <v/>
      </c>
      <c r="N264" s="25" t="str">
        <f aca="false">IF(B264="","",IFERROR(I264/K264,0))</f>
        <v/>
      </c>
      <c r="O264" s="26" t="str">
        <f aca="false">IF(B264="","",IFERROR(K264/I264,0))</f>
        <v/>
      </c>
      <c r="P264" s="10"/>
      <c r="Q264" s="4" t="str">
        <f aca="false">IF(B264="","",B264&amp;" | "&amp;C264)</f>
        <v/>
      </c>
      <c r="R264" s="0" t="str">
        <f aca="false">IF(B264="","",Q264&amp;"#"&amp;A264)</f>
        <v/>
      </c>
    </row>
    <row r="265" customFormat="false" ht="15" hidden="false" customHeight="false" outlineLevel="0" collapsed="false">
      <c r="A265" s="37"/>
      <c r="B265" s="10"/>
      <c r="C265" s="10"/>
      <c r="D265" s="10"/>
      <c r="E265" s="10"/>
      <c r="F265" s="6"/>
      <c r="G265" s="38"/>
      <c r="H265" s="38"/>
      <c r="I265" s="6"/>
      <c r="J265" s="38"/>
      <c r="K265" s="6"/>
      <c r="L265" s="25" t="str">
        <f aca="false">IF(B265="","",IFERROR(H265/G265,0))</f>
        <v/>
      </c>
      <c r="M265" s="7" t="str">
        <f aca="false">IF(B265="","",IFERROR(I265/H265,0))</f>
        <v/>
      </c>
      <c r="N265" s="25" t="str">
        <f aca="false">IF(B265="","",IFERROR(I265/K265,0))</f>
        <v/>
      </c>
      <c r="O265" s="26" t="str">
        <f aca="false">IF(B265="","",IFERROR(K265/I265,0))</f>
        <v/>
      </c>
      <c r="P265" s="10"/>
      <c r="Q265" s="4" t="str">
        <f aca="false">IF(B265="","",B265&amp;" | "&amp;C265)</f>
        <v/>
      </c>
      <c r="R265" s="0" t="str">
        <f aca="false">IF(B265="","",Q265&amp;"#"&amp;A265)</f>
        <v/>
      </c>
    </row>
    <row r="266" customFormat="false" ht="15" hidden="false" customHeight="false" outlineLevel="0" collapsed="false">
      <c r="A266" s="37"/>
      <c r="B266" s="10"/>
      <c r="C266" s="10"/>
      <c r="D266" s="10"/>
      <c r="E266" s="10"/>
      <c r="F266" s="6"/>
      <c r="G266" s="38"/>
      <c r="H266" s="38"/>
      <c r="I266" s="6"/>
      <c r="J266" s="38"/>
      <c r="K266" s="6"/>
      <c r="L266" s="25" t="str">
        <f aca="false">IF(B266="","",IFERROR(H266/G266,0))</f>
        <v/>
      </c>
      <c r="M266" s="7" t="str">
        <f aca="false">IF(B266="","",IFERROR(I266/H266,0))</f>
        <v/>
      </c>
      <c r="N266" s="25" t="str">
        <f aca="false">IF(B266="","",IFERROR(I266/K266,0))</f>
        <v/>
      </c>
      <c r="O266" s="26" t="str">
        <f aca="false">IF(B266="","",IFERROR(K266/I266,0))</f>
        <v/>
      </c>
      <c r="P266" s="10"/>
      <c r="Q266" s="4" t="str">
        <f aca="false">IF(B266="","",B266&amp;" | "&amp;C266)</f>
        <v/>
      </c>
      <c r="R266" s="0" t="str">
        <f aca="false">IF(B266="","",Q266&amp;"#"&amp;A266)</f>
        <v/>
      </c>
    </row>
    <row r="267" customFormat="false" ht="15" hidden="false" customHeight="false" outlineLevel="0" collapsed="false">
      <c r="A267" s="37"/>
      <c r="B267" s="10"/>
      <c r="C267" s="10"/>
      <c r="D267" s="10"/>
      <c r="E267" s="10"/>
      <c r="F267" s="6"/>
      <c r="G267" s="38"/>
      <c r="H267" s="38"/>
      <c r="I267" s="6"/>
      <c r="J267" s="38"/>
      <c r="K267" s="6"/>
      <c r="L267" s="25" t="str">
        <f aca="false">IF(B267="","",IFERROR(H267/G267,0))</f>
        <v/>
      </c>
      <c r="M267" s="7" t="str">
        <f aca="false">IF(B267="","",IFERROR(I267/H267,0))</f>
        <v/>
      </c>
      <c r="N267" s="25" t="str">
        <f aca="false">IF(B267="","",IFERROR(I267/K267,0))</f>
        <v/>
      </c>
      <c r="O267" s="26" t="str">
        <f aca="false">IF(B267="","",IFERROR(K267/I267,0))</f>
        <v/>
      </c>
      <c r="P267" s="10"/>
      <c r="Q267" s="4" t="str">
        <f aca="false">IF(B267="","",B267&amp;" | "&amp;C267)</f>
        <v/>
      </c>
      <c r="R267" s="0" t="str">
        <f aca="false">IF(B267="","",Q267&amp;"#"&amp;A267)</f>
        <v/>
      </c>
    </row>
    <row r="268" customFormat="false" ht="15" hidden="false" customHeight="false" outlineLevel="0" collapsed="false">
      <c r="A268" s="37"/>
      <c r="B268" s="10"/>
      <c r="C268" s="10"/>
      <c r="D268" s="10"/>
      <c r="E268" s="10"/>
      <c r="F268" s="6"/>
      <c r="G268" s="38"/>
      <c r="H268" s="38"/>
      <c r="I268" s="6"/>
      <c r="J268" s="38"/>
      <c r="K268" s="6"/>
      <c r="L268" s="25" t="str">
        <f aca="false">IF(B268="","",IFERROR(H268/G268,0))</f>
        <v/>
      </c>
      <c r="M268" s="7" t="str">
        <f aca="false">IF(B268="","",IFERROR(I268/H268,0))</f>
        <v/>
      </c>
      <c r="N268" s="25" t="str">
        <f aca="false">IF(B268="","",IFERROR(I268/K268,0))</f>
        <v/>
      </c>
      <c r="O268" s="26" t="str">
        <f aca="false">IF(B268="","",IFERROR(K268/I268,0))</f>
        <v/>
      </c>
      <c r="P268" s="10"/>
      <c r="Q268" s="4" t="str">
        <f aca="false">IF(B268="","",B268&amp;" | "&amp;C268)</f>
        <v/>
      </c>
      <c r="R268" s="0" t="str">
        <f aca="false">IF(B268="","",Q268&amp;"#"&amp;A268)</f>
        <v/>
      </c>
    </row>
    <row r="269" customFormat="false" ht="15" hidden="false" customHeight="false" outlineLevel="0" collapsed="false">
      <c r="A269" s="37"/>
      <c r="B269" s="10"/>
      <c r="C269" s="10"/>
      <c r="D269" s="10"/>
      <c r="E269" s="10"/>
      <c r="F269" s="6"/>
      <c r="G269" s="38"/>
      <c r="H269" s="38"/>
      <c r="I269" s="6"/>
      <c r="J269" s="38"/>
      <c r="K269" s="6"/>
      <c r="L269" s="25" t="str">
        <f aca="false">IF(B269="","",IFERROR(H269/G269,0))</f>
        <v/>
      </c>
      <c r="M269" s="7" t="str">
        <f aca="false">IF(B269="","",IFERROR(I269/H269,0))</f>
        <v/>
      </c>
      <c r="N269" s="25" t="str">
        <f aca="false">IF(B269="","",IFERROR(I269/K269,0))</f>
        <v/>
      </c>
      <c r="O269" s="26" t="str">
        <f aca="false">IF(B269="","",IFERROR(K269/I269,0))</f>
        <v/>
      </c>
      <c r="P269" s="10"/>
      <c r="Q269" s="4" t="str">
        <f aca="false">IF(B269="","",B269&amp;" | "&amp;C269)</f>
        <v/>
      </c>
      <c r="R269" s="0" t="str">
        <f aca="false">IF(B269="","",Q269&amp;"#"&amp;A269)</f>
        <v/>
      </c>
    </row>
    <row r="270" customFormat="false" ht="15" hidden="false" customHeight="false" outlineLevel="0" collapsed="false">
      <c r="A270" s="37"/>
      <c r="B270" s="10"/>
      <c r="C270" s="10"/>
      <c r="D270" s="10"/>
      <c r="E270" s="10"/>
      <c r="F270" s="6"/>
      <c r="G270" s="38"/>
      <c r="H270" s="38"/>
      <c r="I270" s="6"/>
      <c r="J270" s="38"/>
      <c r="K270" s="6"/>
      <c r="L270" s="25" t="str">
        <f aca="false">IF(B270="","",IFERROR(H270/G270,0))</f>
        <v/>
      </c>
      <c r="M270" s="7" t="str">
        <f aca="false">IF(B270="","",IFERROR(I270/H270,0))</f>
        <v/>
      </c>
      <c r="N270" s="25" t="str">
        <f aca="false">IF(B270="","",IFERROR(I270/K270,0))</f>
        <v/>
      </c>
      <c r="O270" s="26" t="str">
        <f aca="false">IF(B270="","",IFERROR(K270/I270,0))</f>
        <v/>
      </c>
      <c r="P270" s="10"/>
      <c r="Q270" s="4" t="str">
        <f aca="false">IF(B270="","",B270&amp;" | "&amp;C270)</f>
        <v/>
      </c>
      <c r="R270" s="0" t="str">
        <f aca="false">IF(B270="","",Q270&amp;"#"&amp;A270)</f>
        <v/>
      </c>
    </row>
    <row r="271" customFormat="false" ht="15" hidden="false" customHeight="false" outlineLevel="0" collapsed="false">
      <c r="A271" s="37"/>
      <c r="B271" s="10"/>
      <c r="C271" s="10"/>
      <c r="D271" s="10"/>
      <c r="E271" s="10"/>
      <c r="F271" s="6"/>
      <c r="G271" s="38"/>
      <c r="H271" s="38"/>
      <c r="I271" s="6"/>
      <c r="J271" s="38"/>
      <c r="K271" s="6"/>
      <c r="L271" s="25" t="str">
        <f aca="false">IF(B271="","",IFERROR(H271/G271,0))</f>
        <v/>
      </c>
      <c r="M271" s="7" t="str">
        <f aca="false">IF(B271="","",IFERROR(I271/H271,0))</f>
        <v/>
      </c>
      <c r="N271" s="25" t="str">
        <f aca="false">IF(B271="","",IFERROR(I271/K271,0))</f>
        <v/>
      </c>
      <c r="O271" s="26" t="str">
        <f aca="false">IF(B271="","",IFERROR(K271/I271,0))</f>
        <v/>
      </c>
      <c r="P271" s="10"/>
      <c r="Q271" s="4" t="str">
        <f aca="false">IF(B271="","",B271&amp;" | "&amp;C271)</f>
        <v/>
      </c>
      <c r="R271" s="0" t="str">
        <f aca="false">IF(B271="","",Q271&amp;"#"&amp;A271)</f>
        <v/>
      </c>
    </row>
    <row r="272" customFormat="false" ht="15" hidden="false" customHeight="false" outlineLevel="0" collapsed="false">
      <c r="A272" s="37"/>
      <c r="B272" s="10"/>
      <c r="C272" s="10"/>
      <c r="D272" s="10"/>
      <c r="E272" s="10"/>
      <c r="F272" s="6"/>
      <c r="G272" s="38"/>
      <c r="H272" s="38"/>
      <c r="I272" s="6"/>
      <c r="J272" s="38"/>
      <c r="K272" s="6"/>
      <c r="L272" s="25" t="str">
        <f aca="false">IF(B272="","",IFERROR(H272/G272,0))</f>
        <v/>
      </c>
      <c r="M272" s="7" t="str">
        <f aca="false">IF(B272="","",IFERROR(I272/H272,0))</f>
        <v/>
      </c>
      <c r="N272" s="25" t="str">
        <f aca="false">IF(B272="","",IFERROR(I272/K272,0))</f>
        <v/>
      </c>
      <c r="O272" s="26" t="str">
        <f aca="false">IF(B272="","",IFERROR(K272/I272,0))</f>
        <v/>
      </c>
      <c r="P272" s="10"/>
      <c r="Q272" s="4" t="str">
        <f aca="false">IF(B272="","",B272&amp;" | "&amp;C272)</f>
        <v/>
      </c>
      <c r="R272" s="0" t="str">
        <f aca="false">IF(B272="","",Q272&amp;"#"&amp;A272)</f>
        <v/>
      </c>
    </row>
    <row r="273" customFormat="false" ht="15" hidden="false" customHeight="false" outlineLevel="0" collapsed="false">
      <c r="A273" s="37"/>
      <c r="B273" s="10"/>
      <c r="C273" s="10"/>
      <c r="D273" s="10"/>
      <c r="E273" s="10"/>
      <c r="F273" s="6"/>
      <c r="G273" s="38"/>
      <c r="H273" s="38"/>
      <c r="I273" s="6"/>
      <c r="J273" s="38"/>
      <c r="K273" s="6"/>
      <c r="L273" s="25" t="str">
        <f aca="false">IF(B273="","",IFERROR(H273/G273,0))</f>
        <v/>
      </c>
      <c r="M273" s="7" t="str">
        <f aca="false">IF(B273="","",IFERROR(I273/H273,0))</f>
        <v/>
      </c>
      <c r="N273" s="25" t="str">
        <f aca="false">IF(B273="","",IFERROR(I273/K273,0))</f>
        <v/>
      </c>
      <c r="O273" s="26" t="str">
        <f aca="false">IF(B273="","",IFERROR(K273/I273,0))</f>
        <v/>
      </c>
      <c r="P273" s="10"/>
      <c r="Q273" s="4" t="str">
        <f aca="false">IF(B273="","",B273&amp;" | "&amp;C273)</f>
        <v/>
      </c>
      <c r="R273" s="0" t="str">
        <f aca="false">IF(B273="","",Q273&amp;"#"&amp;A273)</f>
        <v/>
      </c>
    </row>
    <row r="274" customFormat="false" ht="15" hidden="false" customHeight="false" outlineLevel="0" collapsed="false">
      <c r="A274" s="37"/>
      <c r="B274" s="10"/>
      <c r="C274" s="10"/>
      <c r="D274" s="10"/>
      <c r="E274" s="10"/>
      <c r="F274" s="6"/>
      <c r="G274" s="38"/>
      <c r="H274" s="38"/>
      <c r="I274" s="6"/>
      <c r="J274" s="38"/>
      <c r="K274" s="6"/>
      <c r="L274" s="25" t="str">
        <f aca="false">IF(B274="","",IFERROR(H274/G274,0))</f>
        <v/>
      </c>
      <c r="M274" s="7" t="str">
        <f aca="false">IF(B274="","",IFERROR(I274/H274,0))</f>
        <v/>
      </c>
      <c r="N274" s="25" t="str">
        <f aca="false">IF(B274="","",IFERROR(I274/K274,0))</f>
        <v/>
      </c>
      <c r="O274" s="26" t="str">
        <f aca="false">IF(B274="","",IFERROR(K274/I274,0))</f>
        <v/>
      </c>
      <c r="P274" s="10"/>
      <c r="Q274" s="4" t="str">
        <f aca="false">IF(B274="","",B274&amp;" | "&amp;C274)</f>
        <v/>
      </c>
      <c r="R274" s="0" t="str">
        <f aca="false">IF(B274="","",Q274&amp;"#"&amp;A274)</f>
        <v/>
      </c>
    </row>
    <row r="275" customFormat="false" ht="15" hidden="false" customHeight="false" outlineLevel="0" collapsed="false">
      <c r="A275" s="37"/>
      <c r="B275" s="10"/>
      <c r="C275" s="10"/>
      <c r="D275" s="10"/>
      <c r="E275" s="10"/>
      <c r="F275" s="6"/>
      <c r="G275" s="38"/>
      <c r="H275" s="38"/>
      <c r="I275" s="6"/>
      <c r="J275" s="38"/>
      <c r="K275" s="6"/>
      <c r="L275" s="25" t="str">
        <f aca="false">IF(B275="","",IFERROR(H275/G275,0))</f>
        <v/>
      </c>
      <c r="M275" s="7" t="str">
        <f aca="false">IF(B275="","",IFERROR(I275/H275,0))</f>
        <v/>
      </c>
      <c r="N275" s="25" t="str">
        <f aca="false">IF(B275="","",IFERROR(I275/K275,0))</f>
        <v/>
      </c>
      <c r="O275" s="26" t="str">
        <f aca="false">IF(B275="","",IFERROR(K275/I275,0))</f>
        <v/>
      </c>
      <c r="P275" s="10"/>
      <c r="Q275" s="4" t="str">
        <f aca="false">IF(B275="","",B275&amp;" | "&amp;C275)</f>
        <v/>
      </c>
      <c r="R275" s="0" t="str">
        <f aca="false">IF(B275="","",Q275&amp;"#"&amp;A275)</f>
        <v/>
      </c>
    </row>
    <row r="276" customFormat="false" ht="15" hidden="false" customHeight="false" outlineLevel="0" collapsed="false">
      <c r="A276" s="37"/>
      <c r="B276" s="10"/>
      <c r="C276" s="10"/>
      <c r="D276" s="10"/>
      <c r="E276" s="10"/>
      <c r="F276" s="6"/>
      <c r="G276" s="38"/>
      <c r="H276" s="38"/>
      <c r="I276" s="6"/>
      <c r="J276" s="38"/>
      <c r="K276" s="6"/>
      <c r="L276" s="25" t="str">
        <f aca="false">IF(B276="","",IFERROR(H276/G276,0))</f>
        <v/>
      </c>
      <c r="M276" s="7" t="str">
        <f aca="false">IF(B276="","",IFERROR(I276/H276,0))</f>
        <v/>
      </c>
      <c r="N276" s="25" t="str">
        <f aca="false">IF(B276="","",IFERROR(I276/K276,0))</f>
        <v/>
      </c>
      <c r="O276" s="26" t="str">
        <f aca="false">IF(B276="","",IFERROR(K276/I276,0))</f>
        <v/>
      </c>
      <c r="P276" s="10"/>
      <c r="Q276" s="4" t="str">
        <f aca="false">IF(B276="","",B276&amp;" | "&amp;C276)</f>
        <v/>
      </c>
      <c r="R276" s="0" t="str">
        <f aca="false">IF(B276="","",Q276&amp;"#"&amp;A276)</f>
        <v/>
      </c>
    </row>
    <row r="277" customFormat="false" ht="15" hidden="false" customHeight="false" outlineLevel="0" collapsed="false">
      <c r="A277" s="37"/>
      <c r="B277" s="10"/>
      <c r="C277" s="10"/>
      <c r="D277" s="10"/>
      <c r="E277" s="10"/>
      <c r="F277" s="6"/>
      <c r="G277" s="38"/>
      <c r="H277" s="38"/>
      <c r="I277" s="6"/>
      <c r="J277" s="38"/>
      <c r="K277" s="6"/>
      <c r="L277" s="25" t="str">
        <f aca="false">IF(B277="","",IFERROR(H277/G277,0))</f>
        <v/>
      </c>
      <c r="M277" s="7" t="str">
        <f aca="false">IF(B277="","",IFERROR(I277/H277,0))</f>
        <v/>
      </c>
      <c r="N277" s="25" t="str">
        <f aca="false">IF(B277="","",IFERROR(I277/K277,0))</f>
        <v/>
      </c>
      <c r="O277" s="26" t="str">
        <f aca="false">IF(B277="","",IFERROR(K277/I277,0))</f>
        <v/>
      </c>
      <c r="P277" s="10"/>
      <c r="Q277" s="4" t="str">
        <f aca="false">IF(B277="","",B277&amp;" | "&amp;C277)</f>
        <v/>
      </c>
      <c r="R277" s="0" t="str">
        <f aca="false">IF(B277="","",Q277&amp;"#"&amp;A277)</f>
        <v/>
      </c>
    </row>
    <row r="278" customFormat="false" ht="15" hidden="false" customHeight="false" outlineLevel="0" collapsed="false">
      <c r="A278" s="37"/>
      <c r="B278" s="10"/>
      <c r="C278" s="10"/>
      <c r="D278" s="10"/>
      <c r="E278" s="10"/>
      <c r="F278" s="6"/>
      <c r="G278" s="38"/>
      <c r="H278" s="38"/>
      <c r="I278" s="6"/>
      <c r="J278" s="38"/>
      <c r="K278" s="6"/>
      <c r="L278" s="25" t="str">
        <f aca="false">IF(B278="","",IFERROR(H278/G278,0))</f>
        <v/>
      </c>
      <c r="M278" s="7" t="str">
        <f aca="false">IF(B278="","",IFERROR(I278/H278,0))</f>
        <v/>
      </c>
      <c r="N278" s="25" t="str">
        <f aca="false">IF(B278="","",IFERROR(I278/K278,0))</f>
        <v/>
      </c>
      <c r="O278" s="26" t="str">
        <f aca="false">IF(B278="","",IFERROR(K278/I278,0))</f>
        <v/>
      </c>
      <c r="P278" s="10"/>
      <c r="Q278" s="4" t="str">
        <f aca="false">IF(B278="","",B278&amp;" | "&amp;C278)</f>
        <v/>
      </c>
      <c r="R278" s="0" t="str">
        <f aca="false">IF(B278="","",Q278&amp;"#"&amp;A278)</f>
        <v/>
      </c>
    </row>
    <row r="279" customFormat="false" ht="15" hidden="false" customHeight="false" outlineLevel="0" collapsed="false">
      <c r="A279" s="37"/>
      <c r="B279" s="10"/>
      <c r="C279" s="10"/>
      <c r="D279" s="10"/>
      <c r="E279" s="10"/>
      <c r="F279" s="6"/>
      <c r="G279" s="38"/>
      <c r="H279" s="38"/>
      <c r="I279" s="6"/>
      <c r="J279" s="38"/>
      <c r="K279" s="6"/>
      <c r="L279" s="25" t="str">
        <f aca="false">IF(B279="","",IFERROR(H279/G279,0))</f>
        <v/>
      </c>
      <c r="M279" s="7" t="str">
        <f aca="false">IF(B279="","",IFERROR(I279/H279,0))</f>
        <v/>
      </c>
      <c r="N279" s="25" t="str">
        <f aca="false">IF(B279="","",IFERROR(I279/K279,0))</f>
        <v/>
      </c>
      <c r="O279" s="26" t="str">
        <f aca="false">IF(B279="","",IFERROR(K279/I279,0))</f>
        <v/>
      </c>
      <c r="P279" s="10"/>
      <c r="Q279" s="4" t="str">
        <f aca="false">IF(B279="","",B279&amp;" | "&amp;C279)</f>
        <v/>
      </c>
      <c r="R279" s="0" t="str">
        <f aca="false">IF(B279="","",Q279&amp;"#"&amp;A279)</f>
        <v/>
      </c>
    </row>
    <row r="280" customFormat="false" ht="15" hidden="false" customHeight="false" outlineLevel="0" collapsed="false">
      <c r="A280" s="37"/>
      <c r="B280" s="10"/>
      <c r="C280" s="10"/>
      <c r="D280" s="10"/>
      <c r="E280" s="10"/>
      <c r="F280" s="6"/>
      <c r="G280" s="38"/>
      <c r="H280" s="38"/>
      <c r="I280" s="6"/>
      <c r="J280" s="38"/>
      <c r="K280" s="6"/>
      <c r="L280" s="25" t="str">
        <f aca="false">IF(B280="","",IFERROR(H280/G280,0))</f>
        <v/>
      </c>
      <c r="M280" s="7" t="str">
        <f aca="false">IF(B280="","",IFERROR(I280/H280,0))</f>
        <v/>
      </c>
      <c r="N280" s="25" t="str">
        <f aca="false">IF(B280="","",IFERROR(I280/K280,0))</f>
        <v/>
      </c>
      <c r="O280" s="26" t="str">
        <f aca="false">IF(B280="","",IFERROR(K280/I280,0))</f>
        <v/>
      </c>
      <c r="P280" s="10"/>
      <c r="Q280" s="4" t="str">
        <f aca="false">IF(B280="","",B280&amp;" | "&amp;C280)</f>
        <v/>
      </c>
      <c r="R280" s="0" t="str">
        <f aca="false">IF(B280="","",Q280&amp;"#"&amp;A280)</f>
        <v/>
      </c>
    </row>
    <row r="281" customFormat="false" ht="15" hidden="false" customHeight="false" outlineLevel="0" collapsed="false">
      <c r="A281" s="37"/>
      <c r="B281" s="10"/>
      <c r="C281" s="10"/>
      <c r="D281" s="10"/>
      <c r="E281" s="10"/>
      <c r="F281" s="6"/>
      <c r="G281" s="38"/>
      <c r="H281" s="38"/>
      <c r="I281" s="6"/>
      <c r="J281" s="38"/>
      <c r="K281" s="6"/>
      <c r="L281" s="25" t="str">
        <f aca="false">IF(B281="","",IFERROR(H281/G281,0))</f>
        <v/>
      </c>
      <c r="M281" s="7" t="str">
        <f aca="false">IF(B281="","",IFERROR(I281/H281,0))</f>
        <v/>
      </c>
      <c r="N281" s="25" t="str">
        <f aca="false">IF(B281="","",IFERROR(I281/K281,0))</f>
        <v/>
      </c>
      <c r="O281" s="26" t="str">
        <f aca="false">IF(B281="","",IFERROR(K281/I281,0))</f>
        <v/>
      </c>
      <c r="P281" s="10"/>
      <c r="Q281" s="4" t="str">
        <f aca="false">IF(B281="","",B281&amp;" | "&amp;C281)</f>
        <v/>
      </c>
      <c r="R281" s="0" t="str">
        <f aca="false">IF(B281="","",Q281&amp;"#"&amp;A281)</f>
        <v/>
      </c>
    </row>
    <row r="282" customFormat="false" ht="15" hidden="false" customHeight="false" outlineLevel="0" collapsed="false">
      <c r="A282" s="37"/>
      <c r="B282" s="10"/>
      <c r="C282" s="10"/>
      <c r="D282" s="10"/>
      <c r="E282" s="10"/>
      <c r="F282" s="6"/>
      <c r="G282" s="38"/>
      <c r="H282" s="38"/>
      <c r="I282" s="6"/>
      <c r="J282" s="38"/>
      <c r="K282" s="6"/>
      <c r="L282" s="25" t="str">
        <f aca="false">IF(B282="","",IFERROR(H282/G282,0))</f>
        <v/>
      </c>
      <c r="M282" s="7" t="str">
        <f aca="false">IF(B282="","",IFERROR(I282/H282,0))</f>
        <v/>
      </c>
      <c r="N282" s="25" t="str">
        <f aca="false">IF(B282="","",IFERROR(I282/K282,0))</f>
        <v/>
      </c>
      <c r="O282" s="26" t="str">
        <f aca="false">IF(B282="","",IFERROR(K282/I282,0))</f>
        <v/>
      </c>
      <c r="P282" s="10"/>
      <c r="Q282" s="4" t="str">
        <f aca="false">IF(B282="","",B282&amp;" | "&amp;C282)</f>
        <v/>
      </c>
      <c r="R282" s="0" t="str">
        <f aca="false">IF(B282="","",Q282&amp;"#"&amp;A282)</f>
        <v/>
      </c>
    </row>
    <row r="283" customFormat="false" ht="15" hidden="false" customHeight="false" outlineLevel="0" collapsed="false">
      <c r="A283" s="37"/>
      <c r="B283" s="10"/>
      <c r="C283" s="10"/>
      <c r="D283" s="10"/>
      <c r="E283" s="10"/>
      <c r="F283" s="6"/>
      <c r="G283" s="38"/>
      <c r="H283" s="38"/>
      <c r="I283" s="6"/>
      <c r="J283" s="38"/>
      <c r="K283" s="6"/>
      <c r="L283" s="25" t="str">
        <f aca="false">IF(B283="","",IFERROR(H283/G283,0))</f>
        <v/>
      </c>
      <c r="M283" s="7" t="str">
        <f aca="false">IF(B283="","",IFERROR(I283/H283,0))</f>
        <v/>
      </c>
      <c r="N283" s="25" t="str">
        <f aca="false">IF(B283="","",IFERROR(I283/K283,0))</f>
        <v/>
      </c>
      <c r="O283" s="26" t="str">
        <f aca="false">IF(B283="","",IFERROR(K283/I283,0))</f>
        <v/>
      </c>
      <c r="P283" s="10"/>
      <c r="Q283" s="4" t="str">
        <f aca="false">IF(B283="","",B283&amp;" | "&amp;C283)</f>
        <v/>
      </c>
      <c r="R283" s="0" t="str">
        <f aca="false">IF(B283="","",Q283&amp;"#"&amp;A283)</f>
        <v/>
      </c>
    </row>
    <row r="284" customFormat="false" ht="15" hidden="false" customHeight="false" outlineLevel="0" collapsed="false">
      <c r="A284" s="37"/>
      <c r="B284" s="10"/>
      <c r="C284" s="10"/>
      <c r="D284" s="10"/>
      <c r="E284" s="10"/>
      <c r="F284" s="6"/>
      <c r="G284" s="38"/>
      <c r="H284" s="38"/>
      <c r="I284" s="6"/>
      <c r="J284" s="38"/>
      <c r="K284" s="6"/>
      <c r="L284" s="25" t="str">
        <f aca="false">IF(B284="","",IFERROR(H284/G284,0))</f>
        <v/>
      </c>
      <c r="M284" s="7" t="str">
        <f aca="false">IF(B284="","",IFERROR(I284/H284,0))</f>
        <v/>
      </c>
      <c r="N284" s="25" t="str">
        <f aca="false">IF(B284="","",IFERROR(I284/K284,0))</f>
        <v/>
      </c>
      <c r="O284" s="26" t="str">
        <f aca="false">IF(B284="","",IFERROR(K284/I284,0))</f>
        <v/>
      </c>
      <c r="P284" s="10"/>
      <c r="Q284" s="4" t="str">
        <f aca="false">IF(B284="","",B284&amp;" | "&amp;C284)</f>
        <v/>
      </c>
      <c r="R284" s="0" t="str">
        <f aca="false">IF(B284="","",Q284&amp;"#"&amp;A284)</f>
        <v/>
      </c>
    </row>
    <row r="285" customFormat="false" ht="15" hidden="false" customHeight="false" outlineLevel="0" collapsed="false">
      <c r="A285" s="37"/>
      <c r="B285" s="10"/>
      <c r="C285" s="10"/>
      <c r="D285" s="10"/>
      <c r="E285" s="10"/>
      <c r="F285" s="6"/>
      <c r="G285" s="38"/>
      <c r="H285" s="38"/>
      <c r="I285" s="6"/>
      <c r="J285" s="38"/>
      <c r="K285" s="6"/>
      <c r="L285" s="25" t="str">
        <f aca="false">IF(B285="","",IFERROR(H285/G285,0))</f>
        <v/>
      </c>
      <c r="M285" s="7" t="str">
        <f aca="false">IF(B285="","",IFERROR(I285/H285,0))</f>
        <v/>
      </c>
      <c r="N285" s="25" t="str">
        <f aca="false">IF(B285="","",IFERROR(I285/K285,0))</f>
        <v/>
      </c>
      <c r="O285" s="26" t="str">
        <f aca="false">IF(B285="","",IFERROR(K285/I285,0))</f>
        <v/>
      </c>
      <c r="P285" s="10"/>
      <c r="Q285" s="4" t="str">
        <f aca="false">IF(B285="","",B285&amp;" | "&amp;C285)</f>
        <v/>
      </c>
      <c r="R285" s="0" t="str">
        <f aca="false">IF(B285="","",Q285&amp;"#"&amp;A285)</f>
        <v/>
      </c>
    </row>
    <row r="286" customFormat="false" ht="15" hidden="false" customHeight="false" outlineLevel="0" collapsed="false">
      <c r="A286" s="37"/>
      <c r="B286" s="10"/>
      <c r="C286" s="10"/>
      <c r="D286" s="10"/>
      <c r="E286" s="10"/>
      <c r="F286" s="6"/>
      <c r="G286" s="38"/>
      <c r="H286" s="38"/>
      <c r="I286" s="6"/>
      <c r="J286" s="38"/>
      <c r="K286" s="6"/>
      <c r="L286" s="25" t="str">
        <f aca="false">IF(B286="","",IFERROR(H286/G286,0))</f>
        <v/>
      </c>
      <c r="M286" s="7" t="str">
        <f aca="false">IF(B286="","",IFERROR(I286/H286,0))</f>
        <v/>
      </c>
      <c r="N286" s="25" t="str">
        <f aca="false">IF(B286="","",IFERROR(I286/K286,0))</f>
        <v/>
      </c>
      <c r="O286" s="26" t="str">
        <f aca="false">IF(B286="","",IFERROR(K286/I286,0))</f>
        <v/>
      </c>
      <c r="P286" s="10"/>
      <c r="Q286" s="4" t="str">
        <f aca="false">IF(B286="","",B286&amp;" | "&amp;C286)</f>
        <v/>
      </c>
      <c r="R286" s="0" t="str">
        <f aca="false">IF(B286="","",Q286&amp;"#"&amp;A286)</f>
        <v/>
      </c>
    </row>
    <row r="287" customFormat="false" ht="15" hidden="false" customHeight="false" outlineLevel="0" collapsed="false">
      <c r="A287" s="37"/>
      <c r="B287" s="10"/>
      <c r="C287" s="10"/>
      <c r="D287" s="10"/>
      <c r="E287" s="10"/>
      <c r="F287" s="6"/>
      <c r="G287" s="38"/>
      <c r="H287" s="38"/>
      <c r="I287" s="6"/>
      <c r="J287" s="38"/>
      <c r="K287" s="6"/>
      <c r="L287" s="25" t="str">
        <f aca="false">IF(B287="","",IFERROR(H287/G287,0))</f>
        <v/>
      </c>
      <c r="M287" s="7" t="str">
        <f aca="false">IF(B287="","",IFERROR(I287/H287,0))</f>
        <v/>
      </c>
      <c r="N287" s="25" t="str">
        <f aca="false">IF(B287="","",IFERROR(I287/K287,0))</f>
        <v/>
      </c>
      <c r="O287" s="26" t="str">
        <f aca="false">IF(B287="","",IFERROR(K287/I287,0))</f>
        <v/>
      </c>
      <c r="P287" s="10"/>
      <c r="Q287" s="4" t="str">
        <f aca="false">IF(B287="","",B287&amp;" | "&amp;C287)</f>
        <v/>
      </c>
      <c r="R287" s="0" t="str">
        <f aca="false">IF(B287="","",Q287&amp;"#"&amp;A287)</f>
        <v/>
      </c>
    </row>
    <row r="288" customFormat="false" ht="15" hidden="false" customHeight="false" outlineLevel="0" collapsed="false">
      <c r="A288" s="37"/>
      <c r="B288" s="10"/>
      <c r="C288" s="10"/>
      <c r="D288" s="10"/>
      <c r="E288" s="10"/>
      <c r="F288" s="6"/>
      <c r="G288" s="38"/>
      <c r="H288" s="38"/>
      <c r="I288" s="6"/>
      <c r="J288" s="38"/>
      <c r="K288" s="6"/>
      <c r="L288" s="25" t="str">
        <f aca="false">IF(B288="","",IFERROR(H288/G288,0))</f>
        <v/>
      </c>
      <c r="M288" s="7" t="str">
        <f aca="false">IF(B288="","",IFERROR(I288/H288,0))</f>
        <v/>
      </c>
      <c r="N288" s="25" t="str">
        <f aca="false">IF(B288="","",IFERROR(I288/K288,0))</f>
        <v/>
      </c>
      <c r="O288" s="26" t="str">
        <f aca="false">IF(B288="","",IFERROR(K288/I288,0))</f>
        <v/>
      </c>
      <c r="P288" s="10"/>
      <c r="Q288" s="4" t="str">
        <f aca="false">IF(B288="","",B288&amp;" | "&amp;C288)</f>
        <v/>
      </c>
      <c r="R288" s="0" t="str">
        <f aca="false">IF(B288="","",Q288&amp;"#"&amp;A288)</f>
        <v/>
      </c>
    </row>
    <row r="289" customFormat="false" ht="15" hidden="false" customHeight="false" outlineLevel="0" collapsed="false">
      <c r="A289" s="37"/>
      <c r="B289" s="10"/>
      <c r="C289" s="10"/>
      <c r="D289" s="10"/>
      <c r="E289" s="10"/>
      <c r="F289" s="6"/>
      <c r="G289" s="38"/>
      <c r="H289" s="38"/>
      <c r="I289" s="6"/>
      <c r="J289" s="38"/>
      <c r="K289" s="6"/>
      <c r="L289" s="25" t="str">
        <f aca="false">IF(B289="","",IFERROR(H289/G289,0))</f>
        <v/>
      </c>
      <c r="M289" s="7" t="str">
        <f aca="false">IF(B289="","",IFERROR(I289/H289,0))</f>
        <v/>
      </c>
      <c r="N289" s="25" t="str">
        <f aca="false">IF(B289="","",IFERROR(I289/K289,0))</f>
        <v/>
      </c>
      <c r="O289" s="26" t="str">
        <f aca="false">IF(B289="","",IFERROR(K289/I289,0))</f>
        <v/>
      </c>
      <c r="P289" s="10"/>
      <c r="Q289" s="4" t="str">
        <f aca="false">IF(B289="","",B289&amp;" | "&amp;C289)</f>
        <v/>
      </c>
      <c r="R289" s="0" t="str">
        <f aca="false">IF(B289="","",Q289&amp;"#"&amp;A289)</f>
        <v/>
      </c>
    </row>
    <row r="290" customFormat="false" ht="15" hidden="false" customHeight="false" outlineLevel="0" collapsed="false">
      <c r="A290" s="37"/>
      <c r="B290" s="10"/>
      <c r="C290" s="10"/>
      <c r="D290" s="10"/>
      <c r="E290" s="10"/>
      <c r="F290" s="6"/>
      <c r="G290" s="38"/>
      <c r="H290" s="38"/>
      <c r="I290" s="6"/>
      <c r="J290" s="38"/>
      <c r="K290" s="6"/>
      <c r="L290" s="25" t="str">
        <f aca="false">IF(B290="","",IFERROR(H290/G290,0))</f>
        <v/>
      </c>
      <c r="M290" s="7" t="str">
        <f aca="false">IF(B290="","",IFERROR(I290/H290,0))</f>
        <v/>
      </c>
      <c r="N290" s="25" t="str">
        <f aca="false">IF(B290="","",IFERROR(I290/K290,0))</f>
        <v/>
      </c>
      <c r="O290" s="26" t="str">
        <f aca="false">IF(B290="","",IFERROR(K290/I290,0))</f>
        <v/>
      </c>
      <c r="P290" s="10"/>
      <c r="Q290" s="4" t="str">
        <f aca="false">IF(B290="","",B290&amp;" | "&amp;C290)</f>
        <v/>
      </c>
      <c r="R290" s="0" t="str">
        <f aca="false">IF(B290="","",Q290&amp;"#"&amp;A290)</f>
        <v/>
      </c>
    </row>
    <row r="291" customFormat="false" ht="15" hidden="false" customHeight="false" outlineLevel="0" collapsed="false">
      <c r="A291" s="37"/>
      <c r="B291" s="10"/>
      <c r="C291" s="10"/>
      <c r="D291" s="10"/>
      <c r="E291" s="10"/>
      <c r="F291" s="6"/>
      <c r="G291" s="38"/>
      <c r="H291" s="38"/>
      <c r="I291" s="6"/>
      <c r="J291" s="38"/>
      <c r="K291" s="6"/>
      <c r="L291" s="25" t="str">
        <f aca="false">IF(B291="","",IFERROR(H291/G291,0))</f>
        <v/>
      </c>
      <c r="M291" s="7" t="str">
        <f aca="false">IF(B291="","",IFERROR(I291/H291,0))</f>
        <v/>
      </c>
      <c r="N291" s="25" t="str">
        <f aca="false">IF(B291="","",IFERROR(I291/K291,0))</f>
        <v/>
      </c>
      <c r="O291" s="26" t="str">
        <f aca="false">IF(B291="","",IFERROR(K291/I291,0))</f>
        <v/>
      </c>
      <c r="P291" s="10"/>
      <c r="Q291" s="4" t="str">
        <f aca="false">IF(B291="","",B291&amp;" | "&amp;C291)</f>
        <v/>
      </c>
      <c r="R291" s="0" t="str">
        <f aca="false">IF(B291="","",Q291&amp;"#"&amp;A291)</f>
        <v/>
      </c>
    </row>
    <row r="292" customFormat="false" ht="15" hidden="false" customHeight="false" outlineLevel="0" collapsed="false">
      <c r="A292" s="37"/>
      <c r="B292" s="10"/>
      <c r="C292" s="10"/>
      <c r="D292" s="10"/>
      <c r="E292" s="10"/>
      <c r="F292" s="6"/>
      <c r="G292" s="38"/>
      <c r="H292" s="38"/>
      <c r="I292" s="6"/>
      <c r="J292" s="38"/>
      <c r="K292" s="6"/>
      <c r="L292" s="25" t="str">
        <f aca="false">IF(B292="","",IFERROR(H292/G292,0))</f>
        <v/>
      </c>
      <c r="M292" s="7" t="str">
        <f aca="false">IF(B292="","",IFERROR(I292/H292,0))</f>
        <v/>
      </c>
      <c r="N292" s="25" t="str">
        <f aca="false">IF(B292="","",IFERROR(I292/K292,0))</f>
        <v/>
      </c>
      <c r="O292" s="26" t="str">
        <f aca="false">IF(B292="","",IFERROR(K292/I292,0))</f>
        <v/>
      </c>
      <c r="P292" s="10"/>
      <c r="Q292" s="4" t="str">
        <f aca="false">IF(B292="","",B292&amp;" | "&amp;C292)</f>
        <v/>
      </c>
      <c r="R292" s="0" t="str">
        <f aca="false">IF(B292="","",Q292&amp;"#"&amp;A292)</f>
        <v/>
      </c>
    </row>
    <row r="293" customFormat="false" ht="15" hidden="false" customHeight="false" outlineLevel="0" collapsed="false">
      <c r="A293" s="37"/>
      <c r="B293" s="10"/>
      <c r="C293" s="10"/>
      <c r="D293" s="10"/>
      <c r="E293" s="10"/>
      <c r="F293" s="6"/>
      <c r="G293" s="38"/>
      <c r="H293" s="38"/>
      <c r="I293" s="6"/>
      <c r="J293" s="38"/>
      <c r="K293" s="6"/>
      <c r="L293" s="25" t="str">
        <f aca="false">IF(B293="","",IFERROR(H293/G293,0))</f>
        <v/>
      </c>
      <c r="M293" s="7" t="str">
        <f aca="false">IF(B293="","",IFERROR(I293/H293,0))</f>
        <v/>
      </c>
      <c r="N293" s="25" t="str">
        <f aca="false">IF(B293="","",IFERROR(I293/K293,0))</f>
        <v/>
      </c>
      <c r="O293" s="26" t="str">
        <f aca="false">IF(B293="","",IFERROR(K293/I293,0))</f>
        <v/>
      </c>
      <c r="P293" s="10"/>
      <c r="Q293" s="4" t="str">
        <f aca="false">IF(B293="","",B293&amp;" | "&amp;C293)</f>
        <v/>
      </c>
      <c r="R293" s="0" t="str">
        <f aca="false">IF(B293="","",Q293&amp;"#"&amp;A293)</f>
        <v/>
      </c>
    </row>
    <row r="294" customFormat="false" ht="15" hidden="false" customHeight="false" outlineLevel="0" collapsed="false">
      <c r="A294" s="37"/>
      <c r="B294" s="10"/>
      <c r="C294" s="10"/>
      <c r="D294" s="10"/>
      <c r="E294" s="10"/>
      <c r="F294" s="6"/>
      <c r="G294" s="38"/>
      <c r="H294" s="38"/>
      <c r="I294" s="6"/>
      <c r="J294" s="38"/>
      <c r="K294" s="6"/>
      <c r="L294" s="25" t="str">
        <f aca="false">IF(B294="","",IFERROR(H294/G294,0))</f>
        <v/>
      </c>
      <c r="M294" s="7" t="str">
        <f aca="false">IF(B294="","",IFERROR(I294/H294,0))</f>
        <v/>
      </c>
      <c r="N294" s="25" t="str">
        <f aca="false">IF(B294="","",IFERROR(I294/K294,0))</f>
        <v/>
      </c>
      <c r="O294" s="26" t="str">
        <f aca="false">IF(B294="","",IFERROR(K294/I294,0))</f>
        <v/>
      </c>
      <c r="P294" s="10"/>
      <c r="Q294" s="4" t="str">
        <f aca="false">IF(B294="","",B294&amp;" | "&amp;C294)</f>
        <v/>
      </c>
      <c r="R294" s="0" t="str">
        <f aca="false">IF(B294="","",Q294&amp;"#"&amp;A294)</f>
        <v/>
      </c>
    </row>
    <row r="295" customFormat="false" ht="15" hidden="false" customHeight="false" outlineLevel="0" collapsed="false">
      <c r="A295" s="37"/>
      <c r="B295" s="10"/>
      <c r="C295" s="10"/>
      <c r="D295" s="10"/>
      <c r="E295" s="10"/>
      <c r="F295" s="6"/>
      <c r="G295" s="38"/>
      <c r="H295" s="38"/>
      <c r="I295" s="6"/>
      <c r="J295" s="38"/>
      <c r="K295" s="6"/>
      <c r="L295" s="25" t="str">
        <f aca="false">IF(B295="","",IFERROR(H295/G295,0))</f>
        <v/>
      </c>
      <c r="M295" s="7" t="str">
        <f aca="false">IF(B295="","",IFERROR(I295/H295,0))</f>
        <v/>
      </c>
      <c r="N295" s="25" t="str">
        <f aca="false">IF(B295="","",IFERROR(I295/K295,0))</f>
        <v/>
      </c>
      <c r="O295" s="26" t="str">
        <f aca="false">IF(B295="","",IFERROR(K295/I295,0))</f>
        <v/>
      </c>
      <c r="P295" s="10"/>
      <c r="Q295" s="4" t="str">
        <f aca="false">IF(B295="","",B295&amp;" | "&amp;C295)</f>
        <v/>
      </c>
      <c r="R295" s="0" t="str">
        <f aca="false">IF(B295="","",Q295&amp;"#"&amp;A295)</f>
        <v/>
      </c>
    </row>
    <row r="296" customFormat="false" ht="15" hidden="false" customHeight="false" outlineLevel="0" collapsed="false">
      <c r="A296" s="37"/>
      <c r="B296" s="10"/>
      <c r="C296" s="10"/>
      <c r="D296" s="10"/>
      <c r="E296" s="10"/>
      <c r="F296" s="6"/>
      <c r="G296" s="38"/>
      <c r="H296" s="38"/>
      <c r="I296" s="6"/>
      <c r="J296" s="38"/>
      <c r="K296" s="6"/>
      <c r="L296" s="25" t="str">
        <f aca="false">IF(B296="","",IFERROR(H296/G296,0))</f>
        <v/>
      </c>
      <c r="M296" s="7" t="str">
        <f aca="false">IF(B296="","",IFERROR(I296/H296,0))</f>
        <v/>
      </c>
      <c r="N296" s="25" t="str">
        <f aca="false">IF(B296="","",IFERROR(I296/K296,0))</f>
        <v/>
      </c>
      <c r="O296" s="26" t="str">
        <f aca="false">IF(B296="","",IFERROR(K296/I296,0))</f>
        <v/>
      </c>
      <c r="P296" s="10"/>
      <c r="Q296" s="4" t="str">
        <f aca="false">IF(B296="","",B296&amp;" | "&amp;C296)</f>
        <v/>
      </c>
      <c r="R296" s="0" t="str">
        <f aca="false">IF(B296="","",Q296&amp;"#"&amp;A296)</f>
        <v/>
      </c>
    </row>
    <row r="297" customFormat="false" ht="15" hidden="false" customHeight="false" outlineLevel="0" collapsed="false">
      <c r="A297" s="37"/>
      <c r="B297" s="10"/>
      <c r="C297" s="10"/>
      <c r="D297" s="10"/>
      <c r="E297" s="10"/>
      <c r="F297" s="6"/>
      <c r="G297" s="38"/>
      <c r="H297" s="38"/>
      <c r="I297" s="6"/>
      <c r="J297" s="38"/>
      <c r="K297" s="6"/>
      <c r="L297" s="25" t="str">
        <f aca="false">IF(B297="","",IFERROR(H297/G297,0))</f>
        <v/>
      </c>
      <c r="M297" s="7" t="str">
        <f aca="false">IF(B297="","",IFERROR(I297/H297,0))</f>
        <v/>
      </c>
      <c r="N297" s="25" t="str">
        <f aca="false">IF(B297="","",IFERROR(I297/K297,0))</f>
        <v/>
      </c>
      <c r="O297" s="26" t="str">
        <f aca="false">IF(B297="","",IFERROR(K297/I297,0))</f>
        <v/>
      </c>
      <c r="P297" s="10"/>
      <c r="Q297" s="4" t="str">
        <f aca="false">IF(B297="","",B297&amp;" | "&amp;C297)</f>
        <v/>
      </c>
      <c r="R297" s="0" t="str">
        <f aca="false">IF(B297="","",Q297&amp;"#"&amp;A297)</f>
        <v/>
      </c>
    </row>
    <row r="298" customFormat="false" ht="15" hidden="false" customHeight="false" outlineLevel="0" collapsed="false">
      <c r="A298" s="37"/>
      <c r="B298" s="10"/>
      <c r="C298" s="10"/>
      <c r="D298" s="10"/>
      <c r="E298" s="10"/>
      <c r="F298" s="6"/>
      <c r="G298" s="38"/>
      <c r="H298" s="38"/>
      <c r="I298" s="6"/>
      <c r="J298" s="38"/>
      <c r="K298" s="6"/>
      <c r="L298" s="25" t="str">
        <f aca="false">IF(B298="","",IFERROR(H298/G298,0))</f>
        <v/>
      </c>
      <c r="M298" s="7" t="str">
        <f aca="false">IF(B298="","",IFERROR(I298/H298,0))</f>
        <v/>
      </c>
      <c r="N298" s="25" t="str">
        <f aca="false">IF(B298="","",IFERROR(I298/K298,0))</f>
        <v/>
      </c>
      <c r="O298" s="26" t="str">
        <f aca="false">IF(B298="","",IFERROR(K298/I298,0))</f>
        <v/>
      </c>
      <c r="P298" s="10"/>
      <c r="Q298" s="4" t="str">
        <f aca="false">IF(B298="","",B298&amp;" | "&amp;C298)</f>
        <v/>
      </c>
      <c r="R298" s="0" t="str">
        <f aca="false">IF(B298="","",Q298&amp;"#"&amp;A298)</f>
        <v/>
      </c>
    </row>
    <row r="299" customFormat="false" ht="15" hidden="false" customHeight="false" outlineLevel="0" collapsed="false">
      <c r="A299" s="37"/>
      <c r="B299" s="10"/>
      <c r="C299" s="10"/>
      <c r="D299" s="10"/>
      <c r="E299" s="10"/>
      <c r="F299" s="6"/>
      <c r="G299" s="38"/>
      <c r="H299" s="38"/>
      <c r="I299" s="6"/>
      <c r="J299" s="38"/>
      <c r="K299" s="6"/>
      <c r="L299" s="25" t="str">
        <f aca="false">IF(B299="","",IFERROR(H299/G299,0))</f>
        <v/>
      </c>
      <c r="M299" s="7" t="str">
        <f aca="false">IF(B299="","",IFERROR(I299/H299,0))</f>
        <v/>
      </c>
      <c r="N299" s="25" t="str">
        <f aca="false">IF(B299="","",IFERROR(I299/K299,0))</f>
        <v/>
      </c>
      <c r="O299" s="26" t="str">
        <f aca="false">IF(B299="","",IFERROR(K299/I299,0))</f>
        <v/>
      </c>
      <c r="P299" s="10"/>
      <c r="Q299" s="4" t="str">
        <f aca="false">IF(B299="","",B299&amp;" | "&amp;C299)</f>
        <v/>
      </c>
      <c r="R299" s="0" t="str">
        <f aca="false">IF(B299="","",Q299&amp;"#"&amp;A299)</f>
        <v/>
      </c>
    </row>
    <row r="300" customFormat="false" ht="15" hidden="false" customHeight="false" outlineLevel="0" collapsed="false">
      <c r="A300" s="37"/>
      <c r="B300" s="10"/>
      <c r="C300" s="10"/>
      <c r="D300" s="10"/>
      <c r="E300" s="10"/>
      <c r="F300" s="6"/>
      <c r="G300" s="38"/>
      <c r="H300" s="38"/>
      <c r="I300" s="6"/>
      <c r="J300" s="38"/>
      <c r="K300" s="6"/>
      <c r="L300" s="25" t="str">
        <f aca="false">IF(B300="","",IFERROR(H300/G300,0))</f>
        <v/>
      </c>
      <c r="M300" s="7" t="str">
        <f aca="false">IF(B300="","",IFERROR(I300/H300,0))</f>
        <v/>
      </c>
      <c r="N300" s="25" t="str">
        <f aca="false">IF(B300="","",IFERROR(I300/K300,0))</f>
        <v/>
      </c>
      <c r="O300" s="26" t="str">
        <f aca="false">IF(B300="","",IFERROR(K300/I300,0))</f>
        <v/>
      </c>
      <c r="P300" s="10"/>
      <c r="Q300" s="4" t="str">
        <f aca="false">IF(B300="","",B300&amp;" | "&amp;C300)</f>
        <v/>
      </c>
      <c r="R300" s="0" t="str">
        <f aca="false">IF(B300="","",Q300&amp;"#"&amp;A300)</f>
        <v/>
      </c>
    </row>
    <row r="301" customFormat="false" ht="15" hidden="false" customHeight="false" outlineLevel="0" collapsed="false">
      <c r="A301" s="37"/>
      <c r="B301" s="10"/>
      <c r="C301" s="10"/>
      <c r="D301" s="10"/>
      <c r="E301" s="10"/>
      <c r="F301" s="6"/>
      <c r="G301" s="38"/>
      <c r="H301" s="38"/>
      <c r="I301" s="6"/>
      <c r="J301" s="38"/>
      <c r="K301" s="6"/>
      <c r="L301" s="25" t="str">
        <f aca="false">IF(B301="","",IFERROR(H301/G301,0))</f>
        <v/>
      </c>
      <c r="M301" s="7" t="str">
        <f aca="false">IF(B301="","",IFERROR(I301/H301,0))</f>
        <v/>
      </c>
      <c r="N301" s="25" t="str">
        <f aca="false">IF(B301="","",IFERROR(I301/K301,0))</f>
        <v/>
      </c>
      <c r="O301" s="26" t="str">
        <f aca="false">IF(B301="","",IFERROR(K301/I301,0))</f>
        <v/>
      </c>
      <c r="P301" s="10"/>
      <c r="Q301" s="4" t="str">
        <f aca="false">IF(B301="","",B301&amp;" | "&amp;C301)</f>
        <v/>
      </c>
      <c r="R301" s="0" t="str">
        <f aca="false">IF(B301="","",Q301&amp;"#"&amp;A301)</f>
        <v/>
      </c>
    </row>
    <row r="302" customFormat="false" ht="15" hidden="false" customHeight="false" outlineLevel="0" collapsed="false">
      <c r="A302" s="37"/>
      <c r="B302" s="10"/>
      <c r="C302" s="10"/>
      <c r="D302" s="10"/>
      <c r="E302" s="10"/>
      <c r="F302" s="6"/>
      <c r="G302" s="38"/>
      <c r="H302" s="38"/>
      <c r="I302" s="6"/>
      <c r="J302" s="38"/>
      <c r="K302" s="6"/>
      <c r="L302" s="25" t="str">
        <f aca="false">IF(B302="","",IFERROR(H302/G302,0))</f>
        <v/>
      </c>
      <c r="M302" s="7" t="str">
        <f aca="false">IF(B302="","",IFERROR(I302/H302,0))</f>
        <v/>
      </c>
      <c r="N302" s="25" t="str">
        <f aca="false">IF(B302="","",IFERROR(I302/K302,0))</f>
        <v/>
      </c>
      <c r="O302" s="26" t="str">
        <f aca="false">IF(B302="","",IFERROR(K302/I302,0))</f>
        <v/>
      </c>
      <c r="P302" s="10"/>
      <c r="Q302" s="4" t="str">
        <f aca="false">IF(B302="","",B302&amp;" | "&amp;C302)</f>
        <v/>
      </c>
      <c r="R302" s="0" t="str">
        <f aca="false">IF(B302="","",Q302&amp;"#"&amp;A302)</f>
        <v/>
      </c>
    </row>
    <row r="303" customFormat="false" ht="15" hidden="false" customHeight="false" outlineLevel="0" collapsed="false">
      <c r="A303" s="37"/>
      <c r="B303" s="10"/>
      <c r="C303" s="10"/>
      <c r="D303" s="10"/>
      <c r="E303" s="10"/>
      <c r="F303" s="6"/>
      <c r="G303" s="38"/>
      <c r="H303" s="38"/>
      <c r="I303" s="6"/>
      <c r="J303" s="38"/>
      <c r="K303" s="6"/>
      <c r="L303" s="25" t="str">
        <f aca="false">IF(B303="","",IFERROR(H303/G303,0))</f>
        <v/>
      </c>
      <c r="M303" s="7" t="str">
        <f aca="false">IF(B303="","",IFERROR(I303/H303,0))</f>
        <v/>
      </c>
      <c r="N303" s="25" t="str">
        <f aca="false">IF(B303="","",IFERROR(I303/K303,0))</f>
        <v/>
      </c>
      <c r="O303" s="26" t="str">
        <f aca="false">IF(B303="","",IFERROR(K303/I303,0))</f>
        <v/>
      </c>
      <c r="P303" s="10"/>
      <c r="Q303" s="4" t="str">
        <f aca="false">IF(B303="","",B303&amp;" | "&amp;C303)</f>
        <v/>
      </c>
      <c r="R303" s="0" t="str">
        <f aca="false">IF(B303="","",Q303&amp;"#"&amp;A303)</f>
        <v/>
      </c>
    </row>
    <row r="304" customFormat="false" ht="15" hidden="false" customHeight="false" outlineLevel="0" collapsed="false">
      <c r="A304" s="37"/>
      <c r="B304" s="10"/>
      <c r="C304" s="10"/>
      <c r="D304" s="10"/>
      <c r="E304" s="10"/>
      <c r="F304" s="6"/>
      <c r="G304" s="38"/>
      <c r="H304" s="38"/>
      <c r="I304" s="6"/>
      <c r="J304" s="38"/>
      <c r="K304" s="6"/>
      <c r="L304" s="25" t="str">
        <f aca="false">IF(B304="","",IFERROR(H304/G304,0))</f>
        <v/>
      </c>
      <c r="M304" s="7" t="str">
        <f aca="false">IF(B304="","",IFERROR(I304/H304,0))</f>
        <v/>
      </c>
      <c r="N304" s="25" t="str">
        <f aca="false">IF(B304="","",IFERROR(I304/K304,0))</f>
        <v/>
      </c>
      <c r="O304" s="26" t="str">
        <f aca="false">IF(B304="","",IFERROR(K304/I304,0))</f>
        <v/>
      </c>
      <c r="P304" s="10"/>
      <c r="Q304" s="4" t="str">
        <f aca="false">IF(B304="","",B304&amp;" | "&amp;C304)</f>
        <v/>
      </c>
      <c r="R304" s="0" t="str">
        <f aca="false">IF(B304="","",Q304&amp;"#"&amp;A304)</f>
        <v/>
      </c>
    </row>
    <row r="305" customFormat="false" ht="15" hidden="false" customHeight="false" outlineLevel="0" collapsed="false">
      <c r="A305" s="37"/>
      <c r="B305" s="10"/>
      <c r="C305" s="10"/>
      <c r="D305" s="10"/>
      <c r="E305" s="10"/>
      <c r="F305" s="6"/>
      <c r="G305" s="38"/>
      <c r="H305" s="38"/>
      <c r="I305" s="6"/>
      <c r="J305" s="38"/>
      <c r="K305" s="6"/>
      <c r="L305" s="25" t="str">
        <f aca="false">IF(B305="","",IFERROR(H305/G305,0))</f>
        <v/>
      </c>
      <c r="M305" s="7" t="str">
        <f aca="false">IF(B305="","",IFERROR(I305/H305,0))</f>
        <v/>
      </c>
      <c r="N305" s="25" t="str">
        <f aca="false">IF(B305="","",IFERROR(I305/K305,0))</f>
        <v/>
      </c>
      <c r="O305" s="26" t="str">
        <f aca="false">IF(B305="","",IFERROR(K305/I305,0))</f>
        <v/>
      </c>
      <c r="P305" s="10"/>
      <c r="Q305" s="4" t="str">
        <f aca="false">IF(B305="","",B305&amp;" | "&amp;C305)</f>
        <v/>
      </c>
      <c r="R305" s="0" t="str">
        <f aca="false">IF(B305="","",Q305&amp;"#"&amp;A305)</f>
        <v/>
      </c>
    </row>
    <row r="306" customFormat="false" ht="15" hidden="false" customHeight="false" outlineLevel="0" collapsed="false">
      <c r="A306" s="37"/>
      <c r="B306" s="10"/>
      <c r="C306" s="10"/>
      <c r="D306" s="10"/>
      <c r="E306" s="10"/>
      <c r="F306" s="6"/>
      <c r="G306" s="38"/>
      <c r="H306" s="38"/>
      <c r="I306" s="6"/>
      <c r="J306" s="38"/>
      <c r="K306" s="6"/>
      <c r="L306" s="25" t="str">
        <f aca="false">IF(B306="","",IFERROR(H306/G306,0))</f>
        <v/>
      </c>
      <c r="M306" s="7" t="str">
        <f aca="false">IF(B306="","",IFERROR(I306/H306,0))</f>
        <v/>
      </c>
      <c r="N306" s="25" t="str">
        <f aca="false">IF(B306="","",IFERROR(I306/K306,0))</f>
        <v/>
      </c>
      <c r="O306" s="26" t="str">
        <f aca="false">IF(B306="","",IFERROR(K306/I306,0))</f>
        <v/>
      </c>
      <c r="P306" s="10"/>
      <c r="Q306" s="4" t="str">
        <f aca="false">IF(B306="","",B306&amp;" | "&amp;C306)</f>
        <v/>
      </c>
      <c r="R306" s="0" t="str">
        <f aca="false">IF(B306="","",Q306&amp;"#"&amp;A306)</f>
        <v/>
      </c>
    </row>
    <row r="307" customFormat="false" ht="15" hidden="false" customHeight="false" outlineLevel="0" collapsed="false">
      <c r="A307" s="37"/>
      <c r="B307" s="10"/>
      <c r="C307" s="10"/>
      <c r="D307" s="10"/>
      <c r="E307" s="10"/>
      <c r="F307" s="6"/>
      <c r="G307" s="38"/>
      <c r="H307" s="38"/>
      <c r="I307" s="6"/>
      <c r="J307" s="38"/>
      <c r="K307" s="6"/>
      <c r="L307" s="25" t="str">
        <f aca="false">IF(B307="","",IFERROR(H307/G307,0))</f>
        <v/>
      </c>
      <c r="M307" s="7" t="str">
        <f aca="false">IF(B307="","",IFERROR(I307/H307,0))</f>
        <v/>
      </c>
      <c r="N307" s="25" t="str">
        <f aca="false">IF(B307="","",IFERROR(I307/K307,0))</f>
        <v/>
      </c>
      <c r="O307" s="26" t="str">
        <f aca="false">IF(B307="","",IFERROR(K307/I307,0))</f>
        <v/>
      </c>
      <c r="P307" s="10"/>
      <c r="Q307" s="4" t="str">
        <f aca="false">IF(B307="","",B307&amp;" | "&amp;C307)</f>
        <v/>
      </c>
      <c r="R307" s="0" t="str">
        <f aca="false">IF(B307="","",Q307&amp;"#"&amp;A307)</f>
        <v/>
      </c>
    </row>
    <row r="308" customFormat="false" ht="15" hidden="false" customHeight="false" outlineLevel="0" collapsed="false">
      <c r="A308" s="37"/>
      <c r="B308" s="10"/>
      <c r="C308" s="10"/>
      <c r="D308" s="10"/>
      <c r="E308" s="10"/>
      <c r="F308" s="6"/>
      <c r="G308" s="38"/>
      <c r="H308" s="38"/>
      <c r="I308" s="6"/>
      <c r="J308" s="38"/>
      <c r="K308" s="6"/>
      <c r="L308" s="25" t="str">
        <f aca="false">IF(B308="","",IFERROR(H308/G308,0))</f>
        <v/>
      </c>
      <c r="M308" s="7" t="str">
        <f aca="false">IF(B308="","",IFERROR(I308/H308,0))</f>
        <v/>
      </c>
      <c r="N308" s="25" t="str">
        <f aca="false">IF(B308="","",IFERROR(I308/K308,0))</f>
        <v/>
      </c>
      <c r="O308" s="26" t="str">
        <f aca="false">IF(B308="","",IFERROR(K308/I308,0))</f>
        <v/>
      </c>
      <c r="P308" s="10"/>
      <c r="Q308" s="4" t="str">
        <f aca="false">IF(B308="","",B308&amp;" | "&amp;C308)</f>
        <v/>
      </c>
      <c r="R308" s="0" t="str">
        <f aca="false">IF(B308="","",Q308&amp;"#"&amp;A308)</f>
        <v/>
      </c>
    </row>
    <row r="309" customFormat="false" ht="15" hidden="false" customHeight="false" outlineLevel="0" collapsed="false">
      <c r="A309" s="37"/>
      <c r="B309" s="10"/>
      <c r="C309" s="10"/>
      <c r="D309" s="10"/>
      <c r="E309" s="10"/>
      <c r="F309" s="6"/>
      <c r="G309" s="38"/>
      <c r="H309" s="38"/>
      <c r="I309" s="6"/>
      <c r="J309" s="38"/>
      <c r="K309" s="6"/>
      <c r="L309" s="25" t="str">
        <f aca="false">IF(B309="","",IFERROR(H309/G309,0))</f>
        <v/>
      </c>
      <c r="M309" s="7" t="str">
        <f aca="false">IF(B309="","",IFERROR(I309/H309,0))</f>
        <v/>
      </c>
      <c r="N309" s="25" t="str">
        <f aca="false">IF(B309="","",IFERROR(I309/K309,0))</f>
        <v/>
      </c>
      <c r="O309" s="26" t="str">
        <f aca="false">IF(B309="","",IFERROR(K309/I309,0))</f>
        <v/>
      </c>
      <c r="P309" s="10"/>
      <c r="Q309" s="4" t="str">
        <f aca="false">IF(B309="","",B309&amp;" | "&amp;C309)</f>
        <v/>
      </c>
      <c r="R309" s="0" t="str">
        <f aca="false">IF(B309="","",Q309&amp;"#"&amp;A309)</f>
        <v/>
      </c>
    </row>
    <row r="310" customFormat="false" ht="15" hidden="false" customHeight="false" outlineLevel="0" collapsed="false">
      <c r="A310" s="37"/>
      <c r="B310" s="10"/>
      <c r="C310" s="10"/>
      <c r="D310" s="10"/>
      <c r="E310" s="10"/>
      <c r="F310" s="6"/>
      <c r="G310" s="38"/>
      <c r="H310" s="38"/>
      <c r="I310" s="6"/>
      <c r="J310" s="38"/>
      <c r="K310" s="6"/>
      <c r="L310" s="25" t="str">
        <f aca="false">IF(B310="","",IFERROR(H310/G310,0))</f>
        <v/>
      </c>
      <c r="M310" s="7" t="str">
        <f aca="false">IF(B310="","",IFERROR(I310/H310,0))</f>
        <v/>
      </c>
      <c r="N310" s="25" t="str">
        <f aca="false">IF(B310="","",IFERROR(I310/K310,0))</f>
        <v/>
      </c>
      <c r="O310" s="26" t="str">
        <f aca="false">IF(B310="","",IFERROR(K310/I310,0))</f>
        <v/>
      </c>
      <c r="P310" s="10"/>
      <c r="Q310" s="4" t="str">
        <f aca="false">IF(B310="","",B310&amp;" | "&amp;C310)</f>
        <v/>
      </c>
      <c r="R310" s="0" t="str">
        <f aca="false">IF(B310="","",Q310&amp;"#"&amp;A310)</f>
        <v/>
      </c>
    </row>
    <row r="311" customFormat="false" ht="15" hidden="false" customHeight="false" outlineLevel="0" collapsed="false">
      <c r="A311" s="37"/>
      <c r="B311" s="10"/>
      <c r="C311" s="10"/>
      <c r="D311" s="10"/>
      <c r="E311" s="10"/>
      <c r="F311" s="6"/>
      <c r="G311" s="38"/>
      <c r="H311" s="38"/>
      <c r="I311" s="6"/>
      <c r="J311" s="38"/>
      <c r="K311" s="6"/>
      <c r="L311" s="25" t="str">
        <f aca="false">IF(B311="","",IFERROR(H311/G311,0))</f>
        <v/>
      </c>
      <c r="M311" s="7" t="str">
        <f aca="false">IF(B311="","",IFERROR(I311/H311,0))</f>
        <v/>
      </c>
      <c r="N311" s="25" t="str">
        <f aca="false">IF(B311="","",IFERROR(I311/K311,0))</f>
        <v/>
      </c>
      <c r="O311" s="26" t="str">
        <f aca="false">IF(B311="","",IFERROR(K311/I311,0))</f>
        <v/>
      </c>
      <c r="P311" s="10"/>
      <c r="Q311" s="4" t="str">
        <f aca="false">IF(B311="","",B311&amp;" | "&amp;C311)</f>
        <v/>
      </c>
      <c r="R311" s="0" t="str">
        <f aca="false">IF(B311="","",Q311&amp;"#"&amp;A311)</f>
        <v/>
      </c>
    </row>
    <row r="312" customFormat="false" ht="15" hidden="false" customHeight="false" outlineLevel="0" collapsed="false">
      <c r="A312" s="37"/>
      <c r="B312" s="10"/>
      <c r="C312" s="10"/>
      <c r="D312" s="10"/>
      <c r="E312" s="10"/>
      <c r="F312" s="6"/>
      <c r="G312" s="38"/>
      <c r="H312" s="38"/>
      <c r="I312" s="6"/>
      <c r="J312" s="38"/>
      <c r="K312" s="6"/>
      <c r="L312" s="25" t="str">
        <f aca="false">IF(B312="","",IFERROR(H312/G312,0))</f>
        <v/>
      </c>
      <c r="M312" s="7" t="str">
        <f aca="false">IF(B312="","",IFERROR(I312/H312,0))</f>
        <v/>
      </c>
      <c r="N312" s="25" t="str">
        <f aca="false">IF(B312="","",IFERROR(I312/K312,0))</f>
        <v/>
      </c>
      <c r="O312" s="26" t="str">
        <f aca="false">IF(B312="","",IFERROR(K312/I312,0))</f>
        <v/>
      </c>
      <c r="P312" s="10"/>
      <c r="Q312" s="4" t="str">
        <f aca="false">IF(B312="","",B312&amp;" | "&amp;C312)</f>
        <v/>
      </c>
      <c r="R312" s="0" t="str">
        <f aca="false">IF(B312="","",Q312&amp;"#"&amp;A312)</f>
        <v/>
      </c>
    </row>
    <row r="313" customFormat="false" ht="15" hidden="false" customHeight="false" outlineLevel="0" collapsed="false">
      <c r="A313" s="37"/>
      <c r="B313" s="10"/>
      <c r="C313" s="10"/>
      <c r="D313" s="10"/>
      <c r="E313" s="10"/>
      <c r="F313" s="6"/>
      <c r="G313" s="38"/>
      <c r="H313" s="38"/>
      <c r="I313" s="6"/>
      <c r="J313" s="38"/>
      <c r="K313" s="6"/>
      <c r="L313" s="25" t="str">
        <f aca="false">IF(B313="","",IFERROR(H313/G313,0))</f>
        <v/>
      </c>
      <c r="M313" s="7" t="str">
        <f aca="false">IF(B313="","",IFERROR(I313/H313,0))</f>
        <v/>
      </c>
      <c r="N313" s="25" t="str">
        <f aca="false">IF(B313="","",IFERROR(I313/K313,0))</f>
        <v/>
      </c>
      <c r="O313" s="26" t="str">
        <f aca="false">IF(B313="","",IFERROR(K313/I313,0))</f>
        <v/>
      </c>
      <c r="P313" s="10"/>
      <c r="Q313" s="4" t="str">
        <f aca="false">IF(B313="","",B313&amp;" | "&amp;C313)</f>
        <v/>
      </c>
      <c r="R313" s="0" t="str">
        <f aca="false">IF(B313="","",Q313&amp;"#"&amp;A313)</f>
        <v/>
      </c>
    </row>
    <row r="314" customFormat="false" ht="15" hidden="false" customHeight="false" outlineLevel="0" collapsed="false">
      <c r="A314" s="37"/>
      <c r="B314" s="10"/>
      <c r="C314" s="10"/>
      <c r="D314" s="10"/>
      <c r="E314" s="10"/>
      <c r="F314" s="6"/>
      <c r="G314" s="38"/>
      <c r="H314" s="38"/>
      <c r="I314" s="6"/>
      <c r="J314" s="38"/>
      <c r="K314" s="6"/>
      <c r="L314" s="25" t="str">
        <f aca="false">IF(B314="","",IFERROR(H314/G314,0))</f>
        <v/>
      </c>
      <c r="M314" s="7" t="str">
        <f aca="false">IF(B314="","",IFERROR(I314/H314,0))</f>
        <v/>
      </c>
      <c r="N314" s="25" t="str">
        <f aca="false">IF(B314="","",IFERROR(I314/K314,0))</f>
        <v/>
      </c>
      <c r="O314" s="26" t="str">
        <f aca="false">IF(B314="","",IFERROR(K314/I314,0))</f>
        <v/>
      </c>
      <c r="P314" s="10"/>
      <c r="Q314" s="4" t="str">
        <f aca="false">IF(B314="","",B314&amp;" | "&amp;C314)</f>
        <v/>
      </c>
      <c r="R314" s="0" t="str">
        <f aca="false">IF(B314="","",Q314&amp;"#"&amp;A314)</f>
        <v/>
      </c>
    </row>
    <row r="315" customFormat="false" ht="15" hidden="false" customHeight="false" outlineLevel="0" collapsed="false">
      <c r="A315" s="37"/>
      <c r="B315" s="10"/>
      <c r="C315" s="10"/>
      <c r="D315" s="10"/>
      <c r="E315" s="10"/>
      <c r="F315" s="6"/>
      <c r="G315" s="38"/>
      <c r="H315" s="38"/>
      <c r="I315" s="6"/>
      <c r="J315" s="38"/>
      <c r="K315" s="6"/>
      <c r="L315" s="25" t="str">
        <f aca="false">IF(B315="","",IFERROR(H315/G315,0))</f>
        <v/>
      </c>
      <c r="M315" s="7" t="str">
        <f aca="false">IF(B315="","",IFERROR(I315/H315,0))</f>
        <v/>
      </c>
      <c r="N315" s="25" t="str">
        <f aca="false">IF(B315="","",IFERROR(I315/K315,0))</f>
        <v/>
      </c>
      <c r="O315" s="26" t="str">
        <f aca="false">IF(B315="","",IFERROR(K315/I315,0))</f>
        <v/>
      </c>
      <c r="P315" s="10"/>
      <c r="Q315" s="4" t="str">
        <f aca="false">IF(B315="","",B315&amp;" | "&amp;C315)</f>
        <v/>
      </c>
      <c r="R315" s="0" t="str">
        <f aca="false">IF(B315="","",Q315&amp;"#"&amp;A315)</f>
        <v/>
      </c>
    </row>
    <row r="316" customFormat="false" ht="15" hidden="false" customHeight="false" outlineLevel="0" collapsed="false">
      <c r="A316" s="37"/>
      <c r="B316" s="10"/>
      <c r="C316" s="10"/>
      <c r="D316" s="10"/>
      <c r="E316" s="10"/>
      <c r="F316" s="6"/>
      <c r="G316" s="38"/>
      <c r="H316" s="38"/>
      <c r="I316" s="6"/>
      <c r="J316" s="38"/>
      <c r="K316" s="6"/>
      <c r="L316" s="25" t="str">
        <f aca="false">IF(B316="","",IFERROR(H316/G316,0))</f>
        <v/>
      </c>
      <c r="M316" s="7" t="str">
        <f aca="false">IF(B316="","",IFERROR(I316/H316,0))</f>
        <v/>
      </c>
      <c r="N316" s="25" t="str">
        <f aca="false">IF(B316="","",IFERROR(I316/K316,0))</f>
        <v/>
      </c>
      <c r="O316" s="26" t="str">
        <f aca="false">IF(B316="","",IFERROR(K316/I316,0))</f>
        <v/>
      </c>
      <c r="P316" s="10"/>
      <c r="Q316" s="4" t="str">
        <f aca="false">IF(B316="","",B316&amp;" | "&amp;C316)</f>
        <v/>
      </c>
      <c r="R316" s="0" t="str">
        <f aca="false">IF(B316="","",Q316&amp;"#"&amp;A316)</f>
        <v/>
      </c>
    </row>
    <row r="317" customFormat="false" ht="15" hidden="false" customHeight="false" outlineLevel="0" collapsed="false">
      <c r="A317" s="37"/>
      <c r="B317" s="10"/>
      <c r="C317" s="10"/>
      <c r="D317" s="10"/>
      <c r="E317" s="10"/>
      <c r="F317" s="6"/>
      <c r="G317" s="38"/>
      <c r="H317" s="38"/>
      <c r="I317" s="6"/>
      <c r="J317" s="38"/>
      <c r="K317" s="6"/>
      <c r="L317" s="25" t="str">
        <f aca="false">IF(B317="","",IFERROR(H317/G317,0))</f>
        <v/>
      </c>
      <c r="M317" s="7" t="str">
        <f aca="false">IF(B317="","",IFERROR(I317/H317,0))</f>
        <v/>
      </c>
      <c r="N317" s="25" t="str">
        <f aca="false">IF(B317="","",IFERROR(I317/K317,0))</f>
        <v/>
      </c>
      <c r="O317" s="26" t="str">
        <f aca="false">IF(B317="","",IFERROR(K317/I317,0))</f>
        <v/>
      </c>
      <c r="P317" s="10"/>
      <c r="Q317" s="4" t="str">
        <f aca="false">IF(B317="","",B317&amp;" | "&amp;C317)</f>
        <v/>
      </c>
      <c r="R317" s="0" t="str">
        <f aca="false">IF(B317="","",Q317&amp;"#"&amp;A317)</f>
        <v/>
      </c>
    </row>
    <row r="318" customFormat="false" ht="15" hidden="false" customHeight="false" outlineLevel="0" collapsed="false">
      <c r="A318" s="37"/>
      <c r="B318" s="10"/>
      <c r="C318" s="10"/>
      <c r="D318" s="10"/>
      <c r="E318" s="10"/>
      <c r="F318" s="6"/>
      <c r="G318" s="38"/>
      <c r="H318" s="38"/>
      <c r="I318" s="6"/>
      <c r="J318" s="38"/>
      <c r="K318" s="6"/>
      <c r="L318" s="25" t="str">
        <f aca="false">IF(B318="","",IFERROR(H318/G318,0))</f>
        <v/>
      </c>
      <c r="M318" s="7" t="str">
        <f aca="false">IF(B318="","",IFERROR(I318/H318,0))</f>
        <v/>
      </c>
      <c r="N318" s="25" t="str">
        <f aca="false">IF(B318="","",IFERROR(I318/K318,0))</f>
        <v/>
      </c>
      <c r="O318" s="26" t="str">
        <f aca="false">IF(B318="","",IFERROR(K318/I318,0))</f>
        <v/>
      </c>
      <c r="P318" s="10"/>
      <c r="Q318" s="4" t="str">
        <f aca="false">IF(B318="","",B318&amp;" | "&amp;C318)</f>
        <v/>
      </c>
      <c r="R318" s="0" t="str">
        <f aca="false">IF(B318="","",Q318&amp;"#"&amp;A318)</f>
        <v/>
      </c>
    </row>
    <row r="319" customFormat="false" ht="15" hidden="false" customHeight="false" outlineLevel="0" collapsed="false">
      <c r="A319" s="37"/>
      <c r="B319" s="10"/>
      <c r="C319" s="10"/>
      <c r="D319" s="10"/>
      <c r="E319" s="10"/>
      <c r="F319" s="6"/>
      <c r="G319" s="38"/>
      <c r="H319" s="38"/>
      <c r="I319" s="6"/>
      <c r="J319" s="38"/>
      <c r="K319" s="6"/>
      <c r="L319" s="25" t="str">
        <f aca="false">IF(B319="","",IFERROR(H319/G319,0))</f>
        <v/>
      </c>
      <c r="M319" s="7" t="str">
        <f aca="false">IF(B319="","",IFERROR(I319/H319,0))</f>
        <v/>
      </c>
      <c r="N319" s="25" t="str">
        <f aca="false">IF(B319="","",IFERROR(I319/K319,0))</f>
        <v/>
      </c>
      <c r="O319" s="26" t="str">
        <f aca="false">IF(B319="","",IFERROR(K319/I319,0))</f>
        <v/>
      </c>
      <c r="P319" s="10"/>
      <c r="Q319" s="4" t="str">
        <f aca="false">IF(B319="","",B319&amp;" | "&amp;C319)</f>
        <v/>
      </c>
      <c r="R319" s="0" t="str">
        <f aca="false">IF(B319="","",Q319&amp;"#"&amp;A319)</f>
        <v/>
      </c>
    </row>
    <row r="320" customFormat="false" ht="15" hidden="false" customHeight="false" outlineLevel="0" collapsed="false">
      <c r="A320" s="37"/>
      <c r="B320" s="10"/>
      <c r="C320" s="10"/>
      <c r="D320" s="10"/>
      <c r="E320" s="10"/>
      <c r="F320" s="6"/>
      <c r="G320" s="38"/>
      <c r="H320" s="38"/>
      <c r="I320" s="6"/>
      <c r="J320" s="38"/>
      <c r="K320" s="6"/>
      <c r="L320" s="25" t="str">
        <f aca="false">IF(B320="","",IFERROR(H320/G320,0))</f>
        <v/>
      </c>
      <c r="M320" s="7" t="str">
        <f aca="false">IF(B320="","",IFERROR(I320/H320,0))</f>
        <v/>
      </c>
      <c r="N320" s="25" t="str">
        <f aca="false">IF(B320="","",IFERROR(I320/K320,0))</f>
        <v/>
      </c>
      <c r="O320" s="26" t="str">
        <f aca="false">IF(B320="","",IFERROR(K320/I320,0))</f>
        <v/>
      </c>
      <c r="P320" s="10"/>
      <c r="Q320" s="4" t="str">
        <f aca="false">IF(B320="","",B320&amp;" | "&amp;C320)</f>
        <v/>
      </c>
      <c r="R320" s="0" t="str">
        <f aca="false">IF(B320="","",Q320&amp;"#"&amp;A320)</f>
        <v/>
      </c>
    </row>
    <row r="321" customFormat="false" ht="15" hidden="false" customHeight="false" outlineLevel="0" collapsed="false">
      <c r="A321" s="37"/>
      <c r="B321" s="10"/>
      <c r="C321" s="10"/>
      <c r="D321" s="10"/>
      <c r="E321" s="10"/>
      <c r="F321" s="6"/>
      <c r="G321" s="38"/>
      <c r="H321" s="38"/>
      <c r="I321" s="6"/>
      <c r="J321" s="38"/>
      <c r="K321" s="6"/>
      <c r="L321" s="25" t="str">
        <f aca="false">IF(B321="","",IFERROR(H321/G321,0))</f>
        <v/>
      </c>
      <c r="M321" s="7" t="str">
        <f aca="false">IF(B321="","",IFERROR(I321/H321,0))</f>
        <v/>
      </c>
      <c r="N321" s="25" t="str">
        <f aca="false">IF(B321="","",IFERROR(I321/K321,0))</f>
        <v/>
      </c>
      <c r="O321" s="26" t="str">
        <f aca="false">IF(B321="","",IFERROR(K321/I321,0))</f>
        <v/>
      </c>
      <c r="P321" s="10"/>
      <c r="Q321" s="4" t="str">
        <f aca="false">IF(B321="","",B321&amp;" | "&amp;C321)</f>
        <v/>
      </c>
      <c r="R321" s="0" t="str">
        <f aca="false">IF(B321="","",Q321&amp;"#"&amp;A321)</f>
        <v/>
      </c>
    </row>
    <row r="322" customFormat="false" ht="15" hidden="false" customHeight="false" outlineLevel="0" collapsed="false">
      <c r="A322" s="37"/>
      <c r="B322" s="10"/>
      <c r="C322" s="10"/>
      <c r="D322" s="10"/>
      <c r="E322" s="10"/>
      <c r="F322" s="6"/>
      <c r="G322" s="38"/>
      <c r="H322" s="38"/>
      <c r="I322" s="6"/>
      <c r="J322" s="38"/>
      <c r="K322" s="6"/>
      <c r="L322" s="25" t="str">
        <f aca="false">IF(B322="","",IFERROR(H322/G322,0))</f>
        <v/>
      </c>
      <c r="M322" s="7" t="str">
        <f aca="false">IF(B322="","",IFERROR(I322/H322,0))</f>
        <v/>
      </c>
      <c r="N322" s="25" t="str">
        <f aca="false">IF(B322="","",IFERROR(I322/K322,0))</f>
        <v/>
      </c>
      <c r="O322" s="26" t="str">
        <f aca="false">IF(B322="","",IFERROR(K322/I322,0))</f>
        <v/>
      </c>
      <c r="P322" s="10"/>
      <c r="Q322" s="4" t="str">
        <f aca="false">IF(B322="","",B322&amp;" | "&amp;C322)</f>
        <v/>
      </c>
      <c r="R322" s="0" t="str">
        <f aca="false">IF(B322="","",Q322&amp;"#"&amp;A322)</f>
        <v/>
      </c>
    </row>
    <row r="323" customFormat="false" ht="15" hidden="false" customHeight="false" outlineLevel="0" collapsed="false">
      <c r="A323" s="37"/>
      <c r="B323" s="10"/>
      <c r="C323" s="10"/>
      <c r="D323" s="10"/>
      <c r="E323" s="10"/>
      <c r="F323" s="6"/>
      <c r="G323" s="38"/>
      <c r="H323" s="38"/>
      <c r="I323" s="6"/>
      <c r="J323" s="38"/>
      <c r="K323" s="6"/>
      <c r="L323" s="25" t="str">
        <f aca="false">IF(B323="","",IFERROR(H323/G323,0))</f>
        <v/>
      </c>
      <c r="M323" s="7" t="str">
        <f aca="false">IF(B323="","",IFERROR(I323/H323,0))</f>
        <v/>
      </c>
      <c r="N323" s="25" t="str">
        <f aca="false">IF(B323="","",IFERROR(I323/K323,0))</f>
        <v/>
      </c>
      <c r="O323" s="26" t="str">
        <f aca="false">IF(B323="","",IFERROR(K323/I323,0))</f>
        <v/>
      </c>
      <c r="P323" s="10"/>
      <c r="Q323" s="4" t="str">
        <f aca="false">IF(B323="","",B323&amp;" | "&amp;C323)</f>
        <v/>
      </c>
      <c r="R323" s="0" t="str">
        <f aca="false">IF(B323="","",Q323&amp;"#"&amp;A323)</f>
        <v/>
      </c>
    </row>
    <row r="324" customFormat="false" ht="15" hidden="false" customHeight="false" outlineLevel="0" collapsed="false">
      <c r="A324" s="37"/>
      <c r="B324" s="10"/>
      <c r="C324" s="10"/>
      <c r="D324" s="10"/>
      <c r="E324" s="10"/>
      <c r="F324" s="6"/>
      <c r="G324" s="38"/>
      <c r="H324" s="38"/>
      <c r="I324" s="6"/>
      <c r="J324" s="38"/>
      <c r="K324" s="6"/>
      <c r="L324" s="25" t="str">
        <f aca="false">IF(B324="","",IFERROR(H324/G324,0))</f>
        <v/>
      </c>
      <c r="M324" s="7" t="str">
        <f aca="false">IF(B324="","",IFERROR(I324/H324,0))</f>
        <v/>
      </c>
      <c r="N324" s="25" t="str">
        <f aca="false">IF(B324="","",IFERROR(I324/K324,0))</f>
        <v/>
      </c>
      <c r="O324" s="26" t="str">
        <f aca="false">IF(B324="","",IFERROR(K324/I324,0))</f>
        <v/>
      </c>
      <c r="P324" s="10"/>
      <c r="Q324" s="4" t="str">
        <f aca="false">IF(B324="","",B324&amp;" | "&amp;C324)</f>
        <v/>
      </c>
      <c r="R324" s="0" t="str">
        <f aca="false">IF(B324="","",Q324&amp;"#"&amp;A324)</f>
        <v/>
      </c>
    </row>
    <row r="325" customFormat="false" ht="15" hidden="false" customHeight="false" outlineLevel="0" collapsed="false">
      <c r="A325" s="37"/>
      <c r="B325" s="10"/>
      <c r="C325" s="10"/>
      <c r="D325" s="10"/>
      <c r="E325" s="10"/>
      <c r="F325" s="6"/>
      <c r="G325" s="38"/>
      <c r="H325" s="38"/>
      <c r="I325" s="6"/>
      <c r="J325" s="38"/>
      <c r="K325" s="6"/>
      <c r="L325" s="25" t="str">
        <f aca="false">IF(B325="","",IFERROR(H325/G325,0))</f>
        <v/>
      </c>
      <c r="M325" s="7" t="str">
        <f aca="false">IF(B325="","",IFERROR(I325/H325,0))</f>
        <v/>
      </c>
      <c r="N325" s="25" t="str">
        <f aca="false">IF(B325="","",IFERROR(I325/K325,0))</f>
        <v/>
      </c>
      <c r="O325" s="26" t="str">
        <f aca="false">IF(B325="","",IFERROR(K325/I325,0))</f>
        <v/>
      </c>
      <c r="P325" s="10"/>
      <c r="Q325" s="4" t="str">
        <f aca="false">IF(B325="","",B325&amp;" | "&amp;C325)</f>
        <v/>
      </c>
      <c r="R325" s="0" t="str">
        <f aca="false">IF(B325="","",Q325&amp;"#"&amp;A325)</f>
        <v/>
      </c>
    </row>
    <row r="326" customFormat="false" ht="15" hidden="false" customHeight="false" outlineLevel="0" collapsed="false">
      <c r="A326" s="37"/>
      <c r="B326" s="10"/>
      <c r="C326" s="10"/>
      <c r="D326" s="10"/>
      <c r="E326" s="10"/>
      <c r="F326" s="6"/>
      <c r="G326" s="38"/>
      <c r="H326" s="38"/>
      <c r="I326" s="6"/>
      <c r="J326" s="38"/>
      <c r="K326" s="6"/>
      <c r="L326" s="25" t="str">
        <f aca="false">IF(B326="","",IFERROR(H326/G326,0))</f>
        <v/>
      </c>
      <c r="M326" s="7" t="str">
        <f aca="false">IF(B326="","",IFERROR(I326/H326,0))</f>
        <v/>
      </c>
      <c r="N326" s="25" t="str">
        <f aca="false">IF(B326="","",IFERROR(I326/K326,0))</f>
        <v/>
      </c>
      <c r="O326" s="26" t="str">
        <f aca="false">IF(B326="","",IFERROR(K326/I326,0))</f>
        <v/>
      </c>
      <c r="P326" s="10"/>
      <c r="Q326" s="4" t="str">
        <f aca="false">IF(B326="","",B326&amp;" | "&amp;C326)</f>
        <v/>
      </c>
      <c r="R326" s="0" t="str">
        <f aca="false">IF(B326="","",Q326&amp;"#"&amp;A326)</f>
        <v/>
      </c>
    </row>
    <row r="327" customFormat="false" ht="15" hidden="false" customHeight="false" outlineLevel="0" collapsed="false">
      <c r="A327" s="37"/>
      <c r="B327" s="10"/>
      <c r="C327" s="10"/>
      <c r="D327" s="10"/>
      <c r="E327" s="10"/>
      <c r="F327" s="6"/>
      <c r="G327" s="38"/>
      <c r="H327" s="38"/>
      <c r="I327" s="6"/>
      <c r="J327" s="38"/>
      <c r="K327" s="6"/>
      <c r="L327" s="25" t="str">
        <f aca="false">IF(B327="","",IFERROR(H327/G327,0))</f>
        <v/>
      </c>
      <c r="M327" s="7" t="str">
        <f aca="false">IF(B327="","",IFERROR(I327/H327,0))</f>
        <v/>
      </c>
      <c r="N327" s="25" t="str">
        <f aca="false">IF(B327="","",IFERROR(I327/K327,0))</f>
        <v/>
      </c>
      <c r="O327" s="26" t="str">
        <f aca="false">IF(B327="","",IFERROR(K327/I327,0))</f>
        <v/>
      </c>
      <c r="P327" s="10"/>
      <c r="Q327" s="4" t="str">
        <f aca="false">IF(B327="","",B327&amp;" | "&amp;C327)</f>
        <v/>
      </c>
      <c r="R327" s="0" t="str">
        <f aca="false">IF(B327="","",Q327&amp;"#"&amp;A327)</f>
        <v/>
      </c>
    </row>
    <row r="328" customFormat="false" ht="15" hidden="false" customHeight="false" outlineLevel="0" collapsed="false">
      <c r="A328" s="37"/>
      <c r="B328" s="10"/>
      <c r="C328" s="10"/>
      <c r="D328" s="10"/>
      <c r="E328" s="10"/>
      <c r="F328" s="6"/>
      <c r="G328" s="38"/>
      <c r="H328" s="38"/>
      <c r="I328" s="6"/>
      <c r="J328" s="38"/>
      <c r="K328" s="6"/>
      <c r="L328" s="25" t="str">
        <f aca="false">IF(B328="","",IFERROR(H328/G328,0))</f>
        <v/>
      </c>
      <c r="M328" s="7" t="str">
        <f aca="false">IF(B328="","",IFERROR(I328/H328,0))</f>
        <v/>
      </c>
      <c r="N328" s="25" t="str">
        <f aca="false">IF(B328="","",IFERROR(I328/K328,0))</f>
        <v/>
      </c>
      <c r="O328" s="26" t="str">
        <f aca="false">IF(B328="","",IFERROR(K328/I328,0))</f>
        <v/>
      </c>
      <c r="P328" s="10"/>
      <c r="Q328" s="4" t="str">
        <f aca="false">IF(B328="","",B328&amp;" | "&amp;C328)</f>
        <v/>
      </c>
      <c r="R328" s="0" t="str">
        <f aca="false">IF(B328="","",Q328&amp;"#"&amp;A328)</f>
        <v/>
      </c>
    </row>
    <row r="329" customFormat="false" ht="15" hidden="false" customHeight="false" outlineLevel="0" collapsed="false">
      <c r="A329" s="37"/>
      <c r="B329" s="10"/>
      <c r="C329" s="10"/>
      <c r="D329" s="10"/>
      <c r="E329" s="10"/>
      <c r="F329" s="6"/>
      <c r="G329" s="38"/>
      <c r="H329" s="38"/>
      <c r="I329" s="6"/>
      <c r="J329" s="38"/>
      <c r="K329" s="6"/>
      <c r="L329" s="25" t="str">
        <f aca="false">IF(B329="","",IFERROR(H329/G329,0))</f>
        <v/>
      </c>
      <c r="M329" s="7" t="str">
        <f aca="false">IF(B329="","",IFERROR(I329/H329,0))</f>
        <v/>
      </c>
      <c r="N329" s="25" t="str">
        <f aca="false">IF(B329="","",IFERROR(I329/K329,0))</f>
        <v/>
      </c>
      <c r="O329" s="26" t="str">
        <f aca="false">IF(B329="","",IFERROR(K329/I329,0))</f>
        <v/>
      </c>
      <c r="P329" s="10"/>
      <c r="Q329" s="4" t="str">
        <f aca="false">IF(B329="","",B329&amp;" | "&amp;C329)</f>
        <v/>
      </c>
      <c r="R329" s="0" t="str">
        <f aca="false">IF(B329="","",Q329&amp;"#"&amp;A329)</f>
        <v/>
      </c>
    </row>
    <row r="330" customFormat="false" ht="15" hidden="false" customHeight="false" outlineLevel="0" collapsed="false">
      <c r="A330" s="37"/>
      <c r="B330" s="10"/>
      <c r="C330" s="10"/>
      <c r="D330" s="10"/>
      <c r="E330" s="10"/>
      <c r="F330" s="6"/>
      <c r="G330" s="38"/>
      <c r="H330" s="38"/>
      <c r="I330" s="6"/>
      <c r="J330" s="38"/>
      <c r="K330" s="6"/>
      <c r="L330" s="25" t="str">
        <f aca="false">IF(B330="","",IFERROR(H330/G330,0))</f>
        <v/>
      </c>
      <c r="M330" s="7" t="str">
        <f aca="false">IF(B330="","",IFERROR(I330/H330,0))</f>
        <v/>
      </c>
      <c r="N330" s="25" t="str">
        <f aca="false">IF(B330="","",IFERROR(I330/K330,0))</f>
        <v/>
      </c>
      <c r="O330" s="26" t="str">
        <f aca="false">IF(B330="","",IFERROR(K330/I330,0))</f>
        <v/>
      </c>
      <c r="P330" s="10"/>
      <c r="Q330" s="4" t="str">
        <f aca="false">IF(B330="","",B330&amp;" | "&amp;C330)</f>
        <v/>
      </c>
      <c r="R330" s="0" t="str">
        <f aca="false">IF(B330="","",Q330&amp;"#"&amp;A330)</f>
        <v/>
      </c>
    </row>
    <row r="331" customFormat="false" ht="15" hidden="false" customHeight="false" outlineLevel="0" collapsed="false">
      <c r="A331" s="37"/>
      <c r="B331" s="10"/>
      <c r="C331" s="10"/>
      <c r="D331" s="10"/>
      <c r="E331" s="10"/>
      <c r="F331" s="6"/>
      <c r="G331" s="38"/>
      <c r="H331" s="38"/>
      <c r="I331" s="6"/>
      <c r="J331" s="38"/>
      <c r="K331" s="6"/>
      <c r="L331" s="25" t="str">
        <f aca="false">IF(B331="","",IFERROR(H331/G331,0))</f>
        <v/>
      </c>
      <c r="M331" s="7" t="str">
        <f aca="false">IF(B331="","",IFERROR(I331/H331,0))</f>
        <v/>
      </c>
      <c r="N331" s="25" t="str">
        <f aca="false">IF(B331="","",IFERROR(I331/K331,0))</f>
        <v/>
      </c>
      <c r="O331" s="26" t="str">
        <f aca="false">IF(B331="","",IFERROR(K331/I331,0))</f>
        <v/>
      </c>
      <c r="P331" s="10"/>
      <c r="Q331" s="4" t="str">
        <f aca="false">IF(B331="","",B331&amp;" | "&amp;C331)</f>
        <v/>
      </c>
      <c r="R331" s="0" t="str">
        <f aca="false">IF(B331="","",Q331&amp;"#"&amp;A331)</f>
        <v/>
      </c>
    </row>
    <row r="332" customFormat="false" ht="15" hidden="false" customHeight="false" outlineLevel="0" collapsed="false">
      <c r="A332" s="37"/>
      <c r="B332" s="10"/>
      <c r="C332" s="10"/>
      <c r="D332" s="10"/>
      <c r="E332" s="10"/>
      <c r="F332" s="6"/>
      <c r="G332" s="38"/>
      <c r="H332" s="38"/>
      <c r="I332" s="6"/>
      <c r="J332" s="38"/>
      <c r="K332" s="6"/>
      <c r="L332" s="25" t="str">
        <f aca="false">IF(B332="","",IFERROR(H332/G332,0))</f>
        <v/>
      </c>
      <c r="M332" s="7" t="str">
        <f aca="false">IF(B332="","",IFERROR(I332/H332,0))</f>
        <v/>
      </c>
      <c r="N332" s="25" t="str">
        <f aca="false">IF(B332="","",IFERROR(I332/K332,0))</f>
        <v/>
      </c>
      <c r="O332" s="26" t="str">
        <f aca="false">IF(B332="","",IFERROR(K332/I332,0))</f>
        <v/>
      </c>
      <c r="P332" s="10"/>
      <c r="Q332" s="4" t="str">
        <f aca="false">IF(B332="","",B332&amp;" | "&amp;C332)</f>
        <v/>
      </c>
      <c r="R332" s="0" t="str">
        <f aca="false">IF(B332="","",Q332&amp;"#"&amp;A332)</f>
        <v/>
      </c>
    </row>
    <row r="333" customFormat="false" ht="15" hidden="false" customHeight="false" outlineLevel="0" collapsed="false">
      <c r="A333" s="37"/>
      <c r="B333" s="10"/>
      <c r="C333" s="10"/>
      <c r="D333" s="10"/>
      <c r="E333" s="10"/>
      <c r="F333" s="6"/>
      <c r="G333" s="38"/>
      <c r="H333" s="38"/>
      <c r="I333" s="6"/>
      <c r="J333" s="38"/>
      <c r="K333" s="6"/>
      <c r="L333" s="25" t="str">
        <f aca="false">IF(B333="","",IFERROR(H333/G333,0))</f>
        <v/>
      </c>
      <c r="M333" s="7" t="str">
        <f aca="false">IF(B333="","",IFERROR(I333/H333,0))</f>
        <v/>
      </c>
      <c r="N333" s="25" t="str">
        <f aca="false">IF(B333="","",IFERROR(I333/K333,0))</f>
        <v/>
      </c>
      <c r="O333" s="26" t="str">
        <f aca="false">IF(B333="","",IFERROR(K333/I333,0))</f>
        <v/>
      </c>
      <c r="P333" s="10"/>
      <c r="Q333" s="4" t="str">
        <f aca="false">IF(B333="","",B333&amp;" | "&amp;C333)</f>
        <v/>
      </c>
      <c r="R333" s="0" t="str">
        <f aca="false">IF(B333="","",Q333&amp;"#"&amp;A333)</f>
        <v/>
      </c>
    </row>
    <row r="334" customFormat="false" ht="15" hidden="false" customHeight="false" outlineLevel="0" collapsed="false">
      <c r="A334" s="37"/>
      <c r="B334" s="10"/>
      <c r="C334" s="10"/>
      <c r="D334" s="10"/>
      <c r="E334" s="10"/>
      <c r="F334" s="6"/>
      <c r="G334" s="38"/>
      <c r="H334" s="38"/>
      <c r="I334" s="6"/>
      <c r="J334" s="38"/>
      <c r="K334" s="6"/>
      <c r="L334" s="25" t="str">
        <f aca="false">IF(B334="","",IFERROR(H334/G334,0))</f>
        <v/>
      </c>
      <c r="M334" s="7" t="str">
        <f aca="false">IF(B334="","",IFERROR(I334/H334,0))</f>
        <v/>
      </c>
      <c r="N334" s="25" t="str">
        <f aca="false">IF(B334="","",IFERROR(I334/K334,0))</f>
        <v/>
      </c>
      <c r="O334" s="26" t="str">
        <f aca="false">IF(B334="","",IFERROR(K334/I334,0))</f>
        <v/>
      </c>
      <c r="P334" s="10"/>
      <c r="Q334" s="4" t="str">
        <f aca="false">IF(B334="","",B334&amp;" | "&amp;C334)</f>
        <v/>
      </c>
      <c r="R334" s="0" t="str">
        <f aca="false">IF(B334="","",Q334&amp;"#"&amp;A334)</f>
        <v/>
      </c>
    </row>
    <row r="335" customFormat="false" ht="15" hidden="false" customHeight="false" outlineLevel="0" collapsed="false">
      <c r="A335" s="37"/>
      <c r="B335" s="10"/>
      <c r="C335" s="10"/>
      <c r="D335" s="10"/>
      <c r="E335" s="10"/>
      <c r="F335" s="6"/>
      <c r="G335" s="38"/>
      <c r="H335" s="38"/>
      <c r="I335" s="6"/>
      <c r="J335" s="38"/>
      <c r="K335" s="6"/>
      <c r="L335" s="25" t="str">
        <f aca="false">IF(B335="","",IFERROR(H335/G335,0))</f>
        <v/>
      </c>
      <c r="M335" s="7" t="str">
        <f aca="false">IF(B335="","",IFERROR(I335/H335,0))</f>
        <v/>
      </c>
      <c r="N335" s="25" t="str">
        <f aca="false">IF(B335="","",IFERROR(I335/K335,0))</f>
        <v/>
      </c>
      <c r="O335" s="26" t="str">
        <f aca="false">IF(B335="","",IFERROR(K335/I335,0))</f>
        <v/>
      </c>
      <c r="P335" s="10"/>
      <c r="Q335" s="4" t="str">
        <f aca="false">IF(B335="","",B335&amp;" | "&amp;C335)</f>
        <v/>
      </c>
      <c r="R335" s="0" t="str">
        <f aca="false">IF(B335="","",Q335&amp;"#"&amp;A335)</f>
        <v/>
      </c>
    </row>
    <row r="336" customFormat="false" ht="15" hidden="false" customHeight="false" outlineLevel="0" collapsed="false">
      <c r="A336" s="37"/>
      <c r="B336" s="10"/>
      <c r="C336" s="10"/>
      <c r="D336" s="10"/>
      <c r="E336" s="10"/>
      <c r="F336" s="6"/>
      <c r="G336" s="38"/>
      <c r="H336" s="38"/>
      <c r="I336" s="6"/>
      <c r="J336" s="38"/>
      <c r="K336" s="6"/>
      <c r="L336" s="25" t="str">
        <f aca="false">IF(B336="","",IFERROR(H336/G336,0))</f>
        <v/>
      </c>
      <c r="M336" s="7" t="str">
        <f aca="false">IF(B336="","",IFERROR(I336/H336,0))</f>
        <v/>
      </c>
      <c r="N336" s="25" t="str">
        <f aca="false">IF(B336="","",IFERROR(I336/K336,0))</f>
        <v/>
      </c>
      <c r="O336" s="26" t="str">
        <f aca="false">IF(B336="","",IFERROR(K336/I336,0))</f>
        <v/>
      </c>
      <c r="P336" s="10"/>
      <c r="Q336" s="4" t="str">
        <f aca="false">IF(B336="","",B336&amp;" | "&amp;C336)</f>
        <v/>
      </c>
      <c r="R336" s="0" t="str">
        <f aca="false">IF(B336="","",Q336&amp;"#"&amp;A336)</f>
        <v/>
      </c>
    </row>
    <row r="337" customFormat="false" ht="15" hidden="false" customHeight="false" outlineLevel="0" collapsed="false">
      <c r="A337" s="37"/>
      <c r="B337" s="10"/>
      <c r="C337" s="10"/>
      <c r="D337" s="10"/>
      <c r="E337" s="10"/>
      <c r="F337" s="6"/>
      <c r="G337" s="38"/>
      <c r="H337" s="38"/>
      <c r="I337" s="6"/>
      <c r="J337" s="38"/>
      <c r="K337" s="6"/>
      <c r="L337" s="25" t="str">
        <f aca="false">IF(B337="","",IFERROR(H337/G337,0))</f>
        <v/>
      </c>
      <c r="M337" s="7" t="str">
        <f aca="false">IF(B337="","",IFERROR(I337/H337,0))</f>
        <v/>
      </c>
      <c r="N337" s="25" t="str">
        <f aca="false">IF(B337="","",IFERROR(I337/K337,0))</f>
        <v/>
      </c>
      <c r="O337" s="26" t="str">
        <f aca="false">IF(B337="","",IFERROR(K337/I337,0))</f>
        <v/>
      </c>
      <c r="P337" s="10"/>
      <c r="Q337" s="4" t="str">
        <f aca="false">IF(B337="","",B337&amp;" | "&amp;C337)</f>
        <v/>
      </c>
      <c r="R337" s="0" t="str">
        <f aca="false">IF(B337="","",Q337&amp;"#"&amp;A337)</f>
        <v/>
      </c>
    </row>
    <row r="338" customFormat="false" ht="15" hidden="false" customHeight="false" outlineLevel="0" collapsed="false">
      <c r="A338" s="37"/>
      <c r="B338" s="10"/>
      <c r="C338" s="10"/>
      <c r="D338" s="10"/>
      <c r="E338" s="10"/>
      <c r="F338" s="6"/>
      <c r="G338" s="38"/>
      <c r="H338" s="38"/>
      <c r="I338" s="6"/>
      <c r="J338" s="38"/>
      <c r="K338" s="6"/>
      <c r="L338" s="25" t="str">
        <f aca="false">IF(B338="","",IFERROR(H338/G338,0))</f>
        <v/>
      </c>
      <c r="M338" s="7" t="str">
        <f aca="false">IF(B338="","",IFERROR(I338/H338,0))</f>
        <v/>
      </c>
      <c r="N338" s="25" t="str">
        <f aca="false">IF(B338="","",IFERROR(I338/K338,0))</f>
        <v/>
      </c>
      <c r="O338" s="26" t="str">
        <f aca="false">IF(B338="","",IFERROR(K338/I338,0))</f>
        <v/>
      </c>
      <c r="P338" s="10"/>
      <c r="Q338" s="4" t="str">
        <f aca="false">IF(B338="","",B338&amp;" | "&amp;C338)</f>
        <v/>
      </c>
      <c r="R338" s="0" t="str">
        <f aca="false">IF(B338="","",Q338&amp;"#"&amp;A338)</f>
        <v/>
      </c>
    </row>
    <row r="339" customFormat="false" ht="15" hidden="false" customHeight="false" outlineLevel="0" collapsed="false">
      <c r="A339" s="37"/>
      <c r="B339" s="10"/>
      <c r="C339" s="10"/>
      <c r="D339" s="10"/>
      <c r="E339" s="10"/>
      <c r="F339" s="6"/>
      <c r="G339" s="38"/>
      <c r="H339" s="38"/>
      <c r="I339" s="6"/>
      <c r="J339" s="38"/>
      <c r="K339" s="6"/>
      <c r="L339" s="25" t="str">
        <f aca="false">IF(B339="","",IFERROR(H339/G339,0))</f>
        <v/>
      </c>
      <c r="M339" s="7" t="str">
        <f aca="false">IF(B339="","",IFERROR(I339/H339,0))</f>
        <v/>
      </c>
      <c r="N339" s="25" t="str">
        <f aca="false">IF(B339="","",IFERROR(I339/K339,0))</f>
        <v/>
      </c>
      <c r="O339" s="26" t="str">
        <f aca="false">IF(B339="","",IFERROR(K339/I339,0))</f>
        <v/>
      </c>
      <c r="P339" s="10"/>
      <c r="Q339" s="4" t="str">
        <f aca="false">IF(B339="","",B339&amp;" | "&amp;C339)</f>
        <v/>
      </c>
      <c r="R339" s="0" t="str">
        <f aca="false">IF(B339="","",Q339&amp;"#"&amp;A339)</f>
        <v/>
      </c>
    </row>
    <row r="340" customFormat="false" ht="15" hidden="false" customHeight="false" outlineLevel="0" collapsed="false">
      <c r="A340" s="37"/>
      <c r="B340" s="10"/>
      <c r="C340" s="10"/>
      <c r="D340" s="10"/>
      <c r="E340" s="10"/>
      <c r="F340" s="6"/>
      <c r="G340" s="38"/>
      <c r="H340" s="38"/>
      <c r="I340" s="6"/>
      <c r="J340" s="38"/>
      <c r="K340" s="6"/>
      <c r="L340" s="25" t="str">
        <f aca="false">IF(B340="","",IFERROR(H340/G340,0))</f>
        <v/>
      </c>
      <c r="M340" s="7" t="str">
        <f aca="false">IF(B340="","",IFERROR(I340/H340,0))</f>
        <v/>
      </c>
      <c r="N340" s="25" t="str">
        <f aca="false">IF(B340="","",IFERROR(I340/K340,0))</f>
        <v/>
      </c>
      <c r="O340" s="26" t="str">
        <f aca="false">IF(B340="","",IFERROR(K340/I340,0))</f>
        <v/>
      </c>
      <c r="P340" s="10"/>
      <c r="Q340" s="4" t="str">
        <f aca="false">IF(B340="","",B340&amp;" | "&amp;C340)</f>
        <v/>
      </c>
      <c r="R340" s="0" t="str">
        <f aca="false">IF(B340="","",Q340&amp;"#"&amp;A340)</f>
        <v/>
      </c>
    </row>
    <row r="341" customFormat="false" ht="15" hidden="false" customHeight="false" outlineLevel="0" collapsed="false">
      <c r="A341" s="37"/>
      <c r="B341" s="10"/>
      <c r="C341" s="10"/>
      <c r="D341" s="10"/>
      <c r="E341" s="10"/>
      <c r="F341" s="6"/>
      <c r="G341" s="38"/>
      <c r="H341" s="38"/>
      <c r="I341" s="6"/>
      <c r="J341" s="38"/>
      <c r="K341" s="6"/>
      <c r="L341" s="25" t="str">
        <f aca="false">IF(B341="","",IFERROR(H341/G341,0))</f>
        <v/>
      </c>
      <c r="M341" s="7" t="str">
        <f aca="false">IF(B341="","",IFERROR(I341/H341,0))</f>
        <v/>
      </c>
      <c r="N341" s="25" t="str">
        <f aca="false">IF(B341="","",IFERROR(I341/K341,0))</f>
        <v/>
      </c>
      <c r="O341" s="26" t="str">
        <f aca="false">IF(B341="","",IFERROR(K341/I341,0))</f>
        <v/>
      </c>
      <c r="P341" s="10"/>
      <c r="Q341" s="4" t="str">
        <f aca="false">IF(B341="","",B341&amp;" | "&amp;C341)</f>
        <v/>
      </c>
      <c r="R341" s="0" t="str">
        <f aca="false">IF(B341="","",Q341&amp;"#"&amp;A341)</f>
        <v/>
      </c>
    </row>
    <row r="342" customFormat="false" ht="15" hidden="false" customHeight="false" outlineLevel="0" collapsed="false">
      <c r="A342" s="37"/>
      <c r="B342" s="10"/>
      <c r="C342" s="10"/>
      <c r="D342" s="10"/>
      <c r="E342" s="10"/>
      <c r="F342" s="6"/>
      <c r="G342" s="38"/>
      <c r="H342" s="38"/>
      <c r="I342" s="6"/>
      <c r="J342" s="38"/>
      <c r="K342" s="6"/>
      <c r="L342" s="25" t="str">
        <f aca="false">IF(B342="","",IFERROR(H342/G342,0))</f>
        <v/>
      </c>
      <c r="M342" s="7" t="str">
        <f aca="false">IF(B342="","",IFERROR(I342/H342,0))</f>
        <v/>
      </c>
      <c r="N342" s="25" t="str">
        <f aca="false">IF(B342="","",IFERROR(I342/K342,0))</f>
        <v/>
      </c>
      <c r="O342" s="26" t="str">
        <f aca="false">IF(B342="","",IFERROR(K342/I342,0))</f>
        <v/>
      </c>
      <c r="P342" s="10"/>
      <c r="Q342" s="4" t="str">
        <f aca="false">IF(B342="","",B342&amp;" | "&amp;C342)</f>
        <v/>
      </c>
      <c r="R342" s="0" t="str">
        <f aca="false">IF(B342="","",Q342&amp;"#"&amp;A342)</f>
        <v/>
      </c>
    </row>
    <row r="343" customFormat="false" ht="15" hidden="false" customHeight="false" outlineLevel="0" collapsed="false">
      <c r="A343" s="37"/>
      <c r="B343" s="10"/>
      <c r="C343" s="10"/>
      <c r="D343" s="10"/>
      <c r="E343" s="10"/>
      <c r="F343" s="6"/>
      <c r="G343" s="38"/>
      <c r="H343" s="38"/>
      <c r="I343" s="6"/>
      <c r="J343" s="38"/>
      <c r="K343" s="6"/>
      <c r="L343" s="25" t="str">
        <f aca="false">IF(B343="","",IFERROR(H343/G343,0))</f>
        <v/>
      </c>
      <c r="M343" s="7" t="str">
        <f aca="false">IF(B343="","",IFERROR(I343/H343,0))</f>
        <v/>
      </c>
      <c r="N343" s="25" t="str">
        <f aca="false">IF(B343="","",IFERROR(I343/K343,0))</f>
        <v/>
      </c>
      <c r="O343" s="26" t="str">
        <f aca="false">IF(B343="","",IFERROR(K343/I343,0))</f>
        <v/>
      </c>
      <c r="P343" s="10"/>
      <c r="Q343" s="4" t="str">
        <f aca="false">IF(B343="","",B343&amp;" | "&amp;C343)</f>
        <v/>
      </c>
      <c r="R343" s="0" t="str">
        <f aca="false">IF(B343="","",Q343&amp;"#"&amp;A343)</f>
        <v/>
      </c>
    </row>
    <row r="344" customFormat="false" ht="15" hidden="false" customHeight="false" outlineLevel="0" collapsed="false">
      <c r="A344" s="37"/>
      <c r="B344" s="10"/>
      <c r="C344" s="10"/>
      <c r="D344" s="10"/>
      <c r="E344" s="10"/>
      <c r="F344" s="6"/>
      <c r="G344" s="38"/>
      <c r="H344" s="38"/>
      <c r="I344" s="6"/>
      <c r="J344" s="38"/>
      <c r="K344" s="6"/>
      <c r="L344" s="25" t="str">
        <f aca="false">IF(B344="","",IFERROR(H344/G344,0))</f>
        <v/>
      </c>
      <c r="M344" s="7" t="str">
        <f aca="false">IF(B344="","",IFERROR(I344/H344,0))</f>
        <v/>
      </c>
      <c r="N344" s="25" t="str">
        <f aca="false">IF(B344="","",IFERROR(I344/K344,0))</f>
        <v/>
      </c>
      <c r="O344" s="26" t="str">
        <f aca="false">IF(B344="","",IFERROR(K344/I344,0))</f>
        <v/>
      </c>
      <c r="P344" s="10"/>
      <c r="Q344" s="4" t="str">
        <f aca="false">IF(B344="","",B344&amp;" | "&amp;C344)</f>
        <v/>
      </c>
      <c r="R344" s="0" t="str">
        <f aca="false">IF(B344="","",Q344&amp;"#"&amp;A344)</f>
        <v/>
      </c>
    </row>
    <row r="345" customFormat="false" ht="15" hidden="false" customHeight="false" outlineLevel="0" collapsed="false">
      <c r="A345" s="37"/>
      <c r="B345" s="10"/>
      <c r="C345" s="10"/>
      <c r="D345" s="10"/>
      <c r="E345" s="10"/>
      <c r="F345" s="6"/>
      <c r="G345" s="38"/>
      <c r="H345" s="38"/>
      <c r="I345" s="6"/>
      <c r="J345" s="38"/>
      <c r="K345" s="6"/>
      <c r="L345" s="25" t="str">
        <f aca="false">IF(B345="","",IFERROR(H345/G345,0))</f>
        <v/>
      </c>
      <c r="M345" s="7" t="str">
        <f aca="false">IF(B345="","",IFERROR(I345/H345,0))</f>
        <v/>
      </c>
      <c r="N345" s="25" t="str">
        <f aca="false">IF(B345="","",IFERROR(I345/K345,0))</f>
        <v/>
      </c>
      <c r="O345" s="26" t="str">
        <f aca="false">IF(B345="","",IFERROR(K345/I345,0))</f>
        <v/>
      </c>
      <c r="P345" s="10"/>
      <c r="Q345" s="4" t="str">
        <f aca="false">IF(B345="","",B345&amp;" | "&amp;C345)</f>
        <v/>
      </c>
      <c r="R345" s="0" t="str">
        <f aca="false">IF(B345="","",Q345&amp;"#"&amp;A345)</f>
        <v/>
      </c>
    </row>
    <row r="346" customFormat="false" ht="15" hidden="false" customHeight="false" outlineLevel="0" collapsed="false">
      <c r="A346" s="37"/>
      <c r="B346" s="10"/>
      <c r="C346" s="10"/>
      <c r="D346" s="10"/>
      <c r="E346" s="10"/>
      <c r="F346" s="6"/>
      <c r="G346" s="38"/>
      <c r="H346" s="38"/>
      <c r="I346" s="6"/>
      <c r="J346" s="38"/>
      <c r="K346" s="6"/>
      <c r="L346" s="25" t="str">
        <f aca="false">IF(B346="","",IFERROR(H346/G346,0))</f>
        <v/>
      </c>
      <c r="M346" s="7" t="str">
        <f aca="false">IF(B346="","",IFERROR(I346/H346,0))</f>
        <v/>
      </c>
      <c r="N346" s="25" t="str">
        <f aca="false">IF(B346="","",IFERROR(I346/K346,0))</f>
        <v/>
      </c>
      <c r="O346" s="26" t="str">
        <f aca="false">IF(B346="","",IFERROR(K346/I346,0))</f>
        <v/>
      </c>
      <c r="P346" s="10"/>
      <c r="Q346" s="4" t="str">
        <f aca="false">IF(B346="","",B346&amp;" | "&amp;C346)</f>
        <v/>
      </c>
      <c r="R346" s="0" t="str">
        <f aca="false">IF(B346="","",Q346&amp;"#"&amp;A346)</f>
        <v/>
      </c>
    </row>
    <row r="347" customFormat="false" ht="15" hidden="false" customHeight="false" outlineLevel="0" collapsed="false">
      <c r="A347" s="37"/>
      <c r="B347" s="10"/>
      <c r="C347" s="10"/>
      <c r="D347" s="10"/>
      <c r="E347" s="10"/>
      <c r="F347" s="6"/>
      <c r="G347" s="38"/>
      <c r="H347" s="38"/>
      <c r="I347" s="6"/>
      <c r="J347" s="38"/>
      <c r="K347" s="6"/>
      <c r="L347" s="25" t="str">
        <f aca="false">IF(B347="","",IFERROR(H347/G347,0))</f>
        <v/>
      </c>
      <c r="M347" s="7" t="str">
        <f aca="false">IF(B347="","",IFERROR(I347/H347,0))</f>
        <v/>
      </c>
      <c r="N347" s="25" t="str">
        <f aca="false">IF(B347="","",IFERROR(I347/K347,0))</f>
        <v/>
      </c>
      <c r="O347" s="26" t="str">
        <f aca="false">IF(B347="","",IFERROR(K347/I347,0))</f>
        <v/>
      </c>
      <c r="P347" s="10"/>
      <c r="Q347" s="4" t="str">
        <f aca="false">IF(B347="","",B347&amp;" | "&amp;C347)</f>
        <v/>
      </c>
      <c r="R347" s="0" t="str">
        <f aca="false">IF(B347="","",Q347&amp;"#"&amp;A347)</f>
        <v/>
      </c>
    </row>
    <row r="348" customFormat="false" ht="15" hidden="false" customHeight="false" outlineLevel="0" collapsed="false">
      <c r="A348" s="37"/>
      <c r="B348" s="10"/>
      <c r="C348" s="10"/>
      <c r="D348" s="10"/>
      <c r="E348" s="10"/>
      <c r="F348" s="6"/>
      <c r="G348" s="38"/>
      <c r="H348" s="38"/>
      <c r="I348" s="6"/>
      <c r="J348" s="38"/>
      <c r="K348" s="6"/>
      <c r="L348" s="25" t="str">
        <f aca="false">IF(B348="","",IFERROR(H348/G348,0))</f>
        <v/>
      </c>
      <c r="M348" s="7" t="str">
        <f aca="false">IF(B348="","",IFERROR(I348/H348,0))</f>
        <v/>
      </c>
      <c r="N348" s="25" t="str">
        <f aca="false">IF(B348="","",IFERROR(I348/K348,0))</f>
        <v/>
      </c>
      <c r="O348" s="26" t="str">
        <f aca="false">IF(B348="","",IFERROR(K348/I348,0))</f>
        <v/>
      </c>
      <c r="P348" s="10"/>
      <c r="Q348" s="4" t="str">
        <f aca="false">IF(B348="","",B348&amp;" | "&amp;C348)</f>
        <v/>
      </c>
      <c r="R348" s="0" t="str">
        <f aca="false">IF(B348="","",Q348&amp;"#"&amp;A348)</f>
        <v/>
      </c>
    </row>
    <row r="349" customFormat="false" ht="15" hidden="false" customHeight="false" outlineLevel="0" collapsed="false">
      <c r="A349" s="37"/>
      <c r="B349" s="10"/>
      <c r="C349" s="10"/>
      <c r="D349" s="10"/>
      <c r="E349" s="10"/>
      <c r="F349" s="6"/>
      <c r="G349" s="38"/>
      <c r="H349" s="38"/>
      <c r="I349" s="6"/>
      <c r="J349" s="38"/>
      <c r="K349" s="6"/>
      <c r="L349" s="25" t="str">
        <f aca="false">IF(B349="","",IFERROR(H349/G349,0))</f>
        <v/>
      </c>
      <c r="M349" s="7" t="str">
        <f aca="false">IF(B349="","",IFERROR(I349/H349,0))</f>
        <v/>
      </c>
      <c r="N349" s="25" t="str">
        <f aca="false">IF(B349="","",IFERROR(I349/K349,0))</f>
        <v/>
      </c>
      <c r="O349" s="26" t="str">
        <f aca="false">IF(B349="","",IFERROR(K349/I349,0))</f>
        <v/>
      </c>
      <c r="P349" s="10"/>
      <c r="Q349" s="4" t="str">
        <f aca="false">IF(B349="","",B349&amp;" | "&amp;C349)</f>
        <v/>
      </c>
      <c r="R349" s="0" t="str">
        <f aca="false">IF(B349="","",Q349&amp;"#"&amp;A349)</f>
        <v/>
      </c>
    </row>
    <row r="350" customFormat="false" ht="15" hidden="false" customHeight="false" outlineLevel="0" collapsed="false">
      <c r="A350" s="37"/>
      <c r="B350" s="10"/>
      <c r="C350" s="10"/>
      <c r="D350" s="10"/>
      <c r="E350" s="10"/>
      <c r="F350" s="6"/>
      <c r="G350" s="38"/>
      <c r="H350" s="38"/>
      <c r="I350" s="6"/>
      <c r="J350" s="38"/>
      <c r="K350" s="6"/>
      <c r="L350" s="25" t="str">
        <f aca="false">IF(B350="","",IFERROR(H350/G350,0))</f>
        <v/>
      </c>
      <c r="M350" s="7" t="str">
        <f aca="false">IF(B350="","",IFERROR(I350/H350,0))</f>
        <v/>
      </c>
      <c r="N350" s="25" t="str">
        <f aca="false">IF(B350="","",IFERROR(I350/K350,0))</f>
        <v/>
      </c>
      <c r="O350" s="26" t="str">
        <f aca="false">IF(B350="","",IFERROR(K350/I350,0))</f>
        <v/>
      </c>
      <c r="P350" s="10"/>
      <c r="Q350" s="4" t="str">
        <f aca="false">IF(B350="","",B350&amp;" | "&amp;C350)</f>
        <v/>
      </c>
      <c r="R350" s="0" t="str">
        <f aca="false">IF(B350="","",Q350&amp;"#"&amp;A350)</f>
        <v/>
      </c>
    </row>
    <row r="351" customFormat="false" ht="15" hidden="false" customHeight="false" outlineLevel="0" collapsed="false">
      <c r="A351" s="37"/>
      <c r="B351" s="10"/>
      <c r="C351" s="10"/>
      <c r="D351" s="10"/>
      <c r="E351" s="10"/>
      <c r="F351" s="6"/>
      <c r="G351" s="38"/>
      <c r="H351" s="38"/>
      <c r="I351" s="6"/>
      <c r="J351" s="38"/>
      <c r="K351" s="6"/>
      <c r="L351" s="25" t="str">
        <f aca="false">IF(B351="","",IFERROR(H351/G351,0))</f>
        <v/>
      </c>
      <c r="M351" s="7" t="str">
        <f aca="false">IF(B351="","",IFERROR(I351/H351,0))</f>
        <v/>
      </c>
      <c r="N351" s="25" t="str">
        <f aca="false">IF(B351="","",IFERROR(I351/K351,0))</f>
        <v/>
      </c>
      <c r="O351" s="26" t="str">
        <f aca="false">IF(B351="","",IFERROR(K351/I351,0))</f>
        <v/>
      </c>
      <c r="P351" s="10"/>
      <c r="Q351" s="4" t="str">
        <f aca="false">IF(B351="","",B351&amp;" | "&amp;C351)</f>
        <v/>
      </c>
      <c r="R351" s="0" t="str">
        <f aca="false">IF(B351="","",Q351&amp;"#"&amp;A351)</f>
        <v/>
      </c>
    </row>
    <row r="352" customFormat="false" ht="15" hidden="false" customHeight="false" outlineLevel="0" collapsed="false">
      <c r="A352" s="37"/>
      <c r="B352" s="10"/>
      <c r="C352" s="10"/>
      <c r="D352" s="10"/>
      <c r="E352" s="10"/>
      <c r="F352" s="6"/>
      <c r="G352" s="38"/>
      <c r="H352" s="38"/>
      <c r="I352" s="6"/>
      <c r="J352" s="38"/>
      <c r="K352" s="6"/>
      <c r="L352" s="25" t="str">
        <f aca="false">IF(B352="","",IFERROR(H352/G352,0))</f>
        <v/>
      </c>
      <c r="M352" s="7" t="str">
        <f aca="false">IF(B352="","",IFERROR(I352/H352,0))</f>
        <v/>
      </c>
      <c r="N352" s="25" t="str">
        <f aca="false">IF(B352="","",IFERROR(I352/K352,0))</f>
        <v/>
      </c>
      <c r="O352" s="26" t="str">
        <f aca="false">IF(B352="","",IFERROR(K352/I352,0))</f>
        <v/>
      </c>
      <c r="P352" s="10"/>
      <c r="Q352" s="4" t="str">
        <f aca="false">IF(B352="","",B352&amp;" | "&amp;C352)</f>
        <v/>
      </c>
      <c r="R352" s="0" t="str">
        <f aca="false">IF(B352="","",Q352&amp;"#"&amp;A352)</f>
        <v/>
      </c>
    </row>
    <row r="353" customFormat="false" ht="15" hidden="false" customHeight="false" outlineLevel="0" collapsed="false">
      <c r="A353" s="37"/>
      <c r="B353" s="10"/>
      <c r="C353" s="10"/>
      <c r="D353" s="10"/>
      <c r="E353" s="10"/>
      <c r="F353" s="6"/>
      <c r="G353" s="38"/>
      <c r="H353" s="38"/>
      <c r="I353" s="6"/>
      <c r="J353" s="38"/>
      <c r="K353" s="6"/>
      <c r="L353" s="25" t="str">
        <f aca="false">IF(B353="","",IFERROR(H353/G353,0))</f>
        <v/>
      </c>
      <c r="M353" s="7" t="str">
        <f aca="false">IF(B353="","",IFERROR(I353/H353,0))</f>
        <v/>
      </c>
      <c r="N353" s="25" t="str">
        <f aca="false">IF(B353="","",IFERROR(I353/K353,0))</f>
        <v/>
      </c>
      <c r="O353" s="26" t="str">
        <f aca="false">IF(B353="","",IFERROR(K353/I353,0))</f>
        <v/>
      </c>
      <c r="P353" s="10"/>
      <c r="Q353" s="4" t="str">
        <f aca="false">IF(B353="","",B353&amp;" | "&amp;C353)</f>
        <v/>
      </c>
      <c r="R353" s="0" t="str">
        <f aca="false">IF(B353="","",Q353&amp;"#"&amp;A353)</f>
        <v/>
      </c>
    </row>
    <row r="354" customFormat="false" ht="15" hidden="false" customHeight="false" outlineLevel="0" collapsed="false">
      <c r="A354" s="37"/>
      <c r="B354" s="10"/>
      <c r="C354" s="10"/>
      <c r="D354" s="10"/>
      <c r="E354" s="10"/>
      <c r="F354" s="6"/>
      <c r="G354" s="38"/>
      <c r="H354" s="38"/>
      <c r="I354" s="6"/>
      <c r="J354" s="38"/>
      <c r="K354" s="6"/>
      <c r="L354" s="25" t="str">
        <f aca="false">IF(B354="","",IFERROR(H354/G354,0))</f>
        <v/>
      </c>
      <c r="M354" s="7" t="str">
        <f aca="false">IF(B354="","",IFERROR(I354/H354,0))</f>
        <v/>
      </c>
      <c r="N354" s="25" t="str">
        <f aca="false">IF(B354="","",IFERROR(I354/K354,0))</f>
        <v/>
      </c>
      <c r="O354" s="26" t="str">
        <f aca="false">IF(B354="","",IFERROR(K354/I354,0))</f>
        <v/>
      </c>
      <c r="P354" s="10"/>
      <c r="Q354" s="4" t="str">
        <f aca="false">IF(B354="","",B354&amp;" | "&amp;C354)</f>
        <v/>
      </c>
      <c r="R354" s="0" t="str">
        <f aca="false">IF(B354="","",Q354&amp;"#"&amp;A354)</f>
        <v/>
      </c>
    </row>
    <row r="355" customFormat="false" ht="15" hidden="false" customHeight="false" outlineLevel="0" collapsed="false">
      <c r="A355" s="37"/>
      <c r="B355" s="10"/>
      <c r="C355" s="10"/>
      <c r="D355" s="10"/>
      <c r="E355" s="10"/>
      <c r="F355" s="6"/>
      <c r="G355" s="38"/>
      <c r="H355" s="38"/>
      <c r="I355" s="6"/>
      <c r="J355" s="38"/>
      <c r="K355" s="6"/>
      <c r="L355" s="25" t="str">
        <f aca="false">IF(B355="","",IFERROR(H355/G355,0))</f>
        <v/>
      </c>
      <c r="M355" s="7" t="str">
        <f aca="false">IF(B355="","",IFERROR(I355/H355,0))</f>
        <v/>
      </c>
      <c r="N355" s="25" t="str">
        <f aca="false">IF(B355="","",IFERROR(I355/K355,0))</f>
        <v/>
      </c>
      <c r="O355" s="26" t="str">
        <f aca="false">IF(B355="","",IFERROR(K355/I355,0))</f>
        <v/>
      </c>
      <c r="P355" s="10"/>
      <c r="Q355" s="4" t="str">
        <f aca="false">IF(B355="","",B355&amp;" | "&amp;C355)</f>
        <v/>
      </c>
      <c r="R355" s="0" t="str">
        <f aca="false">IF(B355="","",Q355&amp;"#"&amp;A355)</f>
        <v/>
      </c>
    </row>
    <row r="356" customFormat="false" ht="15" hidden="false" customHeight="false" outlineLevel="0" collapsed="false">
      <c r="A356" s="37"/>
      <c r="B356" s="10"/>
      <c r="C356" s="10"/>
      <c r="D356" s="10"/>
      <c r="E356" s="10"/>
      <c r="F356" s="6"/>
      <c r="G356" s="38"/>
      <c r="H356" s="38"/>
      <c r="I356" s="6"/>
      <c r="J356" s="38"/>
      <c r="K356" s="6"/>
      <c r="L356" s="25" t="str">
        <f aca="false">IF(B356="","",IFERROR(H356/G356,0))</f>
        <v/>
      </c>
      <c r="M356" s="7" t="str">
        <f aca="false">IF(B356="","",IFERROR(I356/H356,0))</f>
        <v/>
      </c>
      <c r="N356" s="25" t="str">
        <f aca="false">IF(B356="","",IFERROR(I356/K356,0))</f>
        <v/>
      </c>
      <c r="O356" s="26" t="str">
        <f aca="false">IF(B356="","",IFERROR(K356/I356,0))</f>
        <v/>
      </c>
      <c r="P356" s="10"/>
      <c r="Q356" s="4" t="str">
        <f aca="false">IF(B356="","",B356&amp;" | "&amp;C356)</f>
        <v/>
      </c>
      <c r="R356" s="0" t="str">
        <f aca="false">IF(B356="","",Q356&amp;"#"&amp;A356)</f>
        <v/>
      </c>
    </row>
    <row r="357" customFormat="false" ht="15" hidden="false" customHeight="false" outlineLevel="0" collapsed="false">
      <c r="A357" s="37"/>
      <c r="B357" s="10"/>
      <c r="C357" s="10"/>
      <c r="D357" s="10"/>
      <c r="E357" s="10"/>
      <c r="F357" s="6"/>
      <c r="G357" s="38"/>
      <c r="H357" s="38"/>
      <c r="I357" s="6"/>
      <c r="J357" s="38"/>
      <c r="K357" s="6"/>
      <c r="L357" s="25" t="str">
        <f aca="false">IF(B357="","",IFERROR(H357/G357,0))</f>
        <v/>
      </c>
      <c r="M357" s="7" t="str">
        <f aca="false">IF(B357="","",IFERROR(I357/H357,0))</f>
        <v/>
      </c>
      <c r="N357" s="25" t="str">
        <f aca="false">IF(B357="","",IFERROR(I357/K357,0))</f>
        <v/>
      </c>
      <c r="O357" s="26" t="str">
        <f aca="false">IF(B357="","",IFERROR(K357/I357,0))</f>
        <v/>
      </c>
      <c r="P357" s="10"/>
      <c r="Q357" s="4" t="str">
        <f aca="false">IF(B357="","",B357&amp;" | "&amp;C357)</f>
        <v/>
      </c>
      <c r="R357" s="0" t="str">
        <f aca="false">IF(B357="","",Q357&amp;"#"&amp;A357)</f>
        <v/>
      </c>
    </row>
    <row r="358" customFormat="false" ht="15" hidden="false" customHeight="false" outlineLevel="0" collapsed="false">
      <c r="A358" s="37"/>
      <c r="B358" s="10"/>
      <c r="C358" s="10"/>
      <c r="D358" s="10"/>
      <c r="E358" s="10"/>
      <c r="F358" s="6"/>
      <c r="G358" s="38"/>
      <c r="H358" s="38"/>
      <c r="I358" s="6"/>
      <c r="J358" s="38"/>
      <c r="K358" s="6"/>
      <c r="L358" s="25" t="str">
        <f aca="false">IF(B358="","",IFERROR(H358/G358,0))</f>
        <v/>
      </c>
      <c r="M358" s="7" t="str">
        <f aca="false">IF(B358="","",IFERROR(I358/H358,0))</f>
        <v/>
      </c>
      <c r="N358" s="25" t="str">
        <f aca="false">IF(B358="","",IFERROR(I358/K358,0))</f>
        <v/>
      </c>
      <c r="O358" s="26" t="str">
        <f aca="false">IF(B358="","",IFERROR(K358/I358,0))</f>
        <v/>
      </c>
      <c r="P358" s="10"/>
      <c r="Q358" s="4" t="str">
        <f aca="false">IF(B358="","",B358&amp;" | "&amp;C358)</f>
        <v/>
      </c>
      <c r="R358" s="0" t="str">
        <f aca="false">IF(B358="","",Q358&amp;"#"&amp;A358)</f>
        <v/>
      </c>
    </row>
    <row r="359" customFormat="false" ht="15" hidden="false" customHeight="false" outlineLevel="0" collapsed="false">
      <c r="A359" s="37"/>
      <c r="B359" s="10"/>
      <c r="C359" s="10"/>
      <c r="D359" s="10"/>
      <c r="E359" s="10"/>
      <c r="F359" s="6"/>
      <c r="G359" s="38"/>
      <c r="H359" s="38"/>
      <c r="I359" s="6"/>
      <c r="J359" s="38"/>
      <c r="K359" s="6"/>
      <c r="L359" s="25" t="str">
        <f aca="false">IF(B359="","",IFERROR(H359/G359,0))</f>
        <v/>
      </c>
      <c r="M359" s="7" t="str">
        <f aca="false">IF(B359="","",IFERROR(I359/H359,0))</f>
        <v/>
      </c>
      <c r="N359" s="25" t="str">
        <f aca="false">IF(B359="","",IFERROR(I359/K359,0))</f>
        <v/>
      </c>
      <c r="O359" s="26" t="str">
        <f aca="false">IF(B359="","",IFERROR(K359/I359,0))</f>
        <v/>
      </c>
      <c r="P359" s="10"/>
      <c r="Q359" s="4" t="str">
        <f aca="false">IF(B359="","",B359&amp;" | "&amp;C359)</f>
        <v/>
      </c>
      <c r="R359" s="0" t="str">
        <f aca="false">IF(B359="","",Q359&amp;"#"&amp;A359)</f>
        <v/>
      </c>
    </row>
    <row r="360" customFormat="false" ht="15" hidden="false" customHeight="false" outlineLevel="0" collapsed="false">
      <c r="A360" s="37"/>
      <c r="B360" s="10"/>
      <c r="C360" s="10"/>
      <c r="D360" s="10"/>
      <c r="E360" s="10"/>
      <c r="F360" s="6"/>
      <c r="G360" s="38"/>
      <c r="H360" s="38"/>
      <c r="I360" s="6"/>
      <c r="J360" s="38"/>
      <c r="K360" s="6"/>
      <c r="L360" s="25" t="str">
        <f aca="false">IF(B360="","",IFERROR(H360/G360,0))</f>
        <v/>
      </c>
      <c r="M360" s="7" t="str">
        <f aca="false">IF(B360="","",IFERROR(I360/H360,0))</f>
        <v/>
      </c>
      <c r="N360" s="25" t="str">
        <f aca="false">IF(B360="","",IFERROR(I360/K360,0))</f>
        <v/>
      </c>
      <c r="O360" s="26" t="str">
        <f aca="false">IF(B360="","",IFERROR(K360/I360,0))</f>
        <v/>
      </c>
      <c r="P360" s="10"/>
      <c r="Q360" s="4" t="str">
        <f aca="false">IF(B360="","",B360&amp;" | "&amp;C360)</f>
        <v/>
      </c>
      <c r="R360" s="0" t="str">
        <f aca="false">IF(B360="","",Q360&amp;"#"&amp;A360)</f>
        <v/>
      </c>
    </row>
    <row r="361" customFormat="false" ht="15" hidden="false" customHeight="false" outlineLevel="0" collapsed="false">
      <c r="A361" s="37"/>
      <c r="B361" s="10"/>
      <c r="C361" s="10"/>
      <c r="D361" s="10"/>
      <c r="E361" s="10"/>
      <c r="F361" s="6"/>
      <c r="G361" s="38"/>
      <c r="H361" s="38"/>
      <c r="I361" s="6"/>
      <c r="J361" s="38"/>
      <c r="K361" s="6"/>
      <c r="L361" s="25" t="str">
        <f aca="false">IF(B361="","",IFERROR(H361/G361,0))</f>
        <v/>
      </c>
      <c r="M361" s="7" t="str">
        <f aca="false">IF(B361="","",IFERROR(I361/H361,0))</f>
        <v/>
      </c>
      <c r="N361" s="25" t="str">
        <f aca="false">IF(B361="","",IFERROR(I361/K361,0))</f>
        <v/>
      </c>
      <c r="O361" s="26" t="str">
        <f aca="false">IF(B361="","",IFERROR(K361/I361,0))</f>
        <v/>
      </c>
      <c r="P361" s="10"/>
      <c r="Q361" s="4" t="str">
        <f aca="false">IF(B361="","",B361&amp;" | "&amp;C361)</f>
        <v/>
      </c>
      <c r="R361" s="0" t="str">
        <f aca="false">IF(B361="","",Q361&amp;"#"&amp;A361)</f>
        <v/>
      </c>
    </row>
    <row r="362" customFormat="false" ht="15" hidden="false" customHeight="false" outlineLevel="0" collapsed="false">
      <c r="A362" s="37"/>
      <c r="B362" s="10"/>
      <c r="C362" s="10"/>
      <c r="D362" s="10"/>
      <c r="E362" s="10"/>
      <c r="F362" s="6"/>
      <c r="G362" s="38"/>
      <c r="H362" s="38"/>
      <c r="I362" s="6"/>
      <c r="J362" s="38"/>
      <c r="K362" s="6"/>
      <c r="L362" s="25" t="str">
        <f aca="false">IF(B362="","",IFERROR(H362/G362,0))</f>
        <v/>
      </c>
      <c r="M362" s="7" t="str">
        <f aca="false">IF(B362="","",IFERROR(I362/H362,0))</f>
        <v/>
      </c>
      <c r="N362" s="25" t="str">
        <f aca="false">IF(B362="","",IFERROR(I362/K362,0))</f>
        <v/>
      </c>
      <c r="O362" s="26" t="str">
        <f aca="false">IF(B362="","",IFERROR(K362/I362,0))</f>
        <v/>
      </c>
      <c r="P362" s="10"/>
      <c r="Q362" s="4" t="str">
        <f aca="false">IF(B362="","",B362&amp;" | "&amp;C362)</f>
        <v/>
      </c>
      <c r="R362" s="0" t="str">
        <f aca="false">IF(B362="","",Q362&amp;"#"&amp;A362)</f>
        <v/>
      </c>
    </row>
    <row r="363" customFormat="false" ht="15" hidden="false" customHeight="false" outlineLevel="0" collapsed="false">
      <c r="A363" s="37"/>
      <c r="B363" s="10"/>
      <c r="C363" s="10"/>
      <c r="D363" s="10"/>
      <c r="E363" s="10"/>
      <c r="F363" s="6"/>
      <c r="G363" s="38"/>
      <c r="H363" s="38"/>
      <c r="I363" s="6"/>
      <c r="J363" s="38"/>
      <c r="K363" s="6"/>
      <c r="L363" s="25" t="str">
        <f aca="false">IF(B363="","",IFERROR(H363/G363,0))</f>
        <v/>
      </c>
      <c r="M363" s="7" t="str">
        <f aca="false">IF(B363="","",IFERROR(I363/H363,0))</f>
        <v/>
      </c>
      <c r="N363" s="25" t="str">
        <f aca="false">IF(B363="","",IFERROR(I363/K363,0))</f>
        <v/>
      </c>
      <c r="O363" s="26" t="str">
        <f aca="false">IF(B363="","",IFERROR(K363/I363,0))</f>
        <v/>
      </c>
      <c r="P363" s="10"/>
      <c r="Q363" s="4" t="str">
        <f aca="false">IF(B363="","",B363&amp;" | "&amp;C363)</f>
        <v/>
      </c>
      <c r="R363" s="0" t="str">
        <f aca="false">IF(B363="","",Q363&amp;"#"&amp;A363)</f>
        <v/>
      </c>
    </row>
    <row r="364" customFormat="false" ht="15" hidden="false" customHeight="false" outlineLevel="0" collapsed="false">
      <c r="A364" s="37"/>
      <c r="B364" s="10"/>
      <c r="C364" s="10"/>
      <c r="D364" s="10"/>
      <c r="E364" s="10"/>
      <c r="F364" s="6"/>
      <c r="G364" s="38"/>
      <c r="H364" s="38"/>
      <c r="I364" s="6"/>
      <c r="J364" s="38"/>
      <c r="K364" s="6"/>
      <c r="L364" s="25" t="str">
        <f aca="false">IF(B364="","",IFERROR(H364/G364,0))</f>
        <v/>
      </c>
      <c r="M364" s="7" t="str">
        <f aca="false">IF(B364="","",IFERROR(I364/H364,0))</f>
        <v/>
      </c>
      <c r="N364" s="25" t="str">
        <f aca="false">IF(B364="","",IFERROR(I364/K364,0))</f>
        <v/>
      </c>
      <c r="O364" s="26" t="str">
        <f aca="false">IF(B364="","",IFERROR(K364/I364,0))</f>
        <v/>
      </c>
      <c r="P364" s="10"/>
      <c r="Q364" s="4" t="str">
        <f aca="false">IF(B364="","",B364&amp;" | "&amp;C364)</f>
        <v/>
      </c>
      <c r="R364" s="0" t="str">
        <f aca="false">IF(B364="","",Q364&amp;"#"&amp;A364)</f>
        <v/>
      </c>
    </row>
    <row r="365" customFormat="false" ht="15" hidden="false" customHeight="false" outlineLevel="0" collapsed="false">
      <c r="A365" s="37"/>
      <c r="B365" s="10"/>
      <c r="C365" s="10"/>
      <c r="D365" s="10"/>
      <c r="E365" s="10"/>
      <c r="F365" s="6"/>
      <c r="G365" s="38"/>
      <c r="H365" s="38"/>
      <c r="I365" s="6"/>
      <c r="J365" s="38"/>
      <c r="K365" s="6"/>
      <c r="L365" s="25" t="str">
        <f aca="false">IF(B365="","",IFERROR(H365/G365,0))</f>
        <v/>
      </c>
      <c r="M365" s="7" t="str">
        <f aca="false">IF(B365="","",IFERROR(I365/H365,0))</f>
        <v/>
      </c>
      <c r="N365" s="25" t="str">
        <f aca="false">IF(B365="","",IFERROR(I365/K365,0))</f>
        <v/>
      </c>
      <c r="O365" s="26" t="str">
        <f aca="false">IF(B365="","",IFERROR(K365/I365,0))</f>
        <v/>
      </c>
      <c r="P365" s="10"/>
      <c r="Q365" s="4" t="str">
        <f aca="false">IF(B365="","",B365&amp;" | "&amp;C365)</f>
        <v/>
      </c>
      <c r="R365" s="0" t="str">
        <f aca="false">IF(B365="","",Q365&amp;"#"&amp;A365)</f>
        <v/>
      </c>
    </row>
    <row r="366" customFormat="false" ht="15" hidden="false" customHeight="false" outlineLevel="0" collapsed="false">
      <c r="A366" s="37"/>
      <c r="B366" s="10"/>
      <c r="C366" s="10"/>
      <c r="D366" s="10"/>
      <c r="E366" s="10"/>
      <c r="F366" s="6"/>
      <c r="G366" s="38"/>
      <c r="H366" s="38"/>
      <c r="I366" s="6"/>
      <c r="J366" s="38"/>
      <c r="K366" s="6"/>
      <c r="L366" s="25" t="str">
        <f aca="false">IF(B366="","",IFERROR(H366/G366,0))</f>
        <v/>
      </c>
      <c r="M366" s="7" t="str">
        <f aca="false">IF(B366="","",IFERROR(I366/H366,0))</f>
        <v/>
      </c>
      <c r="N366" s="25" t="str">
        <f aca="false">IF(B366="","",IFERROR(I366/K366,0))</f>
        <v/>
      </c>
      <c r="O366" s="26" t="str">
        <f aca="false">IF(B366="","",IFERROR(K366/I366,0))</f>
        <v/>
      </c>
      <c r="P366" s="10"/>
      <c r="Q366" s="4" t="str">
        <f aca="false">IF(B366="","",B366&amp;" | "&amp;C366)</f>
        <v/>
      </c>
      <c r="R366" s="0" t="str">
        <f aca="false">IF(B366="","",Q366&amp;"#"&amp;A366)</f>
        <v/>
      </c>
    </row>
    <row r="367" customFormat="false" ht="15" hidden="false" customHeight="false" outlineLevel="0" collapsed="false">
      <c r="A367" s="37"/>
      <c r="B367" s="10"/>
      <c r="C367" s="10"/>
      <c r="D367" s="10"/>
      <c r="E367" s="10"/>
      <c r="F367" s="6"/>
      <c r="G367" s="38"/>
      <c r="H367" s="38"/>
      <c r="I367" s="6"/>
      <c r="J367" s="38"/>
      <c r="K367" s="6"/>
      <c r="L367" s="25" t="str">
        <f aca="false">IF(B367="","",IFERROR(H367/G367,0))</f>
        <v/>
      </c>
      <c r="M367" s="7" t="str">
        <f aca="false">IF(B367="","",IFERROR(I367/H367,0))</f>
        <v/>
      </c>
      <c r="N367" s="25" t="str">
        <f aca="false">IF(B367="","",IFERROR(I367/K367,0))</f>
        <v/>
      </c>
      <c r="O367" s="26" t="str">
        <f aca="false">IF(B367="","",IFERROR(K367/I367,0))</f>
        <v/>
      </c>
      <c r="P367" s="10"/>
      <c r="Q367" s="4" t="str">
        <f aca="false">IF(B367="","",B367&amp;" | "&amp;C367)</f>
        <v/>
      </c>
      <c r="R367" s="0" t="str">
        <f aca="false">IF(B367="","",Q367&amp;"#"&amp;A367)</f>
        <v/>
      </c>
    </row>
    <row r="368" customFormat="false" ht="15" hidden="false" customHeight="false" outlineLevel="0" collapsed="false">
      <c r="A368" s="37"/>
      <c r="B368" s="10"/>
      <c r="C368" s="10"/>
      <c r="D368" s="10"/>
      <c r="E368" s="10"/>
      <c r="F368" s="6"/>
      <c r="G368" s="38"/>
      <c r="H368" s="38"/>
      <c r="I368" s="6"/>
      <c r="J368" s="38"/>
      <c r="K368" s="6"/>
      <c r="L368" s="25" t="str">
        <f aca="false">IF(B368="","",IFERROR(H368/G368,0))</f>
        <v/>
      </c>
      <c r="M368" s="7" t="str">
        <f aca="false">IF(B368="","",IFERROR(I368/H368,0))</f>
        <v/>
      </c>
      <c r="N368" s="25" t="str">
        <f aca="false">IF(B368="","",IFERROR(I368/K368,0))</f>
        <v/>
      </c>
      <c r="O368" s="26" t="str">
        <f aca="false">IF(B368="","",IFERROR(K368/I368,0))</f>
        <v/>
      </c>
      <c r="P368" s="10"/>
      <c r="Q368" s="4" t="str">
        <f aca="false">IF(B368="","",B368&amp;" | "&amp;C368)</f>
        <v/>
      </c>
      <c r="R368" s="0" t="str">
        <f aca="false">IF(B368="","",Q368&amp;"#"&amp;A368)</f>
        <v/>
      </c>
    </row>
    <row r="369" customFormat="false" ht="15" hidden="false" customHeight="false" outlineLevel="0" collapsed="false">
      <c r="A369" s="37"/>
      <c r="B369" s="10"/>
      <c r="C369" s="10"/>
      <c r="D369" s="10"/>
      <c r="E369" s="10"/>
      <c r="F369" s="6"/>
      <c r="G369" s="38"/>
      <c r="H369" s="38"/>
      <c r="I369" s="6"/>
      <c r="J369" s="38"/>
      <c r="K369" s="6"/>
      <c r="L369" s="25" t="str">
        <f aca="false">IF(B369="","",IFERROR(H369/G369,0))</f>
        <v/>
      </c>
      <c r="M369" s="7" t="str">
        <f aca="false">IF(B369="","",IFERROR(I369/H369,0))</f>
        <v/>
      </c>
      <c r="N369" s="25" t="str">
        <f aca="false">IF(B369="","",IFERROR(I369/K369,0))</f>
        <v/>
      </c>
      <c r="O369" s="26" t="str">
        <f aca="false">IF(B369="","",IFERROR(K369/I369,0))</f>
        <v/>
      </c>
      <c r="P369" s="10"/>
      <c r="Q369" s="4" t="str">
        <f aca="false">IF(B369="","",B369&amp;" | "&amp;C369)</f>
        <v/>
      </c>
      <c r="R369" s="0" t="str">
        <f aca="false">IF(B369="","",Q369&amp;"#"&amp;A369)</f>
        <v/>
      </c>
    </row>
    <row r="370" customFormat="false" ht="15" hidden="false" customHeight="false" outlineLevel="0" collapsed="false">
      <c r="A370" s="37"/>
      <c r="B370" s="10"/>
      <c r="C370" s="10"/>
      <c r="D370" s="10"/>
      <c r="E370" s="10"/>
      <c r="F370" s="6"/>
      <c r="G370" s="38"/>
      <c r="H370" s="38"/>
      <c r="I370" s="6"/>
      <c r="J370" s="38"/>
      <c r="K370" s="6"/>
      <c r="L370" s="25" t="str">
        <f aca="false">IF(B370="","",IFERROR(H370/G370,0))</f>
        <v/>
      </c>
      <c r="M370" s="7" t="str">
        <f aca="false">IF(B370="","",IFERROR(I370/H370,0))</f>
        <v/>
      </c>
      <c r="N370" s="25" t="str">
        <f aca="false">IF(B370="","",IFERROR(I370/K370,0))</f>
        <v/>
      </c>
      <c r="O370" s="26" t="str">
        <f aca="false">IF(B370="","",IFERROR(K370/I370,0))</f>
        <v/>
      </c>
      <c r="P370" s="10"/>
      <c r="Q370" s="4" t="str">
        <f aca="false">IF(B370="","",B370&amp;" | "&amp;C370)</f>
        <v/>
      </c>
      <c r="R370" s="0" t="str">
        <f aca="false">IF(B370="","",Q370&amp;"#"&amp;A370)</f>
        <v/>
      </c>
    </row>
    <row r="371" customFormat="false" ht="15" hidden="false" customHeight="false" outlineLevel="0" collapsed="false">
      <c r="A371" s="37"/>
      <c r="B371" s="10"/>
      <c r="C371" s="10"/>
      <c r="D371" s="10"/>
      <c r="E371" s="10"/>
      <c r="F371" s="6"/>
      <c r="G371" s="38"/>
      <c r="H371" s="38"/>
      <c r="I371" s="6"/>
      <c r="J371" s="38"/>
      <c r="K371" s="6"/>
      <c r="L371" s="25" t="str">
        <f aca="false">IF(B371="","",IFERROR(H371/G371,0))</f>
        <v/>
      </c>
      <c r="M371" s="7" t="str">
        <f aca="false">IF(B371="","",IFERROR(I371/H371,0))</f>
        <v/>
      </c>
      <c r="N371" s="25" t="str">
        <f aca="false">IF(B371="","",IFERROR(I371/K371,0))</f>
        <v/>
      </c>
      <c r="O371" s="26" t="str">
        <f aca="false">IF(B371="","",IFERROR(K371/I371,0))</f>
        <v/>
      </c>
      <c r="P371" s="10"/>
      <c r="Q371" s="4" t="str">
        <f aca="false">IF(B371="","",B371&amp;" | "&amp;C371)</f>
        <v/>
      </c>
      <c r="R371" s="0" t="str">
        <f aca="false">IF(B371="","",Q371&amp;"#"&amp;A371)</f>
        <v/>
      </c>
    </row>
    <row r="372" customFormat="false" ht="15" hidden="false" customHeight="false" outlineLevel="0" collapsed="false">
      <c r="A372" s="37"/>
      <c r="B372" s="10"/>
      <c r="C372" s="10"/>
      <c r="D372" s="10"/>
      <c r="E372" s="10"/>
      <c r="F372" s="6"/>
      <c r="G372" s="38"/>
      <c r="H372" s="38"/>
      <c r="I372" s="6"/>
      <c r="J372" s="38"/>
      <c r="K372" s="6"/>
      <c r="L372" s="25" t="str">
        <f aca="false">IF(B372="","",IFERROR(H372/G372,0))</f>
        <v/>
      </c>
      <c r="M372" s="7" t="str">
        <f aca="false">IF(B372="","",IFERROR(I372/H372,0))</f>
        <v/>
      </c>
      <c r="N372" s="25" t="str">
        <f aca="false">IF(B372="","",IFERROR(I372/K372,0))</f>
        <v/>
      </c>
      <c r="O372" s="26" t="str">
        <f aca="false">IF(B372="","",IFERROR(K372/I372,0))</f>
        <v/>
      </c>
      <c r="P372" s="10"/>
      <c r="Q372" s="4" t="str">
        <f aca="false">IF(B372="","",B372&amp;" | "&amp;C372)</f>
        <v/>
      </c>
      <c r="R372" s="0" t="str">
        <f aca="false">IF(B372="","",Q372&amp;"#"&amp;A372)</f>
        <v/>
      </c>
    </row>
    <row r="373" customFormat="false" ht="15" hidden="false" customHeight="false" outlineLevel="0" collapsed="false">
      <c r="A373" s="37"/>
      <c r="B373" s="10"/>
      <c r="C373" s="10"/>
      <c r="D373" s="10"/>
      <c r="E373" s="10"/>
      <c r="F373" s="6"/>
      <c r="G373" s="38"/>
      <c r="H373" s="38"/>
      <c r="I373" s="6"/>
      <c r="J373" s="38"/>
      <c r="K373" s="6"/>
      <c r="L373" s="25" t="str">
        <f aca="false">IF(B373="","",IFERROR(H373/G373,0))</f>
        <v/>
      </c>
      <c r="M373" s="7" t="str">
        <f aca="false">IF(B373="","",IFERROR(I373/H373,0))</f>
        <v/>
      </c>
      <c r="N373" s="25" t="str">
        <f aca="false">IF(B373="","",IFERROR(I373/K373,0))</f>
        <v/>
      </c>
      <c r="O373" s="26" t="str">
        <f aca="false">IF(B373="","",IFERROR(K373/I373,0))</f>
        <v/>
      </c>
      <c r="P373" s="10"/>
      <c r="Q373" s="4" t="str">
        <f aca="false">IF(B373="","",B373&amp;" | "&amp;C373)</f>
        <v/>
      </c>
      <c r="R373" s="0" t="str">
        <f aca="false">IF(B373="","",Q373&amp;"#"&amp;A373)</f>
        <v/>
      </c>
    </row>
    <row r="374" customFormat="false" ht="15" hidden="false" customHeight="false" outlineLevel="0" collapsed="false">
      <c r="A374" s="37"/>
      <c r="B374" s="10"/>
      <c r="C374" s="10"/>
      <c r="D374" s="10"/>
      <c r="E374" s="10"/>
      <c r="F374" s="6"/>
      <c r="G374" s="38"/>
      <c r="H374" s="38"/>
      <c r="I374" s="6"/>
      <c r="J374" s="38"/>
      <c r="K374" s="6"/>
      <c r="L374" s="25" t="str">
        <f aca="false">IF(B374="","",IFERROR(H374/G374,0))</f>
        <v/>
      </c>
      <c r="M374" s="7" t="str">
        <f aca="false">IF(B374="","",IFERROR(I374/H374,0))</f>
        <v/>
      </c>
      <c r="N374" s="25" t="str">
        <f aca="false">IF(B374="","",IFERROR(I374/K374,0))</f>
        <v/>
      </c>
      <c r="O374" s="26" t="str">
        <f aca="false">IF(B374="","",IFERROR(K374/I374,0))</f>
        <v/>
      </c>
      <c r="P374" s="10"/>
      <c r="Q374" s="4" t="str">
        <f aca="false">IF(B374="","",B374&amp;" | "&amp;C374)</f>
        <v/>
      </c>
      <c r="R374" s="0" t="str">
        <f aca="false">IF(B374="","",Q374&amp;"#"&amp;A374)</f>
        <v/>
      </c>
    </row>
    <row r="375" customFormat="false" ht="15" hidden="false" customHeight="false" outlineLevel="0" collapsed="false">
      <c r="A375" s="37"/>
      <c r="B375" s="10"/>
      <c r="C375" s="10"/>
      <c r="D375" s="10"/>
      <c r="E375" s="10"/>
      <c r="F375" s="6"/>
      <c r="G375" s="38"/>
      <c r="H375" s="38"/>
      <c r="I375" s="6"/>
      <c r="J375" s="38"/>
      <c r="K375" s="6"/>
      <c r="L375" s="25" t="str">
        <f aca="false">IF(B375="","",IFERROR(H375/G375,0))</f>
        <v/>
      </c>
      <c r="M375" s="7" t="str">
        <f aca="false">IF(B375="","",IFERROR(I375/H375,0))</f>
        <v/>
      </c>
      <c r="N375" s="25" t="str">
        <f aca="false">IF(B375="","",IFERROR(I375/K375,0))</f>
        <v/>
      </c>
      <c r="O375" s="26" t="str">
        <f aca="false">IF(B375="","",IFERROR(K375/I375,0))</f>
        <v/>
      </c>
      <c r="P375" s="10"/>
      <c r="Q375" s="4" t="str">
        <f aca="false">IF(B375="","",B375&amp;" | "&amp;C375)</f>
        <v/>
      </c>
      <c r="R375" s="0" t="str">
        <f aca="false">IF(B375="","",Q375&amp;"#"&amp;A375)</f>
        <v/>
      </c>
    </row>
    <row r="376" customFormat="false" ht="15" hidden="false" customHeight="false" outlineLevel="0" collapsed="false">
      <c r="A376" s="37"/>
      <c r="B376" s="10"/>
      <c r="C376" s="10"/>
      <c r="D376" s="10"/>
      <c r="E376" s="10"/>
      <c r="F376" s="6"/>
      <c r="G376" s="38"/>
      <c r="H376" s="38"/>
      <c r="I376" s="6"/>
      <c r="J376" s="38"/>
      <c r="K376" s="6"/>
      <c r="L376" s="25" t="str">
        <f aca="false">IF(B376="","",IFERROR(H376/G376,0))</f>
        <v/>
      </c>
      <c r="M376" s="7" t="str">
        <f aca="false">IF(B376="","",IFERROR(I376/H376,0))</f>
        <v/>
      </c>
      <c r="N376" s="25" t="str">
        <f aca="false">IF(B376="","",IFERROR(I376/K376,0))</f>
        <v/>
      </c>
      <c r="O376" s="26" t="str">
        <f aca="false">IF(B376="","",IFERROR(K376/I376,0))</f>
        <v/>
      </c>
      <c r="P376" s="10"/>
      <c r="Q376" s="4" t="str">
        <f aca="false">IF(B376="","",B376&amp;" | "&amp;C376)</f>
        <v/>
      </c>
      <c r="R376" s="0" t="str">
        <f aca="false">IF(B376="","",Q376&amp;"#"&amp;A376)</f>
        <v/>
      </c>
    </row>
    <row r="377" customFormat="false" ht="15" hidden="false" customHeight="false" outlineLevel="0" collapsed="false">
      <c r="A377" s="37"/>
      <c r="B377" s="10"/>
      <c r="C377" s="10"/>
      <c r="D377" s="10"/>
      <c r="E377" s="10"/>
      <c r="F377" s="6"/>
      <c r="G377" s="38"/>
      <c r="H377" s="38"/>
      <c r="I377" s="6"/>
      <c r="J377" s="38"/>
      <c r="K377" s="6"/>
      <c r="L377" s="25" t="str">
        <f aca="false">IF(B377="","",IFERROR(H377/G377,0))</f>
        <v/>
      </c>
      <c r="M377" s="7" t="str">
        <f aca="false">IF(B377="","",IFERROR(I377/H377,0))</f>
        <v/>
      </c>
      <c r="N377" s="25" t="str">
        <f aca="false">IF(B377="","",IFERROR(I377/K377,0))</f>
        <v/>
      </c>
      <c r="O377" s="26" t="str">
        <f aca="false">IF(B377="","",IFERROR(K377/I377,0))</f>
        <v/>
      </c>
      <c r="P377" s="10"/>
      <c r="Q377" s="4" t="str">
        <f aca="false">IF(B377="","",B377&amp;" | "&amp;C377)</f>
        <v/>
      </c>
      <c r="R377" s="0" t="str">
        <f aca="false">IF(B377="","",Q377&amp;"#"&amp;A377)</f>
        <v/>
      </c>
    </row>
    <row r="378" customFormat="false" ht="15" hidden="false" customHeight="false" outlineLevel="0" collapsed="false">
      <c r="A378" s="37"/>
      <c r="B378" s="10"/>
      <c r="C378" s="10"/>
      <c r="D378" s="10"/>
      <c r="E378" s="10"/>
      <c r="F378" s="6"/>
      <c r="G378" s="38"/>
      <c r="H378" s="38"/>
      <c r="I378" s="6"/>
      <c r="J378" s="38"/>
      <c r="K378" s="6"/>
      <c r="L378" s="25" t="str">
        <f aca="false">IF(B378="","",IFERROR(H378/G378,0))</f>
        <v/>
      </c>
      <c r="M378" s="7" t="str">
        <f aca="false">IF(B378="","",IFERROR(I378/H378,0))</f>
        <v/>
      </c>
      <c r="N378" s="25" t="str">
        <f aca="false">IF(B378="","",IFERROR(I378/K378,0))</f>
        <v/>
      </c>
      <c r="O378" s="26" t="str">
        <f aca="false">IF(B378="","",IFERROR(K378/I378,0))</f>
        <v/>
      </c>
      <c r="P378" s="10"/>
      <c r="Q378" s="4" t="str">
        <f aca="false">IF(B378="","",B378&amp;" | "&amp;C378)</f>
        <v/>
      </c>
      <c r="R378" s="0" t="str">
        <f aca="false">IF(B378="","",Q378&amp;"#"&amp;A378)</f>
        <v/>
      </c>
    </row>
    <row r="379" customFormat="false" ht="15" hidden="false" customHeight="false" outlineLevel="0" collapsed="false">
      <c r="A379" s="37"/>
      <c r="B379" s="10"/>
      <c r="C379" s="10"/>
      <c r="D379" s="10"/>
      <c r="E379" s="10"/>
      <c r="F379" s="6"/>
      <c r="G379" s="38"/>
      <c r="H379" s="38"/>
      <c r="I379" s="6"/>
      <c r="J379" s="38"/>
      <c r="K379" s="6"/>
      <c r="L379" s="25" t="str">
        <f aca="false">IF(B379="","",IFERROR(H379/G379,0))</f>
        <v/>
      </c>
      <c r="M379" s="7" t="str">
        <f aca="false">IF(B379="","",IFERROR(I379/H379,0))</f>
        <v/>
      </c>
      <c r="N379" s="25" t="str">
        <f aca="false">IF(B379="","",IFERROR(I379/K379,0))</f>
        <v/>
      </c>
      <c r="O379" s="26" t="str">
        <f aca="false">IF(B379="","",IFERROR(K379/I379,0))</f>
        <v/>
      </c>
      <c r="P379" s="10"/>
      <c r="Q379" s="4" t="str">
        <f aca="false">IF(B379="","",B379&amp;" | "&amp;C379)</f>
        <v/>
      </c>
      <c r="R379" s="0" t="str">
        <f aca="false">IF(B379="","",Q379&amp;"#"&amp;A379)</f>
        <v/>
      </c>
    </row>
    <row r="380" customFormat="false" ht="15" hidden="false" customHeight="false" outlineLevel="0" collapsed="false">
      <c r="A380" s="37"/>
      <c r="B380" s="10"/>
      <c r="C380" s="10"/>
      <c r="D380" s="10"/>
      <c r="E380" s="10"/>
      <c r="F380" s="6"/>
      <c r="G380" s="38"/>
      <c r="H380" s="38"/>
      <c r="I380" s="6"/>
      <c r="J380" s="38"/>
      <c r="K380" s="6"/>
      <c r="L380" s="25" t="str">
        <f aca="false">IF(B380="","",IFERROR(H380/G380,0))</f>
        <v/>
      </c>
      <c r="M380" s="7" t="str">
        <f aca="false">IF(B380="","",IFERROR(I380/H380,0))</f>
        <v/>
      </c>
      <c r="N380" s="25" t="str">
        <f aca="false">IF(B380="","",IFERROR(I380/K380,0))</f>
        <v/>
      </c>
      <c r="O380" s="26" t="str">
        <f aca="false">IF(B380="","",IFERROR(K380/I380,0))</f>
        <v/>
      </c>
      <c r="P380" s="10"/>
      <c r="Q380" s="4" t="str">
        <f aca="false">IF(B380="","",B380&amp;" | "&amp;C380)</f>
        <v/>
      </c>
      <c r="R380" s="0" t="str">
        <f aca="false">IF(B380="","",Q380&amp;"#"&amp;A380)</f>
        <v/>
      </c>
    </row>
    <row r="381" customFormat="false" ht="15" hidden="false" customHeight="false" outlineLevel="0" collapsed="false">
      <c r="A381" s="37"/>
      <c r="B381" s="10"/>
      <c r="C381" s="10"/>
      <c r="D381" s="10"/>
      <c r="E381" s="10"/>
      <c r="F381" s="6"/>
      <c r="G381" s="38"/>
      <c r="H381" s="38"/>
      <c r="I381" s="6"/>
      <c r="J381" s="38"/>
      <c r="K381" s="6"/>
      <c r="L381" s="25" t="str">
        <f aca="false">IF(B381="","",IFERROR(H381/G381,0))</f>
        <v/>
      </c>
      <c r="M381" s="7" t="str">
        <f aca="false">IF(B381="","",IFERROR(I381/H381,0))</f>
        <v/>
      </c>
      <c r="N381" s="25" t="str">
        <f aca="false">IF(B381="","",IFERROR(I381/K381,0))</f>
        <v/>
      </c>
      <c r="O381" s="26" t="str">
        <f aca="false">IF(B381="","",IFERROR(K381/I381,0))</f>
        <v/>
      </c>
      <c r="P381" s="10"/>
      <c r="Q381" s="4" t="str">
        <f aca="false">IF(B381="","",B381&amp;" | "&amp;C381)</f>
        <v/>
      </c>
      <c r="R381" s="0" t="str">
        <f aca="false">IF(B381="","",Q381&amp;"#"&amp;A381)</f>
        <v/>
      </c>
    </row>
    <row r="382" customFormat="false" ht="15" hidden="false" customHeight="false" outlineLevel="0" collapsed="false">
      <c r="A382" s="37"/>
      <c r="B382" s="10"/>
      <c r="C382" s="10"/>
      <c r="D382" s="10"/>
      <c r="E382" s="10"/>
      <c r="F382" s="6"/>
      <c r="G382" s="38"/>
      <c r="H382" s="38"/>
      <c r="I382" s="6"/>
      <c r="J382" s="38"/>
      <c r="K382" s="6"/>
      <c r="L382" s="25" t="str">
        <f aca="false">IF(B382="","",IFERROR(H382/G382,0))</f>
        <v/>
      </c>
      <c r="M382" s="7" t="str">
        <f aca="false">IF(B382="","",IFERROR(I382/H382,0))</f>
        <v/>
      </c>
      <c r="N382" s="25" t="str">
        <f aca="false">IF(B382="","",IFERROR(I382/K382,0))</f>
        <v/>
      </c>
      <c r="O382" s="26" t="str">
        <f aca="false">IF(B382="","",IFERROR(K382/I382,0))</f>
        <v/>
      </c>
      <c r="P382" s="10"/>
      <c r="Q382" s="4" t="str">
        <f aca="false">IF(B382="","",B382&amp;" | "&amp;C382)</f>
        <v/>
      </c>
      <c r="R382" s="0" t="str">
        <f aca="false">IF(B382="","",Q382&amp;"#"&amp;A382)</f>
        <v/>
      </c>
    </row>
    <row r="383" customFormat="false" ht="15" hidden="false" customHeight="false" outlineLevel="0" collapsed="false">
      <c r="A383" s="37"/>
      <c r="B383" s="10"/>
      <c r="C383" s="10"/>
      <c r="D383" s="10"/>
      <c r="E383" s="10"/>
      <c r="F383" s="6"/>
      <c r="G383" s="38"/>
      <c r="H383" s="38"/>
      <c r="I383" s="6"/>
      <c r="J383" s="38"/>
      <c r="K383" s="6"/>
      <c r="L383" s="25" t="str">
        <f aca="false">IF(B383="","",IFERROR(H383/G383,0))</f>
        <v/>
      </c>
      <c r="M383" s="7" t="str">
        <f aca="false">IF(B383="","",IFERROR(I383/H383,0))</f>
        <v/>
      </c>
      <c r="N383" s="25" t="str">
        <f aca="false">IF(B383="","",IFERROR(I383/K383,0))</f>
        <v/>
      </c>
      <c r="O383" s="26" t="str">
        <f aca="false">IF(B383="","",IFERROR(K383/I383,0))</f>
        <v/>
      </c>
      <c r="P383" s="10"/>
      <c r="Q383" s="4" t="str">
        <f aca="false">IF(B383="","",B383&amp;" | "&amp;C383)</f>
        <v/>
      </c>
      <c r="R383" s="0" t="str">
        <f aca="false">IF(B383="","",Q383&amp;"#"&amp;A383)</f>
        <v/>
      </c>
    </row>
    <row r="384" customFormat="false" ht="15" hidden="false" customHeight="false" outlineLevel="0" collapsed="false">
      <c r="A384" s="37"/>
      <c r="B384" s="10"/>
      <c r="C384" s="10"/>
      <c r="D384" s="10"/>
      <c r="E384" s="10"/>
      <c r="F384" s="6"/>
      <c r="G384" s="38"/>
      <c r="H384" s="38"/>
      <c r="I384" s="6"/>
      <c r="J384" s="38"/>
      <c r="K384" s="6"/>
      <c r="L384" s="25" t="str">
        <f aca="false">IF(B384="","",IFERROR(H384/G384,0))</f>
        <v/>
      </c>
      <c r="M384" s="7" t="str">
        <f aca="false">IF(B384="","",IFERROR(I384/H384,0))</f>
        <v/>
      </c>
      <c r="N384" s="25" t="str">
        <f aca="false">IF(B384="","",IFERROR(I384/K384,0))</f>
        <v/>
      </c>
      <c r="O384" s="26" t="str">
        <f aca="false">IF(B384="","",IFERROR(K384/I384,0))</f>
        <v/>
      </c>
      <c r="P384" s="10"/>
      <c r="Q384" s="4" t="str">
        <f aca="false">IF(B384="","",B384&amp;" | "&amp;C384)</f>
        <v/>
      </c>
      <c r="R384" s="0" t="str">
        <f aca="false">IF(B384="","",Q384&amp;"#"&amp;A384)</f>
        <v/>
      </c>
    </row>
    <row r="385" customFormat="false" ht="15" hidden="false" customHeight="false" outlineLevel="0" collapsed="false">
      <c r="A385" s="37"/>
      <c r="B385" s="10"/>
      <c r="C385" s="10"/>
      <c r="D385" s="10"/>
      <c r="E385" s="10"/>
      <c r="F385" s="6"/>
      <c r="G385" s="38"/>
      <c r="H385" s="38"/>
      <c r="I385" s="6"/>
      <c r="J385" s="38"/>
      <c r="K385" s="6"/>
      <c r="L385" s="25" t="str">
        <f aca="false">IF(B385="","",IFERROR(H385/G385,0))</f>
        <v/>
      </c>
      <c r="M385" s="7" t="str">
        <f aca="false">IF(B385="","",IFERROR(I385/H385,0))</f>
        <v/>
      </c>
      <c r="N385" s="25" t="str">
        <f aca="false">IF(B385="","",IFERROR(I385/K385,0))</f>
        <v/>
      </c>
      <c r="O385" s="26" t="str">
        <f aca="false">IF(B385="","",IFERROR(K385/I385,0))</f>
        <v/>
      </c>
      <c r="P385" s="10"/>
      <c r="Q385" s="4" t="str">
        <f aca="false">IF(B385="","",B385&amp;" | "&amp;C385)</f>
        <v/>
      </c>
      <c r="R385" s="0" t="str">
        <f aca="false">IF(B385="","",Q385&amp;"#"&amp;A385)</f>
        <v/>
      </c>
    </row>
    <row r="386" customFormat="false" ht="15" hidden="false" customHeight="false" outlineLevel="0" collapsed="false">
      <c r="A386" s="37"/>
      <c r="B386" s="10"/>
      <c r="C386" s="10"/>
      <c r="D386" s="10"/>
      <c r="E386" s="10"/>
      <c r="F386" s="6"/>
      <c r="G386" s="38"/>
      <c r="H386" s="38"/>
      <c r="I386" s="6"/>
      <c r="J386" s="38"/>
      <c r="K386" s="6"/>
      <c r="L386" s="25" t="str">
        <f aca="false">IF(B386="","",IFERROR(H386/G386,0))</f>
        <v/>
      </c>
      <c r="M386" s="7" t="str">
        <f aca="false">IF(B386="","",IFERROR(I386/H386,0))</f>
        <v/>
      </c>
      <c r="N386" s="25" t="str">
        <f aca="false">IF(B386="","",IFERROR(I386/K386,0))</f>
        <v/>
      </c>
      <c r="O386" s="26" t="str">
        <f aca="false">IF(B386="","",IFERROR(K386/I386,0))</f>
        <v/>
      </c>
      <c r="P386" s="10"/>
      <c r="Q386" s="4" t="str">
        <f aca="false">IF(B386="","",B386&amp;" | "&amp;C386)</f>
        <v/>
      </c>
      <c r="R386" s="0" t="str">
        <f aca="false">IF(B386="","",Q386&amp;"#"&amp;A386)</f>
        <v/>
      </c>
    </row>
    <row r="387" customFormat="false" ht="15" hidden="false" customHeight="false" outlineLevel="0" collapsed="false">
      <c r="A387" s="37"/>
      <c r="B387" s="10"/>
      <c r="C387" s="10"/>
      <c r="D387" s="10"/>
      <c r="E387" s="10"/>
      <c r="F387" s="6"/>
      <c r="G387" s="38"/>
      <c r="H387" s="38"/>
      <c r="I387" s="6"/>
      <c r="J387" s="38"/>
      <c r="K387" s="6"/>
      <c r="L387" s="25" t="str">
        <f aca="false">IF(B387="","",IFERROR(H387/G387,0))</f>
        <v/>
      </c>
      <c r="M387" s="7" t="str">
        <f aca="false">IF(B387="","",IFERROR(I387/H387,0))</f>
        <v/>
      </c>
      <c r="N387" s="25" t="str">
        <f aca="false">IF(B387="","",IFERROR(I387/K387,0))</f>
        <v/>
      </c>
      <c r="O387" s="26" t="str">
        <f aca="false">IF(B387="","",IFERROR(K387/I387,0))</f>
        <v/>
      </c>
      <c r="P387" s="10"/>
      <c r="Q387" s="4" t="str">
        <f aca="false">IF(B387="","",B387&amp;" | "&amp;C387)</f>
        <v/>
      </c>
      <c r="R387" s="0" t="str">
        <f aca="false">IF(B387="","",Q387&amp;"#"&amp;A387)</f>
        <v/>
      </c>
    </row>
    <row r="388" customFormat="false" ht="15" hidden="false" customHeight="false" outlineLevel="0" collapsed="false">
      <c r="A388" s="37"/>
      <c r="B388" s="10"/>
      <c r="C388" s="10"/>
      <c r="D388" s="10"/>
      <c r="E388" s="10"/>
      <c r="F388" s="6"/>
      <c r="G388" s="38"/>
      <c r="H388" s="38"/>
      <c r="I388" s="6"/>
      <c r="J388" s="38"/>
      <c r="K388" s="6"/>
      <c r="L388" s="25" t="str">
        <f aca="false">IF(B388="","",IFERROR(H388/G388,0))</f>
        <v/>
      </c>
      <c r="M388" s="7" t="str">
        <f aca="false">IF(B388="","",IFERROR(I388/H388,0))</f>
        <v/>
      </c>
      <c r="N388" s="25" t="str">
        <f aca="false">IF(B388="","",IFERROR(I388/K388,0))</f>
        <v/>
      </c>
      <c r="O388" s="26" t="str">
        <f aca="false">IF(B388="","",IFERROR(K388/I388,0))</f>
        <v/>
      </c>
      <c r="P388" s="10"/>
      <c r="Q388" s="4" t="str">
        <f aca="false">IF(B388="","",B388&amp;" | "&amp;C388)</f>
        <v/>
      </c>
      <c r="R388" s="0" t="str">
        <f aca="false">IF(B388="","",Q388&amp;"#"&amp;A388)</f>
        <v/>
      </c>
    </row>
    <row r="389" customFormat="false" ht="15" hidden="false" customHeight="false" outlineLevel="0" collapsed="false">
      <c r="A389" s="37"/>
      <c r="B389" s="10"/>
      <c r="C389" s="10"/>
      <c r="D389" s="10"/>
      <c r="E389" s="10"/>
      <c r="F389" s="6"/>
      <c r="G389" s="38"/>
      <c r="H389" s="38"/>
      <c r="I389" s="6"/>
      <c r="J389" s="38"/>
      <c r="K389" s="6"/>
      <c r="L389" s="25" t="str">
        <f aca="false">IF(B389="","",IFERROR(H389/G389,0))</f>
        <v/>
      </c>
      <c r="M389" s="7" t="str">
        <f aca="false">IF(B389="","",IFERROR(I389/H389,0))</f>
        <v/>
      </c>
      <c r="N389" s="25" t="str">
        <f aca="false">IF(B389="","",IFERROR(I389/K389,0))</f>
        <v/>
      </c>
      <c r="O389" s="26" t="str">
        <f aca="false">IF(B389="","",IFERROR(K389/I389,0))</f>
        <v/>
      </c>
      <c r="P389" s="10"/>
      <c r="Q389" s="4" t="str">
        <f aca="false">IF(B389="","",B389&amp;" | "&amp;C389)</f>
        <v/>
      </c>
      <c r="R389" s="0" t="str">
        <f aca="false">IF(B389="","",Q389&amp;"#"&amp;A389)</f>
        <v/>
      </c>
    </row>
    <row r="390" customFormat="false" ht="15" hidden="false" customHeight="false" outlineLevel="0" collapsed="false">
      <c r="A390" s="37"/>
      <c r="B390" s="10"/>
      <c r="C390" s="10"/>
      <c r="D390" s="10"/>
      <c r="E390" s="10"/>
      <c r="F390" s="6"/>
      <c r="G390" s="38"/>
      <c r="H390" s="38"/>
      <c r="I390" s="6"/>
      <c r="J390" s="38"/>
      <c r="K390" s="6"/>
      <c r="L390" s="25" t="str">
        <f aca="false">IF(B390="","",IFERROR(H390/G390,0))</f>
        <v/>
      </c>
      <c r="M390" s="7" t="str">
        <f aca="false">IF(B390="","",IFERROR(I390/H390,0))</f>
        <v/>
      </c>
      <c r="N390" s="25" t="str">
        <f aca="false">IF(B390="","",IFERROR(I390/K390,0))</f>
        <v/>
      </c>
      <c r="O390" s="26" t="str">
        <f aca="false">IF(B390="","",IFERROR(K390/I390,0))</f>
        <v/>
      </c>
      <c r="P390" s="10"/>
      <c r="Q390" s="4" t="str">
        <f aca="false">IF(B390="","",B390&amp;" | "&amp;C390)</f>
        <v/>
      </c>
      <c r="R390" s="0" t="str">
        <f aca="false">IF(B390="","",Q390&amp;"#"&amp;A390)</f>
        <v/>
      </c>
    </row>
    <row r="391" customFormat="false" ht="15" hidden="false" customHeight="false" outlineLevel="0" collapsed="false">
      <c r="A391" s="37"/>
      <c r="B391" s="10"/>
      <c r="C391" s="10"/>
      <c r="D391" s="10"/>
      <c r="E391" s="10"/>
      <c r="F391" s="6"/>
      <c r="G391" s="38"/>
      <c r="H391" s="38"/>
      <c r="I391" s="6"/>
      <c r="J391" s="38"/>
      <c r="K391" s="6"/>
      <c r="L391" s="25" t="str">
        <f aca="false">IF(B391="","",IFERROR(H391/G391,0))</f>
        <v/>
      </c>
      <c r="M391" s="7" t="str">
        <f aca="false">IF(B391="","",IFERROR(I391/H391,0))</f>
        <v/>
      </c>
      <c r="N391" s="25" t="str">
        <f aca="false">IF(B391="","",IFERROR(I391/K391,0))</f>
        <v/>
      </c>
      <c r="O391" s="26" t="str">
        <f aca="false">IF(B391="","",IFERROR(K391/I391,0))</f>
        <v/>
      </c>
      <c r="P391" s="10"/>
      <c r="Q391" s="4" t="str">
        <f aca="false">IF(B391="","",B391&amp;" | "&amp;C391)</f>
        <v/>
      </c>
      <c r="R391" s="0" t="str">
        <f aca="false">IF(B391="","",Q391&amp;"#"&amp;A391)</f>
        <v/>
      </c>
    </row>
    <row r="392" customFormat="false" ht="15" hidden="false" customHeight="false" outlineLevel="0" collapsed="false">
      <c r="A392" s="37"/>
      <c r="B392" s="10"/>
      <c r="C392" s="10"/>
      <c r="D392" s="10"/>
      <c r="E392" s="10"/>
      <c r="F392" s="6"/>
      <c r="G392" s="38"/>
      <c r="H392" s="38"/>
      <c r="I392" s="6"/>
      <c r="J392" s="38"/>
      <c r="K392" s="6"/>
      <c r="L392" s="25" t="str">
        <f aca="false">IF(B392="","",IFERROR(H392/G392,0))</f>
        <v/>
      </c>
      <c r="M392" s="7" t="str">
        <f aca="false">IF(B392="","",IFERROR(I392/H392,0))</f>
        <v/>
      </c>
      <c r="N392" s="25" t="str">
        <f aca="false">IF(B392="","",IFERROR(I392/K392,0))</f>
        <v/>
      </c>
      <c r="O392" s="26" t="str">
        <f aca="false">IF(B392="","",IFERROR(K392/I392,0))</f>
        <v/>
      </c>
      <c r="P392" s="10"/>
      <c r="Q392" s="4" t="str">
        <f aca="false">IF(B392="","",B392&amp;" | "&amp;C392)</f>
        <v/>
      </c>
      <c r="R392" s="0" t="str">
        <f aca="false">IF(B392="","",Q392&amp;"#"&amp;A392)</f>
        <v/>
      </c>
    </row>
    <row r="393" customFormat="false" ht="15" hidden="false" customHeight="false" outlineLevel="0" collapsed="false">
      <c r="A393" s="37"/>
      <c r="B393" s="10"/>
      <c r="C393" s="10"/>
      <c r="D393" s="10"/>
      <c r="E393" s="10"/>
      <c r="F393" s="6"/>
      <c r="G393" s="38"/>
      <c r="H393" s="38"/>
      <c r="I393" s="6"/>
      <c r="J393" s="38"/>
      <c r="K393" s="6"/>
      <c r="L393" s="25" t="str">
        <f aca="false">IF(B393="","",IFERROR(H393/G393,0))</f>
        <v/>
      </c>
      <c r="M393" s="7" t="str">
        <f aca="false">IF(B393="","",IFERROR(I393/H393,0))</f>
        <v/>
      </c>
      <c r="N393" s="25" t="str">
        <f aca="false">IF(B393="","",IFERROR(I393/K393,0))</f>
        <v/>
      </c>
      <c r="O393" s="26" t="str">
        <f aca="false">IF(B393="","",IFERROR(K393/I393,0))</f>
        <v/>
      </c>
      <c r="P393" s="10"/>
      <c r="Q393" s="4" t="str">
        <f aca="false">IF(B393="","",B393&amp;" | "&amp;C393)</f>
        <v/>
      </c>
      <c r="R393" s="0" t="str">
        <f aca="false">IF(B393="","",Q393&amp;"#"&amp;A393)</f>
        <v/>
      </c>
    </row>
    <row r="394" customFormat="false" ht="15" hidden="false" customHeight="false" outlineLevel="0" collapsed="false">
      <c r="A394" s="37"/>
      <c r="B394" s="10"/>
      <c r="C394" s="10"/>
      <c r="D394" s="10"/>
      <c r="E394" s="10"/>
      <c r="F394" s="6"/>
      <c r="G394" s="38"/>
      <c r="H394" s="38"/>
      <c r="I394" s="6"/>
      <c r="J394" s="38"/>
      <c r="K394" s="6"/>
      <c r="L394" s="25" t="str">
        <f aca="false">IF(B394="","",IFERROR(H394/G394,0))</f>
        <v/>
      </c>
      <c r="M394" s="7" t="str">
        <f aca="false">IF(B394="","",IFERROR(I394/H394,0))</f>
        <v/>
      </c>
      <c r="N394" s="25" t="str">
        <f aca="false">IF(B394="","",IFERROR(I394/K394,0))</f>
        <v/>
      </c>
      <c r="O394" s="26" t="str">
        <f aca="false">IF(B394="","",IFERROR(K394/I394,0))</f>
        <v/>
      </c>
      <c r="P394" s="10"/>
      <c r="Q394" s="4" t="str">
        <f aca="false">IF(B394="","",B394&amp;" | "&amp;C394)</f>
        <v/>
      </c>
      <c r="R394" s="0" t="str">
        <f aca="false">IF(B394="","",Q394&amp;"#"&amp;A394)</f>
        <v/>
      </c>
    </row>
    <row r="395" customFormat="false" ht="15" hidden="false" customHeight="false" outlineLevel="0" collapsed="false">
      <c r="A395" s="37"/>
      <c r="B395" s="10"/>
      <c r="C395" s="10"/>
      <c r="D395" s="10"/>
      <c r="E395" s="10"/>
      <c r="F395" s="6"/>
      <c r="G395" s="38"/>
      <c r="H395" s="38"/>
      <c r="I395" s="6"/>
      <c r="J395" s="38"/>
      <c r="K395" s="6"/>
      <c r="L395" s="25" t="str">
        <f aca="false">IF(B395="","",IFERROR(H395/G395,0))</f>
        <v/>
      </c>
      <c r="M395" s="7" t="str">
        <f aca="false">IF(B395="","",IFERROR(I395/H395,0))</f>
        <v/>
      </c>
      <c r="N395" s="25" t="str">
        <f aca="false">IF(B395="","",IFERROR(I395/K395,0))</f>
        <v/>
      </c>
      <c r="O395" s="26" t="str">
        <f aca="false">IF(B395="","",IFERROR(K395/I395,0))</f>
        <v/>
      </c>
      <c r="P395" s="10"/>
      <c r="Q395" s="4" t="str">
        <f aca="false">IF(B395="","",B395&amp;" | "&amp;C395)</f>
        <v/>
      </c>
      <c r="R395" s="0" t="str">
        <f aca="false">IF(B395="","",Q395&amp;"#"&amp;A395)</f>
        <v/>
      </c>
    </row>
    <row r="396" customFormat="false" ht="15" hidden="false" customHeight="false" outlineLevel="0" collapsed="false">
      <c r="A396" s="37"/>
      <c r="B396" s="10"/>
      <c r="C396" s="10"/>
      <c r="D396" s="10"/>
      <c r="E396" s="10"/>
      <c r="F396" s="6"/>
      <c r="G396" s="38"/>
      <c r="H396" s="38"/>
      <c r="I396" s="6"/>
      <c r="J396" s="38"/>
      <c r="K396" s="6"/>
      <c r="L396" s="25" t="str">
        <f aca="false">IF(B396="","",IFERROR(H396/G396,0))</f>
        <v/>
      </c>
      <c r="M396" s="7" t="str">
        <f aca="false">IF(B396="","",IFERROR(I396/H396,0))</f>
        <v/>
      </c>
      <c r="N396" s="25" t="str">
        <f aca="false">IF(B396="","",IFERROR(I396/K396,0))</f>
        <v/>
      </c>
      <c r="O396" s="26" t="str">
        <f aca="false">IF(B396="","",IFERROR(K396/I396,0))</f>
        <v/>
      </c>
      <c r="P396" s="10"/>
      <c r="Q396" s="4" t="str">
        <f aca="false">IF(B396="","",B396&amp;" | "&amp;C396)</f>
        <v/>
      </c>
      <c r="R396" s="0" t="str">
        <f aca="false">IF(B396="","",Q396&amp;"#"&amp;A396)</f>
        <v/>
      </c>
    </row>
    <row r="397" customFormat="false" ht="15" hidden="false" customHeight="false" outlineLevel="0" collapsed="false">
      <c r="A397" s="37"/>
      <c r="B397" s="10"/>
      <c r="C397" s="10"/>
      <c r="D397" s="10"/>
      <c r="E397" s="10"/>
      <c r="F397" s="6"/>
      <c r="G397" s="38"/>
      <c r="H397" s="38"/>
      <c r="I397" s="6"/>
      <c r="J397" s="38"/>
      <c r="K397" s="6"/>
      <c r="L397" s="25" t="str">
        <f aca="false">IF(B397="","",IFERROR(H397/G397,0))</f>
        <v/>
      </c>
      <c r="M397" s="7" t="str">
        <f aca="false">IF(B397="","",IFERROR(I397/H397,0))</f>
        <v/>
      </c>
      <c r="N397" s="25" t="str">
        <f aca="false">IF(B397="","",IFERROR(I397/K397,0))</f>
        <v/>
      </c>
      <c r="O397" s="26" t="str">
        <f aca="false">IF(B397="","",IFERROR(K397/I397,0))</f>
        <v/>
      </c>
      <c r="P397" s="10"/>
      <c r="Q397" s="4" t="str">
        <f aca="false">IF(B397="","",B397&amp;" | "&amp;C397)</f>
        <v/>
      </c>
      <c r="R397" s="0" t="str">
        <f aca="false">IF(B397="","",Q397&amp;"#"&amp;A397)</f>
        <v/>
      </c>
    </row>
    <row r="398" customFormat="false" ht="15" hidden="false" customHeight="false" outlineLevel="0" collapsed="false">
      <c r="A398" s="37"/>
      <c r="B398" s="10"/>
      <c r="C398" s="10"/>
      <c r="D398" s="10"/>
      <c r="E398" s="10"/>
      <c r="F398" s="6"/>
      <c r="G398" s="38"/>
      <c r="H398" s="38"/>
      <c r="I398" s="6"/>
      <c r="J398" s="38"/>
      <c r="K398" s="6"/>
      <c r="L398" s="25" t="str">
        <f aca="false">IF(B398="","",IFERROR(H398/G398,0))</f>
        <v/>
      </c>
      <c r="M398" s="7" t="str">
        <f aca="false">IF(B398="","",IFERROR(I398/H398,0))</f>
        <v/>
      </c>
      <c r="N398" s="25" t="str">
        <f aca="false">IF(B398="","",IFERROR(I398/K398,0))</f>
        <v/>
      </c>
      <c r="O398" s="26" t="str">
        <f aca="false">IF(B398="","",IFERROR(K398/I398,0))</f>
        <v/>
      </c>
      <c r="P398" s="10"/>
      <c r="Q398" s="4" t="str">
        <f aca="false">IF(B398="","",B398&amp;" | "&amp;C398)</f>
        <v/>
      </c>
      <c r="R398" s="0" t="str">
        <f aca="false">IF(B398="","",Q398&amp;"#"&amp;A398)</f>
        <v/>
      </c>
    </row>
    <row r="399" customFormat="false" ht="15" hidden="false" customHeight="false" outlineLevel="0" collapsed="false">
      <c r="A399" s="37"/>
      <c r="B399" s="10"/>
      <c r="C399" s="10"/>
      <c r="D399" s="10"/>
      <c r="E399" s="10"/>
      <c r="F399" s="6"/>
      <c r="G399" s="38"/>
      <c r="H399" s="38"/>
      <c r="I399" s="6"/>
      <c r="J399" s="38"/>
      <c r="K399" s="6"/>
      <c r="L399" s="25" t="str">
        <f aca="false">IF(B399="","",IFERROR(H399/G399,0))</f>
        <v/>
      </c>
      <c r="M399" s="7" t="str">
        <f aca="false">IF(B399="","",IFERROR(I399/H399,0))</f>
        <v/>
      </c>
      <c r="N399" s="25" t="str">
        <f aca="false">IF(B399="","",IFERROR(I399/K399,0))</f>
        <v/>
      </c>
      <c r="O399" s="26" t="str">
        <f aca="false">IF(B399="","",IFERROR(K399/I399,0))</f>
        <v/>
      </c>
      <c r="P399" s="10"/>
      <c r="Q399" s="4" t="str">
        <f aca="false">IF(B399="","",B399&amp;" | "&amp;C399)</f>
        <v/>
      </c>
      <c r="R399" s="0" t="str">
        <f aca="false">IF(B399="","",Q399&amp;"#"&amp;A399)</f>
        <v/>
      </c>
    </row>
    <row r="400" customFormat="false" ht="15" hidden="false" customHeight="false" outlineLevel="0" collapsed="false">
      <c r="A400" s="37"/>
      <c r="B400" s="10"/>
      <c r="C400" s="10"/>
      <c r="D400" s="10"/>
      <c r="E400" s="10"/>
      <c r="F400" s="6"/>
      <c r="G400" s="38"/>
      <c r="H400" s="38"/>
      <c r="I400" s="6"/>
      <c r="J400" s="38"/>
      <c r="K400" s="6"/>
      <c r="L400" s="25" t="str">
        <f aca="false">IF(B400="","",IFERROR(H400/G400,0))</f>
        <v/>
      </c>
      <c r="M400" s="7" t="str">
        <f aca="false">IF(B400="","",IFERROR(I400/H400,0))</f>
        <v/>
      </c>
      <c r="N400" s="25" t="str">
        <f aca="false">IF(B400="","",IFERROR(I400/K400,0))</f>
        <v/>
      </c>
      <c r="O400" s="26" t="str">
        <f aca="false">IF(B400="","",IFERROR(K400/I400,0))</f>
        <v/>
      </c>
      <c r="P400" s="10"/>
      <c r="Q400" s="4" t="str">
        <f aca="false">IF(B400="","",B400&amp;" | "&amp;C400)</f>
        <v/>
      </c>
      <c r="R400" s="0" t="str">
        <f aca="false">IF(B400="","",Q400&amp;"#"&amp;A400)</f>
        <v/>
      </c>
    </row>
    <row r="401" customFormat="false" ht="15" hidden="false" customHeight="false" outlineLevel="0" collapsed="false">
      <c r="A401" s="37"/>
      <c r="B401" s="10"/>
      <c r="C401" s="10"/>
      <c r="D401" s="10"/>
      <c r="E401" s="10"/>
      <c r="F401" s="6"/>
      <c r="G401" s="38"/>
      <c r="H401" s="38"/>
      <c r="I401" s="6"/>
      <c r="J401" s="38"/>
      <c r="K401" s="6"/>
      <c r="L401" s="25" t="str">
        <f aca="false">IF(B401="","",IFERROR(H401/G401,0))</f>
        <v/>
      </c>
      <c r="M401" s="7" t="str">
        <f aca="false">IF(B401="","",IFERROR(I401/H401,0))</f>
        <v/>
      </c>
      <c r="N401" s="25" t="str">
        <f aca="false">IF(B401="","",IFERROR(I401/K401,0))</f>
        <v/>
      </c>
      <c r="O401" s="26" t="str">
        <f aca="false">IF(B401="","",IFERROR(K401/I401,0))</f>
        <v/>
      </c>
      <c r="P401" s="10"/>
      <c r="Q401" s="4" t="str">
        <f aca="false">IF(B401="","",B401&amp;" | "&amp;C401)</f>
        <v/>
      </c>
      <c r="R401" s="0" t="str">
        <f aca="false">IF(B401="","",Q401&amp;"#"&amp;A401)</f>
        <v/>
      </c>
    </row>
    <row r="402" customFormat="false" ht="15" hidden="false" customHeight="false" outlineLevel="0" collapsed="false">
      <c r="A402" s="37"/>
      <c r="B402" s="10"/>
      <c r="C402" s="10"/>
      <c r="D402" s="10"/>
      <c r="E402" s="10"/>
      <c r="F402" s="6"/>
      <c r="G402" s="38"/>
      <c r="H402" s="38"/>
      <c r="I402" s="6"/>
      <c r="J402" s="38"/>
      <c r="K402" s="6"/>
      <c r="L402" s="25" t="str">
        <f aca="false">IF(B402="","",IFERROR(H402/G402,0))</f>
        <v/>
      </c>
      <c r="M402" s="7" t="str">
        <f aca="false">IF(B402="","",IFERROR(I402/H402,0))</f>
        <v/>
      </c>
      <c r="N402" s="25" t="str">
        <f aca="false">IF(B402="","",IFERROR(I402/K402,0))</f>
        <v/>
      </c>
      <c r="O402" s="26" t="str">
        <f aca="false">IF(B402="","",IFERROR(K402/I402,0))</f>
        <v/>
      </c>
      <c r="P402" s="10"/>
      <c r="Q402" s="4" t="str">
        <f aca="false">IF(B402="","",B402&amp;" | "&amp;C402)</f>
        <v/>
      </c>
      <c r="R402" s="0" t="str">
        <f aca="false">IF(B402="","",Q402&amp;"#"&amp;A402)</f>
        <v/>
      </c>
    </row>
    <row r="403" customFormat="false" ht="15" hidden="false" customHeight="false" outlineLevel="0" collapsed="false">
      <c r="A403" s="37"/>
      <c r="B403" s="10"/>
      <c r="C403" s="10"/>
      <c r="D403" s="10"/>
      <c r="E403" s="10"/>
      <c r="F403" s="6"/>
      <c r="G403" s="38"/>
      <c r="H403" s="38"/>
      <c r="I403" s="6"/>
      <c r="J403" s="38"/>
      <c r="K403" s="6"/>
      <c r="L403" s="25" t="str">
        <f aca="false">IF(B403="","",IFERROR(H403/G403,0))</f>
        <v/>
      </c>
      <c r="M403" s="7" t="str">
        <f aca="false">IF(B403="","",IFERROR(I403/H403,0))</f>
        <v/>
      </c>
      <c r="N403" s="25" t="str">
        <f aca="false">IF(B403="","",IFERROR(I403/K403,0))</f>
        <v/>
      </c>
      <c r="O403" s="26" t="str">
        <f aca="false">IF(B403="","",IFERROR(K403/I403,0))</f>
        <v/>
      </c>
      <c r="P403" s="10"/>
      <c r="Q403" s="4" t="str">
        <f aca="false">IF(B403="","",B403&amp;" | "&amp;C403)</f>
        <v/>
      </c>
      <c r="R403" s="0" t="str">
        <f aca="false">IF(B403="","",Q403&amp;"#"&amp;A403)</f>
        <v/>
      </c>
    </row>
  </sheetData>
  <dataValidations count="3">
    <dataValidation allowBlank="true" errorStyle="stop" operator="between" showDropDown="false" showErrorMessage="false" showInputMessage="false" sqref="B4:B403" type="list">
      <formula1>Segmentación!$B$4:$B$18</formula1>
      <formula2>0</formula2>
    </dataValidation>
    <dataValidation allowBlank="true" errorStyle="stop" operator="between" showDropDown="false" showErrorMessage="false" showInputMessage="false" sqref="C4:C403" type="list">
      <formula1>"Amplia,Frase,Exacta,Producto,Categoría"</formula1>
      <formula2>0</formula2>
    </dataValidation>
    <dataValidation allowBlank="true" errorStyle="stop" operator="between" showDropDown="false" showErrorMessage="false" showInputMessage="false" sqref="D4:D403" type="list">
      <formula1>"Activado,En pausa,Archivado"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60"/>
    <col collapsed="false" customWidth="true" hidden="false" outlineLevel="0" max="10" min="10" style="0" width="11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4" min="13" style="0" width="11"/>
    <col collapsed="false" customWidth="true" hidden="false" outlineLevel="0" max="18" min="15" style="0" width="9"/>
    <col collapsed="false" customWidth="true" hidden="false" outlineLevel="0" max="23" min="19" style="0" width="10"/>
    <col collapsed="false" customWidth="true" hidden="false" outlineLevel="0" max="24" min="24" style="0" width="26"/>
    <col collapsed="false" customWidth="true" hidden="false" outlineLevel="0" max="25" min="25" style="0" width="30"/>
  </cols>
  <sheetData>
    <row r="1" customFormat="false" ht="15" hidden="false" customHeight="false" outlineLevel="0" collapsed="false">
      <c r="A1" s="3" t="s">
        <v>161</v>
      </c>
    </row>
    <row r="3" customFormat="false" ht="42" hidden="false" customHeight="true" outlineLevel="0" collapsed="false">
      <c r="A3" s="16" t="s">
        <v>113</v>
      </c>
      <c r="B3" s="16" t="s">
        <v>162</v>
      </c>
      <c r="C3" s="16" t="s">
        <v>163</v>
      </c>
      <c r="D3" s="16" t="s">
        <v>96</v>
      </c>
      <c r="E3" s="16" t="s">
        <v>164</v>
      </c>
      <c r="F3" s="16" t="s">
        <v>165</v>
      </c>
      <c r="G3" s="16" t="s">
        <v>166</v>
      </c>
      <c r="H3" s="16" t="s">
        <v>167</v>
      </c>
      <c r="I3" s="16" t="s">
        <v>168</v>
      </c>
      <c r="J3" s="16" t="s">
        <v>169</v>
      </c>
      <c r="K3" s="16" t="s">
        <v>170</v>
      </c>
      <c r="L3" s="16" t="s">
        <v>171</v>
      </c>
      <c r="M3" s="16" t="s">
        <v>172</v>
      </c>
      <c r="N3" s="16" t="s">
        <v>173</v>
      </c>
      <c r="O3" s="16" t="s">
        <v>174</v>
      </c>
      <c r="P3" s="16" t="s">
        <v>175</v>
      </c>
      <c r="Q3" s="16" t="s">
        <v>176</v>
      </c>
      <c r="R3" s="16" t="s">
        <v>177</v>
      </c>
      <c r="S3" s="16" t="s">
        <v>178</v>
      </c>
      <c r="T3" s="16" t="s">
        <v>179</v>
      </c>
      <c r="U3" s="16" t="s">
        <v>180</v>
      </c>
      <c r="V3" s="16" t="s">
        <v>181</v>
      </c>
      <c r="W3" s="16" t="s">
        <v>182</v>
      </c>
      <c r="X3" s="16" t="s">
        <v>183</v>
      </c>
      <c r="Y3" s="16" t="s">
        <v>184</v>
      </c>
    </row>
    <row r="4" customFormat="false" ht="54" hidden="false" customHeight="true" outlineLevel="0" collapsed="false">
      <c r="A4" s="39" t="s">
        <v>70</v>
      </c>
      <c r="B4" s="40" t="n">
        <v>46290</v>
      </c>
      <c r="C4" s="39" t="s">
        <v>185</v>
      </c>
      <c r="D4" s="19"/>
      <c r="E4" s="39"/>
      <c r="F4" s="41"/>
      <c r="G4" s="41"/>
      <c r="H4" s="42" t="str">
        <f aca="false">IF(OR(F4="",G4="",F4=0),"",G4/F4-1)</f>
        <v/>
      </c>
      <c r="I4" s="19" t="s">
        <v>186</v>
      </c>
      <c r="J4" s="42"/>
      <c r="K4" s="39"/>
      <c r="L4" s="43" t="s">
        <v>187</v>
      </c>
      <c r="M4" s="44"/>
      <c r="N4" s="40" t="str">
        <f aca="false">IF(M4="","",M4+Leyenda!$B$15)</f>
        <v/>
      </c>
      <c r="O4" s="45" t="n">
        <v>0</v>
      </c>
      <c r="P4" s="41" t="n">
        <v>0</v>
      </c>
      <c r="Q4" s="45" t="n">
        <v>0</v>
      </c>
      <c r="R4" s="41" t="n">
        <v>0</v>
      </c>
      <c r="S4" s="45" t="str">
        <f aca="false">IF(OR(D4="",M4=""),"",IFERROR(INDEX(Segmentación!$F$4:$F$18,MATCH(D4&amp;" | "&amp;E4,Segmentación!$W$4:$W$18,0))-O4,""))</f>
        <v/>
      </c>
      <c r="T4" s="41" t="str">
        <f aca="false">IF(OR(D4="",M4=""),"",IFERROR(INDEX(Segmentación!$H$4:$H$18,MATCH(D4&amp;" | "&amp;E4,Segmentación!$W$4:$W$18,0))-P4,""))</f>
        <v/>
      </c>
      <c r="U4" s="45" t="str">
        <f aca="false">IF(OR(D4="",M4=""),"",IFERROR(INDEX(Segmentación!$J$4:$J$18,MATCH(D4&amp;" | "&amp;E4,Segmentación!$W$4:$W$18,0))-Q4,""))</f>
        <v/>
      </c>
      <c r="V4" s="41" t="str">
        <f aca="false">IF(OR(D4="",M4=""),"",IFERROR(INDEX(Segmentación!$K$4:$K$18,MATCH(D4&amp;" | "&amp;E4,Segmentación!$W$4:$W$18,0))-R4,""))</f>
        <v/>
      </c>
      <c r="W4" s="42" t="str">
        <f aca="false">IF(OR(S4="",V4=""),"",IF(V4=0,"",T4/V4))</f>
        <v/>
      </c>
      <c r="X4" s="19" t="str">
        <f aca="true">IF(C4="","",IF(OR(D4="",ISNUMBER(SEARCH("negativa",C4))),IF(M4="","Pendiente de aplicar","Aplicado (no se evalúa)"),IF(M4="","Pendiente de aplicar",IF(S4="","Sin datos",IF(S4&lt;Leyenda!$B$13,"Esperando datos ("&amp;S4&amp;" de 10 clics)",IF(U4=0,"Empeora: "&amp;S4&amp;" clics sin venta",IF(TODAY()&lt;N4,"Esperando atribución (7 días)",IF(W4&lt;=J4,"Mejora (ACOS "&amp;TEXT(W4,"0%")&amp;")","Empeora (ACOS "&amp;TEXT(W4,"0%")&amp;")"))))))))</f>
        <v>Pendiente de aplicar</v>
      </c>
      <c r="Y4" s="18"/>
    </row>
    <row r="5" customFormat="false" ht="54" hidden="false" customHeight="true" outlineLevel="0" collapsed="false">
      <c r="A5" s="39" t="s">
        <v>121</v>
      </c>
      <c r="B5" s="40" t="n">
        <v>46290</v>
      </c>
      <c r="C5" s="39" t="s">
        <v>188</v>
      </c>
      <c r="D5" s="19" t="s">
        <v>118</v>
      </c>
      <c r="E5" s="39" t="s">
        <v>119</v>
      </c>
      <c r="F5" s="41" t="n">
        <v>0.62</v>
      </c>
      <c r="G5" s="41" t="n">
        <v>0.78</v>
      </c>
      <c r="H5" s="42" t="n">
        <f aca="false">IF(OR(F5="",G5="",F5=0),"",G5/F5-1)</f>
        <v>0.258064516129032</v>
      </c>
      <c r="I5" s="19" t="s">
        <v>189</v>
      </c>
      <c r="J5" s="42" t="n">
        <v>0.1891</v>
      </c>
      <c r="K5" s="39" t="s">
        <v>190</v>
      </c>
      <c r="L5" s="43" t="s">
        <v>187</v>
      </c>
      <c r="M5" s="44"/>
      <c r="N5" s="40" t="str">
        <f aca="false">IF(M5="","",M5+Leyenda!$B$15)</f>
        <v/>
      </c>
      <c r="O5" s="45" t="n">
        <v>0</v>
      </c>
      <c r="P5" s="41" t="n">
        <v>0</v>
      </c>
      <c r="Q5" s="45" t="n">
        <v>0</v>
      </c>
      <c r="R5" s="41" t="n">
        <v>0</v>
      </c>
      <c r="S5" s="45" t="str">
        <f aca="false">IF(OR(D5="",M5=""),"",IFERROR(INDEX(Segmentación!$F$4:$F$18,MATCH(D5&amp;" | "&amp;E5,Segmentación!$W$4:$W$18,0))-O5,""))</f>
        <v/>
      </c>
      <c r="T5" s="41" t="str">
        <f aca="false">IF(OR(D5="",M5=""),"",IFERROR(INDEX(Segmentación!$H$4:$H$18,MATCH(D5&amp;" | "&amp;E5,Segmentación!$W$4:$W$18,0))-P5,""))</f>
        <v/>
      </c>
      <c r="U5" s="45" t="str">
        <f aca="false">IF(OR(D5="",M5=""),"",IFERROR(INDEX(Segmentación!$J$4:$J$18,MATCH(D5&amp;" | "&amp;E5,Segmentación!$W$4:$W$18,0))-Q5,""))</f>
        <v/>
      </c>
      <c r="V5" s="41" t="str">
        <f aca="false">IF(OR(D5="",M5=""),"",IFERROR(INDEX(Segmentación!$K$4:$K$18,MATCH(D5&amp;" | "&amp;E5,Segmentación!$W$4:$W$18,0))-R5,""))</f>
        <v/>
      </c>
      <c r="W5" s="42" t="str">
        <f aca="false">IF(OR(S5="",V5=""),"",IF(V5=0,"",T5/V5))</f>
        <v/>
      </c>
      <c r="X5" s="19" t="str">
        <f aca="true">IF(C5="","",IF(OR(D5="",ISNUMBER(SEARCH("negativa",C5))),IF(M5="","Pendiente de aplicar","Aplicado (no se evalúa)"),IF(M5="","Pendiente de aplicar",IF(S5="","Sin datos",IF(S5&lt;Leyenda!$B$13,"Esperando datos ("&amp;S5&amp;" de 10 clics)",IF(U5=0,"Empeora: "&amp;S5&amp;" clics sin venta",IF(TODAY()&lt;N5,"Esperando atribución (7 días)",IF(W5&lt;=J5,"Mejora (ACOS "&amp;TEXT(W5,"0%")&amp;")","Empeora (ACOS "&amp;TEXT(W5,"0%")&amp;")"))))))))</f>
        <v>Pendiente de aplicar</v>
      </c>
      <c r="Y5" s="18"/>
    </row>
    <row r="6" customFormat="false" ht="54" hidden="false" customHeight="true" outlineLevel="0" collapsed="false">
      <c r="A6" s="39" t="s">
        <v>124</v>
      </c>
      <c r="B6" s="40" t="n">
        <v>46290</v>
      </c>
      <c r="C6" s="39" t="s">
        <v>188</v>
      </c>
      <c r="D6" s="19" t="s">
        <v>122</v>
      </c>
      <c r="E6" s="39" t="s">
        <v>123</v>
      </c>
      <c r="F6" s="41" t="n">
        <v>0.3</v>
      </c>
      <c r="G6" s="41" t="n">
        <v>0.3</v>
      </c>
      <c r="H6" s="42" t="n">
        <f aca="false">IF(OR(F6="",G6="",F6=0),"",G6/F6-1)</f>
        <v>0</v>
      </c>
      <c r="I6" s="19" t="s">
        <v>191</v>
      </c>
      <c r="J6" s="42" t="n">
        <v>0.3003</v>
      </c>
      <c r="K6" s="39" t="s">
        <v>190</v>
      </c>
      <c r="L6" s="43" t="s">
        <v>187</v>
      </c>
      <c r="M6" s="44"/>
      <c r="N6" s="40" t="str">
        <f aca="false">IF(M6="","",M6+Leyenda!$B$15)</f>
        <v/>
      </c>
      <c r="O6" s="45" t="n">
        <v>0</v>
      </c>
      <c r="P6" s="41" t="n">
        <v>0</v>
      </c>
      <c r="Q6" s="45" t="n">
        <v>0</v>
      </c>
      <c r="R6" s="41" t="n">
        <v>0</v>
      </c>
      <c r="S6" s="45" t="str">
        <f aca="false">IF(OR(D6="",M6=""),"",IFERROR(INDEX(Segmentación!$F$4:$F$18,MATCH(D6&amp;" | "&amp;E6,Segmentación!$W$4:$W$18,0))-O6,""))</f>
        <v/>
      </c>
      <c r="T6" s="41" t="str">
        <f aca="false">IF(OR(D6="",M6=""),"",IFERROR(INDEX(Segmentación!$H$4:$H$18,MATCH(D6&amp;" | "&amp;E6,Segmentación!$W$4:$W$18,0))-P6,""))</f>
        <v/>
      </c>
      <c r="U6" s="45" t="str">
        <f aca="false">IF(OR(D6="",M6=""),"",IFERROR(INDEX(Segmentación!$J$4:$J$18,MATCH(D6&amp;" | "&amp;E6,Segmentación!$W$4:$W$18,0))-Q6,""))</f>
        <v/>
      </c>
      <c r="V6" s="41" t="str">
        <f aca="false">IF(OR(D6="",M6=""),"",IFERROR(INDEX(Segmentación!$K$4:$K$18,MATCH(D6&amp;" | "&amp;E6,Segmentación!$W$4:$W$18,0))-R6,""))</f>
        <v/>
      </c>
      <c r="W6" s="42" t="str">
        <f aca="false">IF(OR(S6="",V6=""),"",IF(V6=0,"",T6/V6))</f>
        <v/>
      </c>
      <c r="X6" s="19" t="str">
        <f aca="true">IF(C6="","",IF(OR(D6="",ISNUMBER(SEARCH("negativa",C6))),IF(M6="","Pendiente de aplicar","Aplicado (no se evalúa)"),IF(M6="","Pendiente de aplicar",IF(S6="","Sin datos",IF(S6&lt;Leyenda!$B$13,"Esperando datos ("&amp;S6&amp;" de 10 clics)",IF(U6=0,"Empeora: "&amp;S6&amp;" clics sin venta",IF(TODAY()&lt;N6,"Esperando atribución (7 días)",IF(W6&lt;=J6,"Mejora (ACOS "&amp;TEXT(W6,"0%")&amp;")","Empeora (ACOS "&amp;TEXT(W6,"0%")&amp;")"))))))))</f>
        <v>Pendiente de aplicar</v>
      </c>
      <c r="Y6" s="18"/>
    </row>
    <row r="7" customFormat="false" ht="54" hidden="false" customHeight="true" outlineLevel="0" collapsed="false">
      <c r="A7" s="39" t="s">
        <v>127</v>
      </c>
      <c r="B7" s="40" t="n">
        <v>46290</v>
      </c>
      <c r="C7" s="39" t="s">
        <v>188</v>
      </c>
      <c r="D7" s="19" t="s">
        <v>125</v>
      </c>
      <c r="E7" s="39" t="s">
        <v>126</v>
      </c>
      <c r="F7" s="41" t="n">
        <v>0.51</v>
      </c>
      <c r="G7" s="41" t="n">
        <v>0.51</v>
      </c>
      <c r="H7" s="42" t="n">
        <f aca="false">IF(OR(F7="",G7="",F7=0),"",G7/F7-1)</f>
        <v>0</v>
      </c>
      <c r="I7" s="19" t="s">
        <v>192</v>
      </c>
      <c r="J7" s="42" t="n">
        <v>0.309</v>
      </c>
      <c r="K7" s="39" t="s">
        <v>190</v>
      </c>
      <c r="L7" s="43" t="s">
        <v>187</v>
      </c>
      <c r="M7" s="44"/>
      <c r="N7" s="40" t="str">
        <f aca="false">IF(M7="","",M7+Leyenda!$B$15)</f>
        <v/>
      </c>
      <c r="O7" s="45" t="n">
        <v>0</v>
      </c>
      <c r="P7" s="41" t="n">
        <v>0</v>
      </c>
      <c r="Q7" s="45" t="n">
        <v>0</v>
      </c>
      <c r="R7" s="41" t="n">
        <v>0</v>
      </c>
      <c r="S7" s="45" t="str">
        <f aca="false">IF(OR(D7="",M7=""),"",IFERROR(INDEX(Segmentación!$F$4:$F$18,MATCH(D7&amp;" | "&amp;E7,Segmentación!$W$4:$W$18,0))-O7,""))</f>
        <v/>
      </c>
      <c r="T7" s="41" t="str">
        <f aca="false">IF(OR(D7="",M7=""),"",IFERROR(INDEX(Segmentación!$H$4:$H$18,MATCH(D7&amp;" | "&amp;E7,Segmentación!$W$4:$W$18,0))-P7,""))</f>
        <v/>
      </c>
      <c r="U7" s="45" t="str">
        <f aca="false">IF(OR(D7="",M7=""),"",IFERROR(INDEX(Segmentación!$J$4:$J$18,MATCH(D7&amp;" | "&amp;E7,Segmentación!$W$4:$W$18,0))-Q7,""))</f>
        <v/>
      </c>
      <c r="V7" s="41" t="str">
        <f aca="false">IF(OR(D7="",M7=""),"",IFERROR(INDEX(Segmentación!$K$4:$K$18,MATCH(D7&amp;" | "&amp;E7,Segmentación!$W$4:$W$18,0))-R7,""))</f>
        <v/>
      </c>
      <c r="W7" s="42" t="str">
        <f aca="false">IF(OR(S7="",V7=""),"",IF(V7=0,"",T7/V7))</f>
        <v/>
      </c>
      <c r="X7" s="19" t="str">
        <f aca="true">IF(C7="","",IF(OR(D7="",ISNUMBER(SEARCH("negativa",C7))),IF(M7="","Pendiente de aplicar","Aplicado (no se evalúa)"),IF(M7="","Pendiente de aplicar",IF(S7="","Sin datos",IF(S7&lt;Leyenda!$B$13,"Esperando datos ("&amp;S7&amp;" de 10 clics)",IF(U7=0,"Empeora: "&amp;S7&amp;" clics sin venta",IF(TODAY()&lt;N7,"Esperando atribución (7 días)",IF(W7&lt;=J7,"Mejora (ACOS "&amp;TEXT(W7,"0%")&amp;")","Empeora (ACOS "&amp;TEXT(W7,"0%")&amp;")"))))))))</f>
        <v>Pendiente de aplicar</v>
      </c>
      <c r="Y7" s="18"/>
    </row>
    <row r="8" customFormat="false" ht="54" hidden="false" customHeight="true" outlineLevel="0" collapsed="false">
      <c r="A8" s="39" t="s">
        <v>128</v>
      </c>
      <c r="B8" s="40" t="n">
        <v>46290</v>
      </c>
      <c r="C8" s="39" t="s">
        <v>188</v>
      </c>
      <c r="D8" s="19" t="s">
        <v>125</v>
      </c>
      <c r="E8" s="39" t="s">
        <v>123</v>
      </c>
      <c r="F8" s="41" t="n">
        <v>0.41</v>
      </c>
      <c r="G8" s="41" t="n">
        <v>0.41</v>
      </c>
      <c r="H8" s="42" t="n">
        <f aca="false">IF(OR(F8="",G8="",F8=0),"",G8/F8-1)</f>
        <v>0</v>
      </c>
      <c r="I8" s="19" t="s">
        <v>193</v>
      </c>
      <c r="J8" s="42" t="n">
        <v>0.316</v>
      </c>
      <c r="K8" s="39" t="s">
        <v>190</v>
      </c>
      <c r="L8" s="43" t="s">
        <v>187</v>
      </c>
      <c r="M8" s="44"/>
      <c r="N8" s="40" t="str">
        <f aca="false">IF(M8="","",M8+Leyenda!$B$15)</f>
        <v/>
      </c>
      <c r="O8" s="45" t="n">
        <v>0</v>
      </c>
      <c r="P8" s="41" t="n">
        <v>0</v>
      </c>
      <c r="Q8" s="45" t="n">
        <v>0</v>
      </c>
      <c r="R8" s="41" t="n">
        <v>0</v>
      </c>
      <c r="S8" s="45" t="str">
        <f aca="false">IF(OR(D8="",M8=""),"",IFERROR(INDEX(Segmentación!$F$4:$F$18,MATCH(D8&amp;" | "&amp;E8,Segmentación!$W$4:$W$18,0))-O8,""))</f>
        <v/>
      </c>
      <c r="T8" s="41" t="str">
        <f aca="false">IF(OR(D8="",M8=""),"",IFERROR(INDEX(Segmentación!$H$4:$H$18,MATCH(D8&amp;" | "&amp;E8,Segmentación!$W$4:$W$18,0))-P8,""))</f>
        <v/>
      </c>
      <c r="U8" s="45" t="str">
        <f aca="false">IF(OR(D8="",M8=""),"",IFERROR(INDEX(Segmentación!$J$4:$J$18,MATCH(D8&amp;" | "&amp;E8,Segmentación!$W$4:$W$18,0))-Q8,""))</f>
        <v/>
      </c>
      <c r="V8" s="41" t="str">
        <f aca="false">IF(OR(D8="",M8=""),"",IFERROR(INDEX(Segmentación!$K$4:$K$18,MATCH(D8&amp;" | "&amp;E8,Segmentación!$W$4:$W$18,0))-R8,""))</f>
        <v/>
      </c>
      <c r="W8" s="42" t="str">
        <f aca="false">IF(OR(S8="",V8=""),"",IF(V8=0,"",T8/V8))</f>
        <v/>
      </c>
      <c r="X8" s="19" t="str">
        <f aca="true">IF(C8="","",IF(OR(D8="",ISNUMBER(SEARCH("negativa",C8))),IF(M8="","Pendiente de aplicar","Aplicado (no se evalúa)"),IF(M8="","Pendiente de aplicar",IF(S8="","Sin datos",IF(S8&lt;Leyenda!$B$13,"Esperando datos ("&amp;S8&amp;" de 10 clics)",IF(U8=0,"Empeora: "&amp;S8&amp;" clics sin venta",IF(TODAY()&lt;N8,"Esperando atribución (7 días)",IF(W8&lt;=J8,"Mejora (ACOS "&amp;TEXT(W8,"0%")&amp;")","Empeora (ACOS "&amp;TEXT(W8,"0%")&amp;")"))))))))</f>
        <v>Pendiente de aplicar</v>
      </c>
      <c r="Y8" s="18"/>
    </row>
    <row r="9" customFormat="false" ht="54" hidden="false" customHeight="true" outlineLevel="0" collapsed="false">
      <c r="A9" s="39" t="s">
        <v>129</v>
      </c>
      <c r="B9" s="40" t="n">
        <v>46290</v>
      </c>
      <c r="C9" s="39" t="s">
        <v>188</v>
      </c>
      <c r="D9" s="19" t="s">
        <v>118</v>
      </c>
      <c r="E9" s="39" t="s">
        <v>123</v>
      </c>
      <c r="F9" s="41" t="n">
        <v>0.55</v>
      </c>
      <c r="G9" s="41" t="n">
        <v>0.41</v>
      </c>
      <c r="H9" s="42" t="n">
        <f aca="false">IF(OR(F9="",G9="",F9=0),"",G9/F9-1)</f>
        <v>-0.254545454545455</v>
      </c>
      <c r="I9" s="19" t="s">
        <v>194</v>
      </c>
      <c r="J9" s="42" t="n">
        <v>0.4754</v>
      </c>
      <c r="K9" s="39" t="s">
        <v>190</v>
      </c>
      <c r="L9" s="43" t="s">
        <v>187</v>
      </c>
      <c r="M9" s="44"/>
      <c r="N9" s="40" t="str">
        <f aca="false">IF(M9="","",M9+Leyenda!$B$15)</f>
        <v/>
      </c>
      <c r="O9" s="45" t="n">
        <v>0</v>
      </c>
      <c r="P9" s="41" t="n">
        <v>0</v>
      </c>
      <c r="Q9" s="45" t="n">
        <v>0</v>
      </c>
      <c r="R9" s="41" t="n">
        <v>0</v>
      </c>
      <c r="S9" s="45" t="str">
        <f aca="false">IF(OR(D9="",M9=""),"",IFERROR(INDEX(Segmentación!$F$4:$F$18,MATCH(D9&amp;" | "&amp;E9,Segmentación!$W$4:$W$18,0))-O9,""))</f>
        <v/>
      </c>
      <c r="T9" s="41" t="str">
        <f aca="false">IF(OR(D9="",M9=""),"",IFERROR(INDEX(Segmentación!$H$4:$H$18,MATCH(D9&amp;" | "&amp;E9,Segmentación!$W$4:$W$18,0))-P9,""))</f>
        <v/>
      </c>
      <c r="U9" s="45" t="str">
        <f aca="false">IF(OR(D9="",M9=""),"",IFERROR(INDEX(Segmentación!$J$4:$J$18,MATCH(D9&amp;" | "&amp;E9,Segmentación!$W$4:$W$18,0))-Q9,""))</f>
        <v/>
      </c>
      <c r="V9" s="41" t="str">
        <f aca="false">IF(OR(D9="",M9=""),"",IFERROR(INDEX(Segmentación!$K$4:$K$18,MATCH(D9&amp;" | "&amp;E9,Segmentación!$W$4:$W$18,0))-R9,""))</f>
        <v/>
      </c>
      <c r="W9" s="42" t="str">
        <f aca="false">IF(OR(S9="",V9=""),"",IF(V9=0,"",T9/V9))</f>
        <v/>
      </c>
      <c r="X9" s="19" t="str">
        <f aca="true">IF(C9="","",IF(OR(D9="",ISNUMBER(SEARCH("negativa",C9))),IF(M9="","Pendiente de aplicar","Aplicado (no se evalúa)"),IF(M9="","Pendiente de aplicar",IF(S9="","Sin datos",IF(S9&lt;Leyenda!$B$13,"Esperando datos ("&amp;S9&amp;" de 10 clics)",IF(U9=0,"Empeora: "&amp;S9&amp;" clics sin venta",IF(TODAY()&lt;N9,"Esperando atribución (7 días)",IF(W9&lt;=J9,"Mejora (ACOS "&amp;TEXT(W9,"0%")&amp;")","Empeora (ACOS "&amp;TEXT(W9,"0%")&amp;")"))))))))</f>
        <v>Pendiente de aplicar</v>
      </c>
      <c r="Y9" s="18"/>
    </row>
    <row r="10" customFormat="false" ht="54" hidden="false" customHeight="true" outlineLevel="0" collapsed="false">
      <c r="A10" s="39" t="s">
        <v>132</v>
      </c>
      <c r="B10" s="40" t="n">
        <v>46290</v>
      </c>
      <c r="C10" s="39" t="s">
        <v>195</v>
      </c>
      <c r="D10" s="19" t="s">
        <v>130</v>
      </c>
      <c r="E10" s="39" t="s">
        <v>119</v>
      </c>
      <c r="F10" s="41"/>
      <c r="G10" s="41" t="n">
        <v>0.44</v>
      </c>
      <c r="H10" s="42" t="str">
        <f aca="false">IF(OR(F10="",G10="",F10=0),"",G10/F10-1)</f>
        <v/>
      </c>
      <c r="I10" s="19" t="s">
        <v>196</v>
      </c>
      <c r="J10" s="42" t="n">
        <f aca="false">Leyenda!$B$5</f>
        <v>0.35</v>
      </c>
      <c r="K10" s="39" t="s">
        <v>3</v>
      </c>
      <c r="L10" s="43" t="s">
        <v>187</v>
      </c>
      <c r="M10" s="44"/>
      <c r="N10" s="40" t="str">
        <f aca="false">IF(M10="","",M10+Leyenda!$B$15)</f>
        <v/>
      </c>
      <c r="O10" s="45" t="n">
        <v>0</v>
      </c>
      <c r="P10" s="41" t="n">
        <v>0</v>
      </c>
      <c r="Q10" s="45" t="n">
        <v>0</v>
      </c>
      <c r="R10" s="41" t="n">
        <v>0</v>
      </c>
      <c r="S10" s="45" t="str">
        <f aca="false">IF(OR(D10="",M10=""),"",IFERROR(INDEX(Segmentación!$F$4:$F$18,MATCH(D10&amp;" | "&amp;E10,Segmentación!$W$4:$W$18,0))-O10,""))</f>
        <v/>
      </c>
      <c r="T10" s="41" t="str">
        <f aca="false">IF(OR(D10="",M10=""),"",IFERROR(INDEX(Segmentación!$H$4:$H$18,MATCH(D10&amp;" | "&amp;E10,Segmentación!$W$4:$W$18,0))-P10,""))</f>
        <v/>
      </c>
      <c r="U10" s="45" t="str">
        <f aca="false">IF(OR(D10="",M10=""),"",IFERROR(INDEX(Segmentación!$J$4:$J$18,MATCH(D10&amp;" | "&amp;E10,Segmentación!$W$4:$W$18,0))-Q10,""))</f>
        <v/>
      </c>
      <c r="V10" s="41" t="str">
        <f aca="false">IF(OR(D10="",M10=""),"",IFERROR(INDEX(Segmentación!$K$4:$K$18,MATCH(D10&amp;" | "&amp;E10,Segmentación!$W$4:$W$18,0))-R10,""))</f>
        <v/>
      </c>
      <c r="W10" s="42" t="str">
        <f aca="false">IF(OR(S10="",V10=""),"",IF(V10=0,"",T10/V10))</f>
        <v/>
      </c>
      <c r="X10" s="19" t="str">
        <f aca="true">IF(C10="","",IF(OR(D10="",ISNUMBER(SEARCH("negativa",C10))),IF(M10="","Pendiente de aplicar","Aplicado (no se evalúa)"),IF(M10="","Pendiente de aplicar",IF(S10="","Sin datos",IF(S10&lt;Leyenda!$B$13,"Esperando datos ("&amp;S10&amp;" de 10 clics)",IF(U10=0,"Empeora: "&amp;S10&amp;" clics sin venta",IF(TODAY()&lt;N10,"Esperando atribución (7 días)",IF(W10&lt;=J10,"Mejora (ACOS "&amp;TEXT(W10,"0%")&amp;")","Empeora (ACOS "&amp;TEXT(W10,"0%")&amp;")"))))))))</f>
        <v>Pendiente de aplicar</v>
      </c>
      <c r="Y10" s="18"/>
    </row>
    <row r="11" customFormat="false" ht="54" hidden="false" customHeight="true" outlineLevel="0" collapsed="false">
      <c r="A11" s="39" t="s">
        <v>134</v>
      </c>
      <c r="B11" s="40" t="n">
        <v>46290</v>
      </c>
      <c r="C11" s="39" t="s">
        <v>195</v>
      </c>
      <c r="D11" s="19" t="s">
        <v>133</v>
      </c>
      <c r="E11" s="39" t="s">
        <v>119</v>
      </c>
      <c r="F11" s="41"/>
      <c r="G11" s="41" t="n">
        <v>0.46</v>
      </c>
      <c r="H11" s="42" t="str">
        <f aca="false">IF(OR(F11="",G11="",F11=0),"",G11/F11-1)</f>
        <v/>
      </c>
      <c r="I11" s="19" t="s">
        <v>197</v>
      </c>
      <c r="J11" s="42" t="n">
        <f aca="false">Leyenda!$B$5</f>
        <v>0.35</v>
      </c>
      <c r="K11" s="39" t="s">
        <v>3</v>
      </c>
      <c r="L11" s="43" t="s">
        <v>187</v>
      </c>
      <c r="M11" s="44"/>
      <c r="N11" s="40" t="str">
        <f aca="false">IF(M11="","",M11+Leyenda!$B$15)</f>
        <v/>
      </c>
      <c r="O11" s="45" t="n">
        <v>0</v>
      </c>
      <c r="P11" s="41" t="n">
        <v>0</v>
      </c>
      <c r="Q11" s="45" t="n">
        <v>0</v>
      </c>
      <c r="R11" s="41" t="n">
        <v>0</v>
      </c>
      <c r="S11" s="45" t="str">
        <f aca="false">IF(OR(D11="",M11=""),"",IFERROR(INDEX(Segmentación!$F$4:$F$18,MATCH(D11&amp;" | "&amp;E11,Segmentación!$W$4:$W$18,0))-O11,""))</f>
        <v/>
      </c>
      <c r="T11" s="41" t="str">
        <f aca="false">IF(OR(D11="",M11=""),"",IFERROR(INDEX(Segmentación!$H$4:$H$18,MATCH(D11&amp;" | "&amp;E11,Segmentación!$W$4:$W$18,0))-P11,""))</f>
        <v/>
      </c>
      <c r="U11" s="45" t="str">
        <f aca="false">IF(OR(D11="",M11=""),"",IFERROR(INDEX(Segmentación!$J$4:$J$18,MATCH(D11&amp;" | "&amp;E11,Segmentación!$W$4:$W$18,0))-Q11,""))</f>
        <v/>
      </c>
      <c r="V11" s="41" t="str">
        <f aca="false">IF(OR(D11="",M11=""),"",IFERROR(INDEX(Segmentación!$K$4:$K$18,MATCH(D11&amp;" | "&amp;E11,Segmentación!$W$4:$W$18,0))-R11,""))</f>
        <v/>
      </c>
      <c r="W11" s="42" t="str">
        <f aca="false">IF(OR(S11="",V11=""),"",IF(V11=0,"",T11/V11))</f>
        <v/>
      </c>
      <c r="X11" s="19" t="str">
        <f aca="true">IF(C11="","",IF(OR(D11="",ISNUMBER(SEARCH("negativa",C11))),IF(M11="","Pendiente de aplicar","Aplicado (no se evalúa)"),IF(M11="","Pendiente de aplicar",IF(S11="","Sin datos",IF(S11&lt;Leyenda!$B$13,"Esperando datos ("&amp;S11&amp;" de 10 clics)",IF(U11=0,"Empeora: "&amp;S11&amp;" clics sin venta",IF(TODAY()&lt;N11,"Esperando atribución (7 días)",IF(W11&lt;=J11,"Mejora (ACOS "&amp;TEXT(W11,"0%")&amp;")","Empeora (ACOS "&amp;TEXT(W11,"0%")&amp;")"))))))))</f>
        <v>Pendiente de aplicar</v>
      </c>
      <c r="Y11" s="18"/>
    </row>
    <row r="12" customFormat="false" ht="54" hidden="false" customHeight="true" outlineLevel="0" collapsed="false">
      <c r="A12" s="39" t="s">
        <v>136</v>
      </c>
      <c r="B12" s="40" t="n">
        <v>46290</v>
      </c>
      <c r="C12" s="39" t="s">
        <v>195</v>
      </c>
      <c r="D12" s="19" t="s">
        <v>135</v>
      </c>
      <c r="E12" s="39" t="s">
        <v>119</v>
      </c>
      <c r="F12" s="41"/>
      <c r="G12" s="41" t="n">
        <v>0.45</v>
      </c>
      <c r="H12" s="42" t="str">
        <f aca="false">IF(OR(F12="",G12="",F12=0),"",G12/F12-1)</f>
        <v/>
      </c>
      <c r="I12" s="19" t="s">
        <v>198</v>
      </c>
      <c r="J12" s="42" t="n">
        <f aca="false">Leyenda!$B$5</f>
        <v>0.35</v>
      </c>
      <c r="K12" s="39" t="s">
        <v>3</v>
      </c>
      <c r="L12" s="43" t="s">
        <v>187</v>
      </c>
      <c r="M12" s="44"/>
      <c r="N12" s="40" t="str">
        <f aca="false">IF(M12="","",M12+Leyenda!$B$15)</f>
        <v/>
      </c>
      <c r="O12" s="45" t="n">
        <v>0</v>
      </c>
      <c r="P12" s="41" t="n">
        <v>0</v>
      </c>
      <c r="Q12" s="45" t="n">
        <v>0</v>
      </c>
      <c r="R12" s="41" t="n">
        <v>0</v>
      </c>
      <c r="S12" s="45" t="str">
        <f aca="false">IF(OR(D12="",M12=""),"",IFERROR(INDEX(Segmentación!$F$4:$F$18,MATCH(D12&amp;" | "&amp;E12,Segmentación!$W$4:$W$18,0))-O12,""))</f>
        <v/>
      </c>
      <c r="T12" s="41" t="str">
        <f aca="false">IF(OR(D12="",M12=""),"",IFERROR(INDEX(Segmentación!$H$4:$H$18,MATCH(D12&amp;" | "&amp;E12,Segmentación!$W$4:$W$18,0))-P12,""))</f>
        <v/>
      </c>
      <c r="U12" s="45" t="str">
        <f aca="false">IF(OR(D12="",M12=""),"",IFERROR(INDEX(Segmentación!$J$4:$J$18,MATCH(D12&amp;" | "&amp;E12,Segmentación!$W$4:$W$18,0))-Q12,""))</f>
        <v/>
      </c>
      <c r="V12" s="41" t="str">
        <f aca="false">IF(OR(D12="",M12=""),"",IFERROR(INDEX(Segmentación!$K$4:$K$18,MATCH(D12&amp;" | "&amp;E12,Segmentación!$W$4:$W$18,0))-R12,""))</f>
        <v/>
      </c>
      <c r="W12" s="42" t="str">
        <f aca="false">IF(OR(S12="",V12=""),"",IF(V12=0,"",T12/V12))</f>
        <v/>
      </c>
      <c r="X12" s="19" t="str">
        <f aca="true">IF(C12="","",IF(OR(D12="",ISNUMBER(SEARCH("negativa",C12))),IF(M12="","Pendiente de aplicar","Aplicado (no se evalúa)"),IF(M12="","Pendiente de aplicar",IF(S12="","Sin datos",IF(S12&lt;Leyenda!$B$13,"Esperando datos ("&amp;S12&amp;" de 10 clics)",IF(U12=0,"Empeora: "&amp;S12&amp;" clics sin venta",IF(TODAY()&lt;N12,"Esperando atribución (7 días)",IF(W12&lt;=J12,"Mejora (ACOS "&amp;TEXT(W12,"0%")&amp;")","Empeora (ACOS "&amp;TEXT(W12,"0%")&amp;")"))))))))</f>
        <v>Pendiente de aplicar</v>
      </c>
      <c r="Y12" s="18"/>
    </row>
    <row r="13" customFormat="false" ht="54" hidden="false" customHeight="true" outlineLevel="0" collapsed="false">
      <c r="A13" s="39" t="s">
        <v>138</v>
      </c>
      <c r="B13" s="40" t="n">
        <v>46290</v>
      </c>
      <c r="C13" s="39" t="s">
        <v>195</v>
      </c>
      <c r="D13" s="19" t="s">
        <v>137</v>
      </c>
      <c r="E13" s="39" t="s">
        <v>119</v>
      </c>
      <c r="F13" s="41"/>
      <c r="G13" s="41" t="n">
        <v>0.45</v>
      </c>
      <c r="H13" s="42" t="str">
        <f aca="false">IF(OR(F13="",G13="",F13=0),"",G13/F13-1)</f>
        <v/>
      </c>
      <c r="I13" s="19" t="s">
        <v>199</v>
      </c>
      <c r="J13" s="42" t="n">
        <f aca="false">Leyenda!$B$5</f>
        <v>0.35</v>
      </c>
      <c r="K13" s="39" t="s">
        <v>3</v>
      </c>
      <c r="L13" s="43" t="s">
        <v>187</v>
      </c>
      <c r="M13" s="44"/>
      <c r="N13" s="40" t="str">
        <f aca="false">IF(M13="","",M13+Leyenda!$B$15)</f>
        <v/>
      </c>
      <c r="O13" s="45" t="n">
        <v>0</v>
      </c>
      <c r="P13" s="41" t="n">
        <v>0</v>
      </c>
      <c r="Q13" s="45" t="n">
        <v>0</v>
      </c>
      <c r="R13" s="41" t="n">
        <v>0</v>
      </c>
      <c r="S13" s="45" t="str">
        <f aca="false">IF(OR(D13="",M13=""),"",IFERROR(INDEX(Segmentación!$F$4:$F$18,MATCH(D13&amp;" | "&amp;E13,Segmentación!$W$4:$W$18,0))-O13,""))</f>
        <v/>
      </c>
      <c r="T13" s="41" t="str">
        <f aca="false">IF(OR(D13="",M13=""),"",IFERROR(INDEX(Segmentación!$H$4:$H$18,MATCH(D13&amp;" | "&amp;E13,Segmentación!$W$4:$W$18,0))-P13,""))</f>
        <v/>
      </c>
      <c r="U13" s="45" t="str">
        <f aca="false">IF(OR(D13="",M13=""),"",IFERROR(INDEX(Segmentación!$J$4:$J$18,MATCH(D13&amp;" | "&amp;E13,Segmentación!$W$4:$W$18,0))-Q13,""))</f>
        <v/>
      </c>
      <c r="V13" s="41" t="str">
        <f aca="false">IF(OR(D13="",M13=""),"",IFERROR(INDEX(Segmentación!$K$4:$K$18,MATCH(D13&amp;" | "&amp;E13,Segmentación!$W$4:$W$18,0))-R13,""))</f>
        <v/>
      </c>
      <c r="W13" s="42" t="str">
        <f aca="false">IF(OR(S13="",V13=""),"",IF(V13=0,"",T13/V13))</f>
        <v/>
      </c>
      <c r="X13" s="19" t="str">
        <f aca="true">IF(C13="","",IF(OR(D13="",ISNUMBER(SEARCH("negativa",C13))),IF(M13="","Pendiente de aplicar","Aplicado (no se evalúa)"),IF(M13="","Pendiente de aplicar",IF(S13="","Sin datos",IF(S13&lt;Leyenda!$B$13,"Esperando datos ("&amp;S13&amp;" de 10 clics)",IF(U13=0,"Empeora: "&amp;S13&amp;" clics sin venta",IF(TODAY()&lt;N13,"Esperando atribución (7 días)",IF(W13&lt;=J13,"Mejora (ACOS "&amp;TEXT(W13,"0%")&amp;")","Empeora (ACOS "&amp;TEXT(W13,"0%")&amp;")"))))))))</f>
        <v>Pendiente de aplicar</v>
      </c>
      <c r="Y13" s="18"/>
    </row>
    <row r="14" customFormat="false" ht="54" hidden="false" customHeight="true" outlineLevel="0" collapsed="false">
      <c r="A14" s="39" t="s">
        <v>140</v>
      </c>
      <c r="B14" s="40" t="n">
        <v>46290</v>
      </c>
      <c r="C14" s="39" t="s">
        <v>195</v>
      </c>
      <c r="D14" s="19" t="s">
        <v>139</v>
      </c>
      <c r="E14" s="39" t="s">
        <v>119</v>
      </c>
      <c r="F14" s="41"/>
      <c r="G14" s="41" t="n">
        <v>0.45</v>
      </c>
      <c r="H14" s="42" t="str">
        <f aca="false">IF(OR(F14="",G14="",F14=0),"",G14/F14-1)</f>
        <v/>
      </c>
      <c r="I14" s="19" t="s">
        <v>200</v>
      </c>
      <c r="J14" s="42" t="n">
        <f aca="false">Leyenda!$B$5</f>
        <v>0.35</v>
      </c>
      <c r="K14" s="39" t="s">
        <v>3</v>
      </c>
      <c r="L14" s="43" t="s">
        <v>187</v>
      </c>
      <c r="M14" s="44"/>
      <c r="N14" s="40" t="str">
        <f aca="false">IF(M14="","",M14+Leyenda!$B$15)</f>
        <v/>
      </c>
      <c r="O14" s="45" t="n">
        <v>0</v>
      </c>
      <c r="P14" s="41" t="n">
        <v>0</v>
      </c>
      <c r="Q14" s="45" t="n">
        <v>0</v>
      </c>
      <c r="R14" s="41" t="n">
        <v>0</v>
      </c>
      <c r="S14" s="45" t="str">
        <f aca="false">IF(OR(D14="",M14=""),"",IFERROR(INDEX(Segmentación!$F$4:$F$18,MATCH(D14&amp;" | "&amp;E14,Segmentación!$W$4:$W$18,0))-O14,""))</f>
        <v/>
      </c>
      <c r="T14" s="41" t="str">
        <f aca="false">IF(OR(D14="",M14=""),"",IFERROR(INDEX(Segmentación!$H$4:$H$18,MATCH(D14&amp;" | "&amp;E14,Segmentación!$W$4:$W$18,0))-P14,""))</f>
        <v/>
      </c>
      <c r="U14" s="45" t="str">
        <f aca="false">IF(OR(D14="",M14=""),"",IFERROR(INDEX(Segmentación!$J$4:$J$18,MATCH(D14&amp;" | "&amp;E14,Segmentación!$W$4:$W$18,0))-Q14,""))</f>
        <v/>
      </c>
      <c r="V14" s="41" t="str">
        <f aca="false">IF(OR(D14="",M14=""),"",IFERROR(INDEX(Segmentación!$K$4:$K$18,MATCH(D14&amp;" | "&amp;E14,Segmentación!$W$4:$W$18,0))-R14,""))</f>
        <v/>
      </c>
      <c r="W14" s="42" t="str">
        <f aca="false">IF(OR(S14="",V14=""),"",IF(V14=0,"",T14/V14))</f>
        <v/>
      </c>
      <c r="X14" s="19" t="str">
        <f aca="true">IF(C14="","",IF(OR(D14="",ISNUMBER(SEARCH("negativa",C14))),IF(M14="","Pendiente de aplicar","Aplicado (no se evalúa)"),IF(M14="","Pendiente de aplicar",IF(S14="","Sin datos",IF(S14&lt;Leyenda!$B$13,"Esperando datos ("&amp;S14&amp;" de 10 clics)",IF(U14=0,"Empeora: "&amp;S14&amp;" clics sin venta",IF(TODAY()&lt;N14,"Esperando atribución (7 días)",IF(W14&lt;=J14,"Mejora (ACOS "&amp;TEXT(W14,"0%")&amp;")","Empeora (ACOS "&amp;TEXT(W14,"0%")&amp;")"))))))))</f>
        <v>Pendiente de aplicar</v>
      </c>
      <c r="Y14" s="18"/>
    </row>
    <row r="15" customFormat="false" ht="54" hidden="false" customHeight="true" outlineLevel="0" collapsed="false">
      <c r="A15" s="39" t="s">
        <v>201</v>
      </c>
      <c r="B15" s="40" t="n">
        <v>46290</v>
      </c>
      <c r="C15" s="39" t="s">
        <v>202</v>
      </c>
      <c r="D15" s="19"/>
      <c r="E15" s="39"/>
      <c r="F15" s="41"/>
      <c r="G15" s="41" t="n">
        <v>100</v>
      </c>
      <c r="H15" s="42" t="str">
        <f aca="false">IF(OR(F15="",G15="",F15=0),"",G15/F15-1)</f>
        <v/>
      </c>
      <c r="I15" s="19" t="s">
        <v>203</v>
      </c>
      <c r="J15" s="42"/>
      <c r="K15" s="39"/>
      <c r="L15" s="43" t="s">
        <v>187</v>
      </c>
      <c r="M15" s="44"/>
      <c r="N15" s="40" t="str">
        <f aca="false">IF(M15="","",M15+Leyenda!$B$15)</f>
        <v/>
      </c>
      <c r="O15" s="45" t="n">
        <v>0</v>
      </c>
      <c r="P15" s="41" t="n">
        <v>0</v>
      </c>
      <c r="Q15" s="45" t="n">
        <v>0</v>
      </c>
      <c r="R15" s="41" t="n">
        <v>0</v>
      </c>
      <c r="S15" s="45" t="str">
        <f aca="false">IF(OR(D15="",M15=""),"",IFERROR(INDEX(Segmentación!$F$4:$F$18,MATCH(D15&amp;" | "&amp;E15,Segmentación!$W$4:$W$18,0))-O15,""))</f>
        <v/>
      </c>
      <c r="T15" s="41" t="str">
        <f aca="false">IF(OR(D15="",M15=""),"",IFERROR(INDEX(Segmentación!$H$4:$H$18,MATCH(D15&amp;" | "&amp;E15,Segmentación!$W$4:$W$18,0))-P15,""))</f>
        <v/>
      </c>
      <c r="U15" s="45" t="str">
        <f aca="false">IF(OR(D15="",M15=""),"",IFERROR(INDEX(Segmentación!$J$4:$J$18,MATCH(D15&amp;" | "&amp;E15,Segmentación!$W$4:$W$18,0))-Q15,""))</f>
        <v/>
      </c>
      <c r="V15" s="41" t="str">
        <f aca="false">IF(OR(D15="",M15=""),"",IFERROR(INDEX(Segmentación!$K$4:$K$18,MATCH(D15&amp;" | "&amp;E15,Segmentación!$W$4:$W$18,0))-R15,""))</f>
        <v/>
      </c>
      <c r="W15" s="42" t="str">
        <f aca="false">IF(OR(S15="",V15=""),"",IF(V15=0,"",T15/V15))</f>
        <v/>
      </c>
      <c r="X15" s="19" t="str">
        <f aca="true">IF(C15="","",IF(OR(D15="",ISNUMBER(SEARCH("negativa",C15))),IF(M15="","Pendiente de aplicar","Aplicado (no se evalúa)"),IF(M15="","Pendiente de aplicar",IF(S15="","Sin datos",IF(S15&lt;Leyenda!$B$13,"Esperando datos ("&amp;S15&amp;" de 10 clics)",IF(U15=0,"Empeora: "&amp;S15&amp;" clics sin venta",IF(TODAY()&lt;N15,"Esperando atribución (7 días)",IF(W15&lt;=J15,"Mejora (ACOS "&amp;TEXT(W15,"0%")&amp;")","Empeora (ACOS "&amp;TEXT(W15,"0%")&amp;")"))))))))</f>
        <v>Pendiente de aplicar</v>
      </c>
      <c r="Y15" s="18"/>
    </row>
    <row r="16" customFormat="false" ht="54" hidden="false" customHeight="true" outlineLevel="0" collapsed="false">
      <c r="A16" s="39" t="s">
        <v>204</v>
      </c>
      <c r="B16" s="40" t="n">
        <v>46290</v>
      </c>
      <c r="C16" s="39" t="s">
        <v>205</v>
      </c>
      <c r="D16" s="19"/>
      <c r="E16" s="39"/>
      <c r="F16" s="41"/>
      <c r="G16" s="41"/>
      <c r="H16" s="42" t="str">
        <f aca="false">IF(OR(F16="",G16="",F16=0),"",G16/F16-1)</f>
        <v/>
      </c>
      <c r="I16" s="19" t="s">
        <v>206</v>
      </c>
      <c r="J16" s="42"/>
      <c r="K16" s="39"/>
      <c r="L16" s="43" t="s">
        <v>187</v>
      </c>
      <c r="M16" s="44"/>
      <c r="N16" s="40" t="str">
        <f aca="false">IF(M16="","",M16+Leyenda!$B$15)</f>
        <v/>
      </c>
      <c r="O16" s="45" t="n">
        <v>0</v>
      </c>
      <c r="P16" s="41" t="n">
        <v>0</v>
      </c>
      <c r="Q16" s="45" t="n">
        <v>0</v>
      </c>
      <c r="R16" s="41" t="n">
        <v>0</v>
      </c>
      <c r="S16" s="45" t="str">
        <f aca="false">IF(OR(D16="",M16=""),"",IFERROR(INDEX(Segmentación!$F$4:$F$18,MATCH(D16&amp;" | "&amp;E16,Segmentación!$W$4:$W$18,0))-O16,""))</f>
        <v/>
      </c>
      <c r="T16" s="41" t="str">
        <f aca="false">IF(OR(D16="",M16=""),"",IFERROR(INDEX(Segmentación!$H$4:$H$18,MATCH(D16&amp;" | "&amp;E16,Segmentación!$W$4:$W$18,0))-P16,""))</f>
        <v/>
      </c>
      <c r="U16" s="45" t="str">
        <f aca="false">IF(OR(D16="",M16=""),"",IFERROR(INDEX(Segmentación!$J$4:$J$18,MATCH(D16&amp;" | "&amp;E16,Segmentación!$W$4:$W$18,0))-Q16,""))</f>
        <v/>
      </c>
      <c r="V16" s="41" t="str">
        <f aca="false">IF(OR(D16="",M16=""),"",IFERROR(INDEX(Segmentación!$K$4:$K$18,MATCH(D16&amp;" | "&amp;E16,Segmentación!$W$4:$W$18,0))-R16,""))</f>
        <v/>
      </c>
      <c r="W16" s="42" t="str">
        <f aca="false">IF(OR(S16="",V16=""),"",IF(V16=0,"",T16/V16))</f>
        <v/>
      </c>
      <c r="X16" s="19" t="str">
        <f aca="true">IF(C16="","",IF(OR(D16="",ISNUMBER(SEARCH("negativa",C16))),IF(M16="","Pendiente de aplicar","Aplicado (no se evalúa)"),IF(M16="","Pendiente de aplicar",IF(S16="","Sin datos",IF(S16&lt;Leyenda!$B$13,"Esperando datos ("&amp;S16&amp;" de 10 clics)",IF(U16=0,"Empeora: "&amp;S16&amp;" clics sin venta",IF(TODAY()&lt;N16,"Esperando atribución (7 días)",IF(W16&lt;=J16,"Mejora (ACOS "&amp;TEXT(W16,"0%")&amp;")","Empeora (ACOS "&amp;TEXT(W16,"0%")&amp;")"))))))))</f>
        <v>Pendiente de aplicar</v>
      </c>
      <c r="Y16" s="18"/>
    </row>
    <row r="17" customFormat="false" ht="54" hidden="false" customHeight="true" outlineLevel="0" collapsed="false">
      <c r="A17" s="39" t="s">
        <v>144</v>
      </c>
      <c r="B17" s="40" t="n">
        <v>46290</v>
      </c>
      <c r="C17" s="39" t="s">
        <v>207</v>
      </c>
      <c r="D17" s="19" t="s">
        <v>141</v>
      </c>
      <c r="E17" s="39" t="s">
        <v>142</v>
      </c>
      <c r="F17" s="41"/>
      <c r="G17" s="41" t="n">
        <v>0.3</v>
      </c>
      <c r="H17" s="42" t="str">
        <f aca="false">IF(OR(F17="",G17="",F17=0),"",G17/F17-1)</f>
        <v/>
      </c>
      <c r="I17" s="19" t="s">
        <v>208</v>
      </c>
      <c r="J17" s="42" t="n">
        <f aca="false">Leyenda!$B$5</f>
        <v>0.35</v>
      </c>
      <c r="K17" s="39" t="s">
        <v>3</v>
      </c>
      <c r="L17" s="43" t="s">
        <v>187</v>
      </c>
      <c r="M17" s="44"/>
      <c r="N17" s="40" t="str">
        <f aca="false">IF(M17="","",M17+Leyenda!$B$15)</f>
        <v/>
      </c>
      <c r="O17" s="45" t="n">
        <v>0</v>
      </c>
      <c r="P17" s="41" t="n">
        <v>0</v>
      </c>
      <c r="Q17" s="45" t="n">
        <v>0</v>
      </c>
      <c r="R17" s="41" t="n">
        <v>0</v>
      </c>
      <c r="S17" s="45" t="str">
        <f aca="false">IF(OR(D17="",M17=""),"",IFERROR(INDEX(Segmentación!$F$4:$F$18,MATCH(D17&amp;" | "&amp;E17,Segmentación!$W$4:$W$18,0))-O17,""))</f>
        <v/>
      </c>
      <c r="T17" s="41" t="str">
        <f aca="false">IF(OR(D17="",M17=""),"",IFERROR(INDEX(Segmentación!$H$4:$H$18,MATCH(D17&amp;" | "&amp;E17,Segmentación!$W$4:$W$18,0))-P17,""))</f>
        <v/>
      </c>
      <c r="U17" s="45" t="str">
        <f aca="false">IF(OR(D17="",M17=""),"",IFERROR(INDEX(Segmentación!$J$4:$J$18,MATCH(D17&amp;" | "&amp;E17,Segmentación!$W$4:$W$18,0))-Q17,""))</f>
        <v/>
      </c>
      <c r="V17" s="41" t="str">
        <f aca="false">IF(OR(D17="",M17=""),"",IFERROR(INDEX(Segmentación!$K$4:$K$18,MATCH(D17&amp;" | "&amp;E17,Segmentación!$W$4:$W$18,0))-R17,""))</f>
        <v/>
      </c>
      <c r="W17" s="42" t="str">
        <f aca="false">IF(OR(S17="",V17=""),"",IF(V17=0,"",T17/V17))</f>
        <v/>
      </c>
      <c r="X17" s="19" t="str">
        <f aca="true">IF(C17="","",IF(OR(D17="",ISNUMBER(SEARCH("negativa",C17))),IF(M17="","Pendiente de aplicar","Aplicado (no se evalúa)"),IF(M17="","Pendiente de aplicar",IF(S17="","Sin datos",IF(S17&lt;Leyenda!$B$13,"Esperando datos ("&amp;S17&amp;" de 10 clics)",IF(U17=0,"Empeora: "&amp;S17&amp;" clics sin venta",IF(TODAY()&lt;N17,"Esperando atribución (7 días)",IF(W17&lt;=J17,"Mejora (ACOS "&amp;TEXT(W17,"0%")&amp;")","Empeora (ACOS "&amp;TEXT(W17,"0%")&amp;")"))))))))</f>
        <v>Pendiente de aplicar</v>
      </c>
      <c r="Y17" s="18"/>
    </row>
    <row r="18" customFormat="false" ht="54" hidden="false" customHeight="true" outlineLevel="0" collapsed="false">
      <c r="A18" s="39" t="s">
        <v>146</v>
      </c>
      <c r="B18" s="40" t="n">
        <v>46290</v>
      </c>
      <c r="C18" s="39" t="s">
        <v>207</v>
      </c>
      <c r="D18" s="19" t="s">
        <v>145</v>
      </c>
      <c r="E18" s="39" t="s">
        <v>142</v>
      </c>
      <c r="F18" s="41"/>
      <c r="G18" s="41" t="n">
        <v>0.3</v>
      </c>
      <c r="H18" s="42" t="str">
        <f aca="false">IF(OR(F18="",G18="",F18=0),"",G18/F18-1)</f>
        <v/>
      </c>
      <c r="I18" s="19" t="s">
        <v>209</v>
      </c>
      <c r="J18" s="42" t="n">
        <f aca="false">Leyenda!$B$5</f>
        <v>0.35</v>
      </c>
      <c r="K18" s="39" t="s">
        <v>3</v>
      </c>
      <c r="L18" s="43" t="s">
        <v>187</v>
      </c>
      <c r="M18" s="44"/>
      <c r="N18" s="40" t="str">
        <f aca="false">IF(M18="","",M18+Leyenda!$B$15)</f>
        <v/>
      </c>
      <c r="O18" s="45" t="n">
        <v>0</v>
      </c>
      <c r="P18" s="41" t="n">
        <v>0</v>
      </c>
      <c r="Q18" s="45" t="n">
        <v>0</v>
      </c>
      <c r="R18" s="41" t="n">
        <v>0</v>
      </c>
      <c r="S18" s="45" t="str">
        <f aca="false">IF(OR(D18="",M18=""),"",IFERROR(INDEX(Segmentación!$F$4:$F$18,MATCH(D18&amp;" | "&amp;E18,Segmentación!$W$4:$W$18,0))-O18,""))</f>
        <v/>
      </c>
      <c r="T18" s="41" t="str">
        <f aca="false">IF(OR(D18="",M18=""),"",IFERROR(INDEX(Segmentación!$H$4:$H$18,MATCH(D18&amp;" | "&amp;E18,Segmentación!$W$4:$W$18,0))-P18,""))</f>
        <v/>
      </c>
      <c r="U18" s="45" t="str">
        <f aca="false">IF(OR(D18="",M18=""),"",IFERROR(INDEX(Segmentación!$J$4:$J$18,MATCH(D18&amp;" | "&amp;E18,Segmentación!$W$4:$W$18,0))-Q18,""))</f>
        <v/>
      </c>
      <c r="V18" s="41" t="str">
        <f aca="false">IF(OR(D18="",M18=""),"",IFERROR(INDEX(Segmentación!$K$4:$K$18,MATCH(D18&amp;" | "&amp;E18,Segmentación!$W$4:$W$18,0))-R18,""))</f>
        <v/>
      </c>
      <c r="W18" s="42" t="str">
        <f aca="false">IF(OR(S18="",V18=""),"",IF(V18=0,"",T18/V18))</f>
        <v/>
      </c>
      <c r="X18" s="19" t="str">
        <f aca="true">IF(C18="","",IF(OR(D18="",ISNUMBER(SEARCH("negativa",C18))),IF(M18="","Pendiente de aplicar","Aplicado (no se evalúa)"),IF(M18="","Pendiente de aplicar",IF(S18="","Sin datos",IF(S18&lt;Leyenda!$B$13,"Esperando datos ("&amp;S18&amp;" de 10 clics)",IF(U18=0,"Empeora: "&amp;S18&amp;" clics sin venta",IF(TODAY()&lt;N18,"Esperando atribución (7 días)",IF(W18&lt;=J18,"Mejora (ACOS "&amp;TEXT(W18,"0%")&amp;")","Empeora (ACOS "&amp;TEXT(W18,"0%")&amp;")"))))))))</f>
        <v>Pendiente de aplicar</v>
      </c>
      <c r="Y18" s="18"/>
    </row>
    <row r="19" customFormat="false" ht="54" hidden="false" customHeight="true" outlineLevel="0" collapsed="false">
      <c r="A19" s="39" t="s">
        <v>148</v>
      </c>
      <c r="B19" s="40" t="n">
        <v>46290</v>
      </c>
      <c r="C19" s="39" t="s">
        <v>207</v>
      </c>
      <c r="D19" s="19" t="s">
        <v>147</v>
      </c>
      <c r="E19" s="39" t="s">
        <v>142</v>
      </c>
      <c r="F19" s="41"/>
      <c r="G19" s="41" t="n">
        <v>0.3</v>
      </c>
      <c r="H19" s="42" t="str">
        <f aca="false">IF(OR(F19="",G19="",F19=0),"",G19/F19-1)</f>
        <v/>
      </c>
      <c r="I19" s="19" t="s">
        <v>210</v>
      </c>
      <c r="J19" s="42" t="n">
        <f aca="false">Leyenda!$B$5</f>
        <v>0.35</v>
      </c>
      <c r="K19" s="39" t="s">
        <v>3</v>
      </c>
      <c r="L19" s="43" t="s">
        <v>187</v>
      </c>
      <c r="M19" s="44"/>
      <c r="N19" s="40" t="str">
        <f aca="false">IF(M19="","",M19+Leyenda!$B$15)</f>
        <v/>
      </c>
      <c r="O19" s="45" t="n">
        <v>0</v>
      </c>
      <c r="P19" s="41" t="n">
        <v>0</v>
      </c>
      <c r="Q19" s="45" t="n">
        <v>0</v>
      </c>
      <c r="R19" s="41" t="n">
        <v>0</v>
      </c>
      <c r="S19" s="45" t="str">
        <f aca="false">IF(OR(D19="",M19=""),"",IFERROR(INDEX(Segmentación!$F$4:$F$18,MATCH(D19&amp;" | "&amp;E19,Segmentación!$W$4:$W$18,0))-O19,""))</f>
        <v/>
      </c>
      <c r="T19" s="41" t="str">
        <f aca="false">IF(OR(D19="",M19=""),"",IFERROR(INDEX(Segmentación!$H$4:$H$18,MATCH(D19&amp;" | "&amp;E19,Segmentación!$W$4:$W$18,0))-P19,""))</f>
        <v/>
      </c>
      <c r="U19" s="45" t="str">
        <f aca="false">IF(OR(D19="",M19=""),"",IFERROR(INDEX(Segmentación!$J$4:$J$18,MATCH(D19&amp;" | "&amp;E19,Segmentación!$W$4:$W$18,0))-Q19,""))</f>
        <v/>
      </c>
      <c r="V19" s="41" t="str">
        <f aca="false">IF(OR(D19="",M19=""),"",IFERROR(INDEX(Segmentación!$K$4:$K$18,MATCH(D19&amp;" | "&amp;E19,Segmentación!$W$4:$W$18,0))-R19,""))</f>
        <v/>
      </c>
      <c r="W19" s="42" t="str">
        <f aca="false">IF(OR(S19="",V19=""),"",IF(V19=0,"",T19/V19))</f>
        <v/>
      </c>
      <c r="X19" s="19" t="str">
        <f aca="true">IF(C19="","",IF(OR(D19="",ISNUMBER(SEARCH("negativa",C19))),IF(M19="","Pendiente de aplicar","Aplicado (no se evalúa)"),IF(M19="","Pendiente de aplicar",IF(S19="","Sin datos",IF(S19&lt;Leyenda!$B$13,"Esperando datos ("&amp;S19&amp;" de 10 clics)",IF(U19=0,"Empeora: "&amp;S19&amp;" clics sin venta",IF(TODAY()&lt;N19,"Esperando atribución (7 días)",IF(W19&lt;=J19,"Mejora (ACOS "&amp;TEXT(W19,"0%")&amp;")","Empeora (ACOS "&amp;TEXT(W19,"0%")&amp;")"))))))))</f>
        <v>Pendiente de aplicar</v>
      </c>
      <c r="Y19" s="18"/>
    </row>
    <row r="20" customFormat="false" ht="54" hidden="false" customHeight="true" outlineLevel="0" collapsed="false">
      <c r="A20" s="39" t="s">
        <v>150</v>
      </c>
      <c r="B20" s="40" t="n">
        <v>46290</v>
      </c>
      <c r="C20" s="39" t="s">
        <v>207</v>
      </c>
      <c r="D20" s="19" t="s">
        <v>149</v>
      </c>
      <c r="E20" s="39" t="s">
        <v>142</v>
      </c>
      <c r="F20" s="41"/>
      <c r="G20" s="41" t="n">
        <v>0.3</v>
      </c>
      <c r="H20" s="42" t="str">
        <f aca="false">IF(OR(F20="",G20="",F20=0),"",G20/F20-1)</f>
        <v/>
      </c>
      <c r="I20" s="19" t="s">
        <v>211</v>
      </c>
      <c r="J20" s="42" t="n">
        <f aca="false">Leyenda!$B$5</f>
        <v>0.35</v>
      </c>
      <c r="K20" s="39" t="s">
        <v>3</v>
      </c>
      <c r="L20" s="43" t="s">
        <v>187</v>
      </c>
      <c r="M20" s="44"/>
      <c r="N20" s="40" t="str">
        <f aca="false">IF(M20="","",M20+Leyenda!$B$15)</f>
        <v/>
      </c>
      <c r="O20" s="45" t="n">
        <v>0</v>
      </c>
      <c r="P20" s="41" t="n">
        <v>0</v>
      </c>
      <c r="Q20" s="45" t="n">
        <v>0</v>
      </c>
      <c r="R20" s="41" t="n">
        <v>0</v>
      </c>
      <c r="S20" s="45" t="str">
        <f aca="false">IF(OR(D20="",M20=""),"",IFERROR(INDEX(Segmentación!$F$4:$F$18,MATCH(D20&amp;" | "&amp;E20,Segmentación!$W$4:$W$18,0))-O20,""))</f>
        <v/>
      </c>
      <c r="T20" s="41" t="str">
        <f aca="false">IF(OR(D20="",M20=""),"",IFERROR(INDEX(Segmentación!$H$4:$H$18,MATCH(D20&amp;" | "&amp;E20,Segmentación!$W$4:$W$18,0))-P20,""))</f>
        <v/>
      </c>
      <c r="U20" s="45" t="str">
        <f aca="false">IF(OR(D20="",M20=""),"",IFERROR(INDEX(Segmentación!$J$4:$J$18,MATCH(D20&amp;" | "&amp;E20,Segmentación!$W$4:$W$18,0))-Q20,""))</f>
        <v/>
      </c>
      <c r="V20" s="41" t="str">
        <f aca="false">IF(OR(D20="",M20=""),"",IFERROR(INDEX(Segmentación!$K$4:$K$18,MATCH(D20&amp;" | "&amp;E20,Segmentación!$W$4:$W$18,0))-R20,""))</f>
        <v/>
      </c>
      <c r="W20" s="42" t="str">
        <f aca="false">IF(OR(S20="",V20=""),"",IF(V20=0,"",T20/V20))</f>
        <v/>
      </c>
      <c r="X20" s="19" t="str">
        <f aca="true">IF(C20="","",IF(OR(D20="",ISNUMBER(SEARCH("negativa",C20))),IF(M20="","Pendiente de aplicar","Aplicado (no se evalúa)"),IF(M20="","Pendiente de aplicar",IF(S20="","Sin datos",IF(S20&lt;Leyenda!$B$13,"Esperando datos ("&amp;S20&amp;" de 10 clics)",IF(U20=0,"Empeora: "&amp;S20&amp;" clics sin venta",IF(TODAY()&lt;N20,"Esperando atribución (7 días)",IF(W20&lt;=J20,"Mejora (ACOS "&amp;TEXT(W20,"0%")&amp;")","Empeora (ACOS "&amp;TEXT(W20,"0%")&amp;")"))))))))</f>
        <v>Pendiente de aplicar</v>
      </c>
      <c r="Y20" s="18"/>
    </row>
    <row r="21" customFormat="false" ht="54" hidden="false" customHeight="true" outlineLevel="0" collapsed="false">
      <c r="A21" s="39" t="s">
        <v>154</v>
      </c>
      <c r="B21" s="40" t="n">
        <v>46290</v>
      </c>
      <c r="C21" s="39" t="s">
        <v>207</v>
      </c>
      <c r="D21" s="19" t="s">
        <v>151</v>
      </c>
      <c r="E21" s="39" t="s">
        <v>152</v>
      </c>
      <c r="F21" s="41"/>
      <c r="G21" s="41" t="n">
        <v>0.3</v>
      </c>
      <c r="H21" s="42" t="str">
        <f aca="false">IF(OR(F21="",G21="",F21=0),"",G21/F21-1)</f>
        <v/>
      </c>
      <c r="I21" s="19" t="s">
        <v>212</v>
      </c>
      <c r="J21" s="42" t="n">
        <f aca="false">Leyenda!$B$5</f>
        <v>0.35</v>
      </c>
      <c r="K21" s="39" t="s">
        <v>3</v>
      </c>
      <c r="L21" s="43" t="s">
        <v>187</v>
      </c>
      <c r="M21" s="44"/>
      <c r="N21" s="40" t="str">
        <f aca="false">IF(M21="","",M21+Leyenda!$B$15)</f>
        <v/>
      </c>
      <c r="O21" s="45" t="n">
        <v>0</v>
      </c>
      <c r="P21" s="41" t="n">
        <v>0</v>
      </c>
      <c r="Q21" s="45" t="n">
        <v>0</v>
      </c>
      <c r="R21" s="41" t="n">
        <v>0</v>
      </c>
      <c r="S21" s="45" t="str">
        <f aca="false">IF(OR(D21="",M21=""),"",IFERROR(INDEX(Segmentación!$F$4:$F$18,MATCH(D21&amp;" | "&amp;E21,Segmentación!$W$4:$W$18,0))-O21,""))</f>
        <v/>
      </c>
      <c r="T21" s="41" t="str">
        <f aca="false">IF(OR(D21="",M21=""),"",IFERROR(INDEX(Segmentación!$H$4:$H$18,MATCH(D21&amp;" | "&amp;E21,Segmentación!$W$4:$W$18,0))-P21,""))</f>
        <v/>
      </c>
      <c r="U21" s="45" t="str">
        <f aca="false">IF(OR(D21="",M21=""),"",IFERROR(INDEX(Segmentación!$J$4:$J$18,MATCH(D21&amp;" | "&amp;E21,Segmentación!$W$4:$W$18,0))-Q21,""))</f>
        <v/>
      </c>
      <c r="V21" s="41" t="str">
        <f aca="false">IF(OR(D21="",M21=""),"",IFERROR(INDEX(Segmentación!$K$4:$K$18,MATCH(D21&amp;" | "&amp;E21,Segmentación!$W$4:$W$18,0))-R21,""))</f>
        <v/>
      </c>
      <c r="W21" s="42" t="str">
        <f aca="false">IF(OR(S21="",V21=""),"",IF(V21=0,"",T21/V21))</f>
        <v/>
      </c>
      <c r="X21" s="19" t="str">
        <f aca="true">IF(C21="","",IF(OR(D21="",ISNUMBER(SEARCH("negativa",C21))),IF(M21="","Pendiente de aplicar","Aplicado (no se evalúa)"),IF(M21="","Pendiente de aplicar",IF(S21="","Sin datos",IF(S21&lt;Leyenda!$B$13,"Esperando datos ("&amp;S21&amp;" de 10 clics)",IF(U21=0,"Empeora: "&amp;S21&amp;" clics sin venta",IF(TODAY()&lt;N21,"Esperando atribución (7 días)",IF(W21&lt;=J21,"Mejora (ACOS "&amp;TEXT(W21,"0%")&amp;")","Empeora (ACOS "&amp;TEXT(W21,"0%")&amp;")"))))))))</f>
        <v>Pendiente de aplicar</v>
      </c>
      <c r="Y21" s="18"/>
    </row>
    <row r="22" customFormat="false" ht="54" hidden="false" customHeight="true" outlineLevel="0" collapsed="false">
      <c r="A22" s="39" t="s">
        <v>213</v>
      </c>
      <c r="B22" s="40" t="n">
        <v>46290</v>
      </c>
      <c r="C22" s="39" t="s">
        <v>214</v>
      </c>
      <c r="D22" s="19" t="s">
        <v>215</v>
      </c>
      <c r="E22" s="39" t="s">
        <v>216</v>
      </c>
      <c r="F22" s="41"/>
      <c r="G22" s="41"/>
      <c r="H22" s="42" t="str">
        <f aca="false">IF(OR(F22="",G22="",F22=0),"",G22/F22-1)</f>
        <v/>
      </c>
      <c r="I22" s="19" t="s">
        <v>217</v>
      </c>
      <c r="J22" s="42"/>
      <c r="K22" s="39"/>
      <c r="L22" s="43" t="s">
        <v>187</v>
      </c>
      <c r="M22" s="44"/>
      <c r="N22" s="40" t="str">
        <f aca="false">IF(M22="","",M22+Leyenda!$B$15)</f>
        <v/>
      </c>
      <c r="O22" s="45" t="n">
        <v>0</v>
      </c>
      <c r="P22" s="41" t="n">
        <v>0</v>
      </c>
      <c r="Q22" s="45" t="n">
        <v>0</v>
      </c>
      <c r="R22" s="41" t="n">
        <v>0</v>
      </c>
      <c r="S22" s="45" t="str">
        <f aca="false">IF(OR(D22="",M22=""),"",IFERROR(INDEX(Segmentación!$F$4:$F$18,MATCH(D22&amp;" | "&amp;E22,Segmentación!$W$4:$W$18,0))-O22,""))</f>
        <v/>
      </c>
      <c r="T22" s="41" t="str">
        <f aca="false">IF(OR(D22="",M22=""),"",IFERROR(INDEX(Segmentación!$H$4:$H$18,MATCH(D22&amp;" | "&amp;E22,Segmentación!$W$4:$W$18,0))-P22,""))</f>
        <v/>
      </c>
      <c r="U22" s="45" t="str">
        <f aca="false">IF(OR(D22="",M22=""),"",IFERROR(INDEX(Segmentación!$J$4:$J$18,MATCH(D22&amp;" | "&amp;E22,Segmentación!$W$4:$W$18,0))-Q22,""))</f>
        <v/>
      </c>
      <c r="V22" s="41" t="str">
        <f aca="false">IF(OR(D22="",M22=""),"",IFERROR(INDEX(Segmentación!$K$4:$K$18,MATCH(D22&amp;" | "&amp;E22,Segmentación!$W$4:$W$18,0))-R22,""))</f>
        <v/>
      </c>
      <c r="W22" s="42" t="str">
        <f aca="false">IF(OR(S22="",V22=""),"",IF(V22=0,"",T22/V22))</f>
        <v/>
      </c>
      <c r="X22" s="19" t="str">
        <f aca="true">IF(C22="","",IF(OR(D22="",ISNUMBER(SEARCH("negativa",C22))),IF(M22="","Pendiente de aplicar","Aplicado (no se evalúa)"),IF(M22="","Pendiente de aplicar",IF(S22="","Sin datos",IF(S22&lt;Leyenda!$B$13,"Esperando datos ("&amp;S22&amp;" de 10 clics)",IF(U22=0,"Empeora: "&amp;S22&amp;" clics sin venta",IF(TODAY()&lt;N22,"Esperando atribución (7 días)",IF(W22&lt;=J22,"Mejora (ACOS "&amp;TEXT(W22,"0%")&amp;")","Empeora (ACOS "&amp;TEXT(W22,"0%")&amp;")"))))))))</f>
        <v>Pendiente de aplicar</v>
      </c>
      <c r="Y22" s="18"/>
    </row>
    <row r="23" customFormat="false" ht="54" hidden="false" customHeight="true" outlineLevel="0" collapsed="false">
      <c r="A23" s="39" t="s">
        <v>218</v>
      </c>
      <c r="B23" s="40" t="n">
        <v>46290</v>
      </c>
      <c r="C23" s="39" t="s">
        <v>214</v>
      </c>
      <c r="D23" s="19" t="s">
        <v>219</v>
      </c>
      <c r="E23" s="39" t="s">
        <v>216</v>
      </c>
      <c r="F23" s="41"/>
      <c r="G23" s="41"/>
      <c r="H23" s="42" t="str">
        <f aca="false">IF(OR(F23="",G23="",F23=0),"",G23/F23-1)</f>
        <v/>
      </c>
      <c r="I23" s="19" t="s">
        <v>220</v>
      </c>
      <c r="J23" s="42"/>
      <c r="K23" s="39"/>
      <c r="L23" s="43" t="s">
        <v>187</v>
      </c>
      <c r="M23" s="44"/>
      <c r="N23" s="40" t="str">
        <f aca="false">IF(M23="","",M23+Leyenda!$B$15)</f>
        <v/>
      </c>
      <c r="O23" s="45" t="n">
        <v>0</v>
      </c>
      <c r="P23" s="41" t="n">
        <v>0</v>
      </c>
      <c r="Q23" s="45" t="n">
        <v>0</v>
      </c>
      <c r="R23" s="41" t="n">
        <v>0</v>
      </c>
      <c r="S23" s="45" t="str">
        <f aca="false">IF(OR(D23="",M23=""),"",IFERROR(INDEX(Segmentación!$F$4:$F$18,MATCH(D23&amp;" | "&amp;E23,Segmentación!$W$4:$W$18,0))-O23,""))</f>
        <v/>
      </c>
      <c r="T23" s="41" t="str">
        <f aca="false">IF(OR(D23="",M23=""),"",IFERROR(INDEX(Segmentación!$H$4:$H$18,MATCH(D23&amp;" | "&amp;E23,Segmentación!$W$4:$W$18,0))-P23,""))</f>
        <v/>
      </c>
      <c r="U23" s="45" t="str">
        <f aca="false">IF(OR(D23="",M23=""),"",IFERROR(INDEX(Segmentación!$J$4:$J$18,MATCH(D23&amp;" | "&amp;E23,Segmentación!$W$4:$W$18,0))-Q23,""))</f>
        <v/>
      </c>
      <c r="V23" s="41" t="str">
        <f aca="false">IF(OR(D23="",M23=""),"",IFERROR(INDEX(Segmentación!$K$4:$K$18,MATCH(D23&amp;" | "&amp;E23,Segmentación!$W$4:$W$18,0))-R23,""))</f>
        <v/>
      </c>
      <c r="W23" s="42" t="str">
        <f aca="false">IF(OR(S23="",V23=""),"",IF(V23=0,"",T23/V23))</f>
        <v/>
      </c>
      <c r="X23" s="19" t="str">
        <f aca="true">IF(C23="","",IF(OR(D23="",ISNUMBER(SEARCH("negativa",C23))),IF(M23="","Pendiente de aplicar","Aplicado (no se evalúa)"),IF(M23="","Pendiente de aplicar",IF(S23="","Sin datos",IF(S23&lt;Leyenda!$B$13,"Esperando datos ("&amp;S23&amp;" de 10 clics)",IF(U23=0,"Empeora: "&amp;S23&amp;" clics sin venta",IF(TODAY()&lt;N23,"Esperando atribución (7 días)",IF(W23&lt;=J23,"Mejora (ACOS "&amp;TEXT(W23,"0%")&amp;")","Empeora (ACOS "&amp;TEXT(W23,"0%")&amp;")"))))))))</f>
        <v>Pendiente de aplicar</v>
      </c>
      <c r="Y23" s="18"/>
    </row>
    <row r="24" customFormat="false" ht="54" hidden="false" customHeight="true" outlineLevel="0" collapsed="false">
      <c r="A24" s="39" t="s">
        <v>221</v>
      </c>
      <c r="B24" s="40" t="n">
        <v>46290</v>
      </c>
      <c r="C24" s="39" t="s">
        <v>214</v>
      </c>
      <c r="D24" s="19" t="s">
        <v>222</v>
      </c>
      <c r="E24" s="39" t="s">
        <v>216</v>
      </c>
      <c r="F24" s="41"/>
      <c r="G24" s="41"/>
      <c r="H24" s="42" t="str">
        <f aca="false">IF(OR(F24="",G24="",F24=0),"",G24/F24-1)</f>
        <v/>
      </c>
      <c r="I24" s="19" t="s">
        <v>223</v>
      </c>
      <c r="J24" s="42"/>
      <c r="K24" s="39"/>
      <c r="L24" s="43" t="s">
        <v>187</v>
      </c>
      <c r="M24" s="44"/>
      <c r="N24" s="40" t="str">
        <f aca="false">IF(M24="","",M24+Leyenda!$B$15)</f>
        <v/>
      </c>
      <c r="O24" s="45" t="n">
        <v>0</v>
      </c>
      <c r="P24" s="41" t="n">
        <v>0</v>
      </c>
      <c r="Q24" s="45" t="n">
        <v>0</v>
      </c>
      <c r="R24" s="41" t="n">
        <v>0</v>
      </c>
      <c r="S24" s="45" t="str">
        <f aca="false">IF(OR(D24="",M24=""),"",IFERROR(INDEX(Segmentación!$F$4:$F$18,MATCH(D24&amp;" | "&amp;E24,Segmentación!$W$4:$W$18,0))-O24,""))</f>
        <v/>
      </c>
      <c r="T24" s="41" t="str">
        <f aca="false">IF(OR(D24="",M24=""),"",IFERROR(INDEX(Segmentación!$H$4:$H$18,MATCH(D24&amp;" | "&amp;E24,Segmentación!$W$4:$W$18,0))-P24,""))</f>
        <v/>
      </c>
      <c r="U24" s="45" t="str">
        <f aca="false">IF(OR(D24="",M24=""),"",IFERROR(INDEX(Segmentación!$J$4:$J$18,MATCH(D24&amp;" | "&amp;E24,Segmentación!$W$4:$W$18,0))-Q24,""))</f>
        <v/>
      </c>
      <c r="V24" s="41" t="str">
        <f aca="false">IF(OR(D24="",M24=""),"",IFERROR(INDEX(Segmentación!$K$4:$K$18,MATCH(D24&amp;" | "&amp;E24,Segmentación!$W$4:$W$18,0))-R24,""))</f>
        <v/>
      </c>
      <c r="W24" s="42" t="str">
        <f aca="false">IF(OR(S24="",V24=""),"",IF(V24=0,"",T24/V24))</f>
        <v/>
      </c>
      <c r="X24" s="19" t="str">
        <f aca="true">IF(C24="","",IF(OR(D24="",ISNUMBER(SEARCH("negativa",C24))),IF(M24="","Pendiente de aplicar","Aplicado (no se evalúa)"),IF(M24="","Pendiente de aplicar",IF(S24="","Sin datos",IF(S24&lt;Leyenda!$B$13,"Esperando datos ("&amp;S24&amp;" de 10 clics)",IF(U24=0,"Empeora: "&amp;S24&amp;" clics sin venta",IF(TODAY()&lt;N24,"Esperando atribución (7 días)",IF(W24&lt;=J24,"Mejora (ACOS "&amp;TEXT(W24,"0%")&amp;")","Empeora (ACOS "&amp;TEXT(W24,"0%")&amp;")"))))))))</f>
        <v>Pendiente de aplicar</v>
      </c>
      <c r="Y24" s="18"/>
    </row>
    <row r="25" customFormat="false" ht="54" hidden="false" customHeight="true" outlineLevel="0" collapsed="false">
      <c r="A25" s="39" t="s">
        <v>224</v>
      </c>
      <c r="B25" s="40" t="n">
        <v>46290</v>
      </c>
      <c r="C25" s="39" t="s">
        <v>214</v>
      </c>
      <c r="D25" s="19" t="s">
        <v>225</v>
      </c>
      <c r="E25" s="39" t="s">
        <v>216</v>
      </c>
      <c r="F25" s="41"/>
      <c r="G25" s="41"/>
      <c r="H25" s="42" t="str">
        <f aca="false">IF(OR(F25="",G25="",F25=0),"",G25/F25-1)</f>
        <v/>
      </c>
      <c r="I25" s="19" t="s">
        <v>226</v>
      </c>
      <c r="J25" s="42"/>
      <c r="K25" s="39"/>
      <c r="L25" s="43" t="s">
        <v>187</v>
      </c>
      <c r="M25" s="44"/>
      <c r="N25" s="40" t="str">
        <f aca="false">IF(M25="","",M25+Leyenda!$B$15)</f>
        <v/>
      </c>
      <c r="O25" s="45" t="n">
        <v>0</v>
      </c>
      <c r="P25" s="41" t="n">
        <v>0</v>
      </c>
      <c r="Q25" s="45" t="n">
        <v>0</v>
      </c>
      <c r="R25" s="41" t="n">
        <v>0</v>
      </c>
      <c r="S25" s="45" t="str">
        <f aca="false">IF(OR(D25="",M25=""),"",IFERROR(INDEX(Segmentación!$F$4:$F$18,MATCH(D25&amp;" | "&amp;E25,Segmentación!$W$4:$W$18,0))-O25,""))</f>
        <v/>
      </c>
      <c r="T25" s="41" t="str">
        <f aca="false">IF(OR(D25="",M25=""),"",IFERROR(INDEX(Segmentación!$H$4:$H$18,MATCH(D25&amp;" | "&amp;E25,Segmentación!$W$4:$W$18,0))-P25,""))</f>
        <v/>
      </c>
      <c r="U25" s="45" t="str">
        <f aca="false">IF(OR(D25="",M25=""),"",IFERROR(INDEX(Segmentación!$J$4:$J$18,MATCH(D25&amp;" | "&amp;E25,Segmentación!$W$4:$W$18,0))-Q25,""))</f>
        <v/>
      </c>
      <c r="V25" s="41" t="str">
        <f aca="false">IF(OR(D25="",M25=""),"",IFERROR(INDEX(Segmentación!$K$4:$K$18,MATCH(D25&amp;" | "&amp;E25,Segmentación!$W$4:$W$18,0))-R25,""))</f>
        <v/>
      </c>
      <c r="W25" s="42" t="str">
        <f aca="false">IF(OR(S25="",V25=""),"",IF(V25=0,"",T25/V25))</f>
        <v/>
      </c>
      <c r="X25" s="19" t="str">
        <f aca="true">IF(C25="","",IF(OR(D25="",ISNUMBER(SEARCH("negativa",C25))),IF(M25="","Pendiente de aplicar","Aplicado (no se evalúa)"),IF(M25="","Pendiente de aplicar",IF(S25="","Sin datos",IF(S25&lt;Leyenda!$B$13,"Esperando datos ("&amp;S25&amp;" de 10 clics)",IF(U25=0,"Empeora: "&amp;S25&amp;" clics sin venta",IF(TODAY()&lt;N25,"Esperando atribución (7 días)",IF(W25&lt;=J25,"Mejora (ACOS "&amp;TEXT(W25,"0%")&amp;")","Empeora (ACOS "&amp;TEXT(W25,"0%")&amp;")"))))))))</f>
        <v>Pendiente de aplicar</v>
      </c>
      <c r="Y25" s="18"/>
    </row>
    <row r="26" customFormat="false" ht="54" hidden="false" customHeight="true" outlineLevel="0" collapsed="false">
      <c r="A26" s="39" t="s">
        <v>227</v>
      </c>
      <c r="B26" s="40" t="n">
        <v>46290</v>
      </c>
      <c r="C26" s="39" t="s">
        <v>214</v>
      </c>
      <c r="D26" s="19" t="s">
        <v>228</v>
      </c>
      <c r="E26" s="39" t="s">
        <v>216</v>
      </c>
      <c r="F26" s="41"/>
      <c r="G26" s="41"/>
      <c r="H26" s="42" t="str">
        <f aca="false">IF(OR(F26="",G26="",F26=0),"",G26/F26-1)</f>
        <v/>
      </c>
      <c r="I26" s="19" t="s">
        <v>229</v>
      </c>
      <c r="J26" s="42"/>
      <c r="K26" s="39"/>
      <c r="L26" s="43" t="s">
        <v>187</v>
      </c>
      <c r="M26" s="44"/>
      <c r="N26" s="40" t="str">
        <f aca="false">IF(M26="","",M26+Leyenda!$B$15)</f>
        <v/>
      </c>
      <c r="O26" s="45" t="n">
        <v>0</v>
      </c>
      <c r="P26" s="41" t="n">
        <v>0</v>
      </c>
      <c r="Q26" s="45" t="n">
        <v>0</v>
      </c>
      <c r="R26" s="41" t="n">
        <v>0</v>
      </c>
      <c r="S26" s="45" t="str">
        <f aca="false">IF(OR(D26="",M26=""),"",IFERROR(INDEX(Segmentación!$F$4:$F$18,MATCH(D26&amp;" | "&amp;E26,Segmentación!$W$4:$W$18,0))-O26,""))</f>
        <v/>
      </c>
      <c r="T26" s="41" t="str">
        <f aca="false">IF(OR(D26="",M26=""),"",IFERROR(INDEX(Segmentación!$H$4:$H$18,MATCH(D26&amp;" | "&amp;E26,Segmentación!$W$4:$W$18,0))-P26,""))</f>
        <v/>
      </c>
      <c r="U26" s="45" t="str">
        <f aca="false">IF(OR(D26="",M26=""),"",IFERROR(INDEX(Segmentación!$J$4:$J$18,MATCH(D26&amp;" | "&amp;E26,Segmentación!$W$4:$W$18,0))-Q26,""))</f>
        <v/>
      </c>
      <c r="V26" s="41" t="str">
        <f aca="false">IF(OR(D26="",M26=""),"",IFERROR(INDEX(Segmentación!$K$4:$K$18,MATCH(D26&amp;" | "&amp;E26,Segmentación!$W$4:$W$18,0))-R26,""))</f>
        <v/>
      </c>
      <c r="W26" s="42" t="str">
        <f aca="false">IF(OR(S26="",V26=""),"",IF(V26=0,"",T26/V26))</f>
        <v/>
      </c>
      <c r="X26" s="19" t="str">
        <f aca="true">IF(C26="","",IF(OR(D26="",ISNUMBER(SEARCH("negativa",C26))),IF(M26="","Pendiente de aplicar","Aplicado (no se evalúa)"),IF(M26="","Pendiente de aplicar",IF(S26="","Sin datos",IF(S26&lt;Leyenda!$B$13,"Esperando datos ("&amp;S26&amp;" de 10 clics)",IF(U26=0,"Empeora: "&amp;S26&amp;" clics sin venta",IF(TODAY()&lt;N26,"Esperando atribución (7 días)",IF(W26&lt;=J26,"Mejora (ACOS "&amp;TEXT(W26,"0%")&amp;")","Empeora (ACOS "&amp;TEXT(W26,"0%")&amp;")"))))))))</f>
        <v>Pendiente de aplicar</v>
      </c>
      <c r="Y26" s="18"/>
    </row>
    <row r="27" customFormat="false" ht="54" hidden="false" customHeight="true" outlineLevel="0" collapsed="false">
      <c r="A27" s="39" t="s">
        <v>230</v>
      </c>
      <c r="B27" s="40" t="n">
        <v>46290</v>
      </c>
      <c r="C27" s="39" t="s">
        <v>214</v>
      </c>
      <c r="D27" s="19" t="s">
        <v>231</v>
      </c>
      <c r="E27" s="39" t="s">
        <v>216</v>
      </c>
      <c r="F27" s="41"/>
      <c r="G27" s="41"/>
      <c r="H27" s="42" t="str">
        <f aca="false">IF(OR(F27="",G27="",F27=0),"",G27/F27-1)</f>
        <v/>
      </c>
      <c r="I27" s="19" t="s">
        <v>232</v>
      </c>
      <c r="J27" s="42"/>
      <c r="K27" s="39"/>
      <c r="L27" s="43" t="s">
        <v>187</v>
      </c>
      <c r="M27" s="44"/>
      <c r="N27" s="40" t="str">
        <f aca="false">IF(M27="","",M27+Leyenda!$B$15)</f>
        <v/>
      </c>
      <c r="O27" s="45" t="n">
        <v>0</v>
      </c>
      <c r="P27" s="41" t="n">
        <v>0</v>
      </c>
      <c r="Q27" s="45" t="n">
        <v>0</v>
      </c>
      <c r="R27" s="41" t="n">
        <v>0</v>
      </c>
      <c r="S27" s="45" t="str">
        <f aca="false">IF(OR(D27="",M27=""),"",IFERROR(INDEX(Segmentación!$F$4:$F$18,MATCH(D27&amp;" | "&amp;E27,Segmentación!$W$4:$W$18,0))-O27,""))</f>
        <v/>
      </c>
      <c r="T27" s="41" t="str">
        <f aca="false">IF(OR(D27="",M27=""),"",IFERROR(INDEX(Segmentación!$H$4:$H$18,MATCH(D27&amp;" | "&amp;E27,Segmentación!$W$4:$W$18,0))-P27,""))</f>
        <v/>
      </c>
      <c r="U27" s="45" t="str">
        <f aca="false">IF(OR(D27="",M27=""),"",IFERROR(INDEX(Segmentación!$J$4:$J$18,MATCH(D27&amp;" | "&amp;E27,Segmentación!$W$4:$W$18,0))-Q27,""))</f>
        <v/>
      </c>
      <c r="V27" s="41" t="str">
        <f aca="false">IF(OR(D27="",M27=""),"",IFERROR(INDEX(Segmentación!$K$4:$K$18,MATCH(D27&amp;" | "&amp;E27,Segmentación!$W$4:$W$18,0))-R27,""))</f>
        <v/>
      </c>
      <c r="W27" s="42" t="str">
        <f aca="false">IF(OR(S27="",V27=""),"",IF(V27=0,"",T27/V27))</f>
        <v/>
      </c>
      <c r="X27" s="19" t="str">
        <f aca="true">IF(C27="","",IF(OR(D27="",ISNUMBER(SEARCH("negativa",C27))),IF(M27="","Pendiente de aplicar","Aplicado (no se evalúa)"),IF(M27="","Pendiente de aplicar",IF(S27="","Sin datos",IF(S27&lt;Leyenda!$B$13,"Esperando datos ("&amp;S27&amp;" de 10 clics)",IF(U27=0,"Empeora: "&amp;S27&amp;" clics sin venta",IF(TODAY()&lt;N27,"Esperando atribución (7 días)",IF(W27&lt;=J27,"Mejora (ACOS "&amp;TEXT(W27,"0%")&amp;")","Empeora (ACOS "&amp;TEXT(W27,"0%")&amp;")"))))))))</f>
        <v>Pendiente de aplicar</v>
      </c>
      <c r="Y27" s="18"/>
    </row>
    <row r="28" customFormat="false" ht="54" hidden="false" customHeight="true" outlineLevel="0" collapsed="false">
      <c r="A28" s="39" t="s">
        <v>233</v>
      </c>
      <c r="B28" s="40" t="n">
        <v>46290</v>
      </c>
      <c r="C28" s="39" t="s">
        <v>214</v>
      </c>
      <c r="D28" s="19" t="s">
        <v>234</v>
      </c>
      <c r="E28" s="39" t="s">
        <v>216</v>
      </c>
      <c r="F28" s="41"/>
      <c r="G28" s="41"/>
      <c r="H28" s="42" t="str">
        <f aca="false">IF(OR(F28="",G28="",F28=0),"",G28/F28-1)</f>
        <v/>
      </c>
      <c r="I28" s="19" t="s">
        <v>235</v>
      </c>
      <c r="J28" s="42"/>
      <c r="K28" s="39"/>
      <c r="L28" s="43" t="s">
        <v>187</v>
      </c>
      <c r="M28" s="44"/>
      <c r="N28" s="40" t="str">
        <f aca="false">IF(M28="","",M28+Leyenda!$B$15)</f>
        <v/>
      </c>
      <c r="O28" s="45" t="n">
        <v>0</v>
      </c>
      <c r="P28" s="41" t="n">
        <v>0</v>
      </c>
      <c r="Q28" s="45" t="n">
        <v>0</v>
      </c>
      <c r="R28" s="41" t="n">
        <v>0</v>
      </c>
      <c r="S28" s="45" t="str">
        <f aca="false">IF(OR(D28="",M28=""),"",IFERROR(INDEX(Segmentación!$F$4:$F$18,MATCH(D28&amp;" | "&amp;E28,Segmentación!$W$4:$W$18,0))-O28,""))</f>
        <v/>
      </c>
      <c r="T28" s="41" t="str">
        <f aca="false">IF(OR(D28="",M28=""),"",IFERROR(INDEX(Segmentación!$H$4:$H$18,MATCH(D28&amp;" | "&amp;E28,Segmentación!$W$4:$W$18,0))-P28,""))</f>
        <v/>
      </c>
      <c r="U28" s="45" t="str">
        <f aca="false">IF(OR(D28="",M28=""),"",IFERROR(INDEX(Segmentación!$J$4:$J$18,MATCH(D28&amp;" | "&amp;E28,Segmentación!$W$4:$W$18,0))-Q28,""))</f>
        <v/>
      </c>
      <c r="V28" s="41" t="str">
        <f aca="false">IF(OR(D28="",M28=""),"",IFERROR(INDEX(Segmentación!$K$4:$K$18,MATCH(D28&amp;" | "&amp;E28,Segmentación!$W$4:$W$18,0))-R28,""))</f>
        <v/>
      </c>
      <c r="W28" s="42" t="str">
        <f aca="false">IF(OR(S28="",V28=""),"",IF(V28=0,"",T28/V28))</f>
        <v/>
      </c>
      <c r="X28" s="19" t="str">
        <f aca="true">IF(C28="","",IF(OR(D28="",ISNUMBER(SEARCH("negativa",C28))),IF(M28="","Pendiente de aplicar","Aplicado (no se evalúa)"),IF(M28="","Pendiente de aplicar",IF(S28="","Sin datos",IF(S28&lt;Leyenda!$B$13,"Esperando datos ("&amp;S28&amp;" de 10 clics)",IF(U28=0,"Empeora: "&amp;S28&amp;" clics sin venta",IF(TODAY()&lt;N28,"Esperando atribución (7 días)",IF(W28&lt;=J28,"Mejora (ACOS "&amp;TEXT(W28,"0%")&amp;")","Empeora (ACOS "&amp;TEXT(W28,"0%")&amp;")"))))))))</f>
        <v>Pendiente de aplicar</v>
      </c>
      <c r="Y28" s="18"/>
    </row>
    <row r="29" customFormat="false" ht="54" hidden="false" customHeight="true" outlineLevel="0" collapsed="false">
      <c r="A29" s="39" t="s">
        <v>236</v>
      </c>
      <c r="B29" s="40" t="n">
        <v>46290</v>
      </c>
      <c r="C29" s="39" t="s">
        <v>214</v>
      </c>
      <c r="D29" s="19" t="s">
        <v>237</v>
      </c>
      <c r="E29" s="39" t="s">
        <v>216</v>
      </c>
      <c r="F29" s="41"/>
      <c r="G29" s="41"/>
      <c r="H29" s="42" t="str">
        <f aca="false">IF(OR(F29="",G29="",F29=0),"",G29/F29-1)</f>
        <v/>
      </c>
      <c r="I29" s="19" t="s">
        <v>238</v>
      </c>
      <c r="J29" s="42"/>
      <c r="K29" s="39"/>
      <c r="L29" s="43" t="s">
        <v>187</v>
      </c>
      <c r="M29" s="44"/>
      <c r="N29" s="40" t="str">
        <f aca="false">IF(M29="","",M29+Leyenda!$B$15)</f>
        <v/>
      </c>
      <c r="O29" s="45" t="n">
        <v>0</v>
      </c>
      <c r="P29" s="41" t="n">
        <v>0</v>
      </c>
      <c r="Q29" s="45" t="n">
        <v>0</v>
      </c>
      <c r="R29" s="41" t="n">
        <v>0</v>
      </c>
      <c r="S29" s="45" t="str">
        <f aca="false">IF(OR(D29="",M29=""),"",IFERROR(INDEX(Segmentación!$F$4:$F$18,MATCH(D29&amp;" | "&amp;E29,Segmentación!$W$4:$W$18,0))-O29,""))</f>
        <v/>
      </c>
      <c r="T29" s="41" t="str">
        <f aca="false">IF(OR(D29="",M29=""),"",IFERROR(INDEX(Segmentación!$H$4:$H$18,MATCH(D29&amp;" | "&amp;E29,Segmentación!$W$4:$W$18,0))-P29,""))</f>
        <v/>
      </c>
      <c r="U29" s="45" t="str">
        <f aca="false">IF(OR(D29="",M29=""),"",IFERROR(INDEX(Segmentación!$J$4:$J$18,MATCH(D29&amp;" | "&amp;E29,Segmentación!$W$4:$W$18,0))-Q29,""))</f>
        <v/>
      </c>
      <c r="V29" s="41" t="str">
        <f aca="false">IF(OR(D29="",M29=""),"",IFERROR(INDEX(Segmentación!$K$4:$K$18,MATCH(D29&amp;" | "&amp;E29,Segmentación!$W$4:$W$18,0))-R29,""))</f>
        <v/>
      </c>
      <c r="W29" s="42" t="str">
        <f aca="false">IF(OR(S29="",V29=""),"",IF(V29=0,"",T29/V29))</f>
        <v/>
      </c>
      <c r="X29" s="19" t="str">
        <f aca="true">IF(C29="","",IF(OR(D29="",ISNUMBER(SEARCH("negativa",C29))),IF(M29="","Pendiente de aplicar","Aplicado (no se evalúa)"),IF(M29="","Pendiente de aplicar",IF(S29="","Sin datos",IF(S29&lt;Leyenda!$B$13,"Esperando datos ("&amp;S29&amp;" de 10 clics)",IF(U29=0,"Empeora: "&amp;S29&amp;" clics sin venta",IF(TODAY()&lt;N29,"Esperando atribución (7 días)",IF(W29&lt;=J29,"Mejora (ACOS "&amp;TEXT(W29,"0%")&amp;")","Empeora (ACOS "&amp;TEXT(W29,"0%")&amp;")"))))))))</f>
        <v>Pendiente de aplicar</v>
      </c>
      <c r="Y29" s="18"/>
    </row>
    <row r="30" customFormat="false" ht="54" hidden="false" customHeight="true" outlineLevel="0" collapsed="false">
      <c r="A30" s="39" t="s">
        <v>239</v>
      </c>
      <c r="B30" s="40" t="n">
        <v>46290</v>
      </c>
      <c r="C30" s="39" t="s">
        <v>214</v>
      </c>
      <c r="D30" s="19" t="s">
        <v>240</v>
      </c>
      <c r="E30" s="39" t="s">
        <v>91</v>
      </c>
      <c r="F30" s="41"/>
      <c r="G30" s="41"/>
      <c r="H30" s="42" t="str">
        <f aca="false">IF(OR(F30="",G30="",F30=0),"",G30/F30-1)</f>
        <v/>
      </c>
      <c r="I30" s="19" t="s">
        <v>241</v>
      </c>
      <c r="J30" s="42"/>
      <c r="K30" s="39"/>
      <c r="L30" s="43" t="s">
        <v>187</v>
      </c>
      <c r="M30" s="44"/>
      <c r="N30" s="40" t="str">
        <f aca="false">IF(M30="","",M30+Leyenda!$B$15)</f>
        <v/>
      </c>
      <c r="O30" s="45" t="n">
        <v>0</v>
      </c>
      <c r="P30" s="41" t="n">
        <v>0</v>
      </c>
      <c r="Q30" s="45" t="n">
        <v>0</v>
      </c>
      <c r="R30" s="41" t="n">
        <v>0</v>
      </c>
      <c r="S30" s="45" t="str">
        <f aca="false">IF(OR(D30="",M30=""),"",IFERROR(INDEX(Segmentación!$F$4:$F$18,MATCH(D30&amp;" | "&amp;E30,Segmentación!$W$4:$W$18,0))-O30,""))</f>
        <v/>
      </c>
      <c r="T30" s="41" t="str">
        <f aca="false">IF(OR(D30="",M30=""),"",IFERROR(INDEX(Segmentación!$H$4:$H$18,MATCH(D30&amp;" | "&amp;E30,Segmentación!$W$4:$W$18,0))-P30,""))</f>
        <v/>
      </c>
      <c r="U30" s="45" t="str">
        <f aca="false">IF(OR(D30="",M30=""),"",IFERROR(INDEX(Segmentación!$J$4:$J$18,MATCH(D30&amp;" | "&amp;E30,Segmentación!$W$4:$W$18,0))-Q30,""))</f>
        <v/>
      </c>
      <c r="V30" s="41" t="str">
        <f aca="false">IF(OR(D30="",M30=""),"",IFERROR(INDEX(Segmentación!$K$4:$K$18,MATCH(D30&amp;" | "&amp;E30,Segmentación!$W$4:$W$18,0))-R30,""))</f>
        <v/>
      </c>
      <c r="W30" s="42" t="str">
        <f aca="false">IF(OR(S30="",V30=""),"",IF(V30=0,"",T30/V30))</f>
        <v/>
      </c>
      <c r="X30" s="19" t="str">
        <f aca="true">IF(C30="","",IF(OR(D30="",ISNUMBER(SEARCH("negativa",C30))),IF(M30="","Pendiente de aplicar","Aplicado (no se evalúa)"),IF(M30="","Pendiente de aplicar",IF(S30="","Sin datos",IF(S30&lt;Leyenda!$B$13,"Esperando datos ("&amp;S30&amp;" de 10 clics)",IF(U30=0,"Empeora: "&amp;S30&amp;" clics sin venta",IF(TODAY()&lt;N30,"Esperando atribución (7 días)",IF(W30&lt;=J30,"Mejora (ACOS "&amp;TEXT(W30,"0%")&amp;")","Empeora (ACOS "&amp;TEXT(W30,"0%")&amp;")"))))))))</f>
        <v>Pendiente de aplicar</v>
      </c>
      <c r="Y30" s="18"/>
    </row>
    <row r="31" customFormat="false" ht="15" hidden="false" customHeight="false" outlineLevel="0" collapsed="false">
      <c r="A31" s="39" t="s">
        <v>242</v>
      </c>
      <c r="B31" s="44"/>
      <c r="C31" s="43"/>
      <c r="D31" s="18"/>
      <c r="E31" s="43"/>
      <c r="F31" s="46"/>
      <c r="G31" s="46"/>
      <c r="H31" s="42" t="str">
        <f aca="false">IF(OR(F31="",G31="",F31=0),"",G31/F31-1)</f>
        <v/>
      </c>
      <c r="I31" s="18"/>
      <c r="J31" s="47"/>
      <c r="K31" s="43"/>
      <c r="L31" s="43"/>
      <c r="M31" s="44"/>
      <c r="N31" s="40" t="str">
        <f aca="false">IF(M31="","",M31+Leyenda!$B$15)</f>
        <v/>
      </c>
      <c r="O31" s="48"/>
      <c r="P31" s="46"/>
      <c r="Q31" s="48"/>
      <c r="R31" s="46"/>
      <c r="S31" s="45" t="str">
        <f aca="false">IF(OR(D31="",M31=""),"",IFERROR(INDEX(Segmentación!$F$4:$F$18,MATCH(D31&amp;" | "&amp;E31,Segmentación!$W$4:$W$18,0))-O31,""))</f>
        <v/>
      </c>
      <c r="T31" s="41" t="str">
        <f aca="false">IF(OR(D31="",M31=""),"",IFERROR(INDEX(Segmentación!$H$4:$H$18,MATCH(D31&amp;" | "&amp;E31,Segmentación!$W$4:$W$18,0))-P31,""))</f>
        <v/>
      </c>
      <c r="U31" s="45" t="str">
        <f aca="false">IF(OR(D31="",M31=""),"",IFERROR(INDEX(Segmentación!$J$4:$J$18,MATCH(D31&amp;" | "&amp;E31,Segmentación!$W$4:$W$18,0))-Q31,""))</f>
        <v/>
      </c>
      <c r="V31" s="41" t="str">
        <f aca="false">IF(OR(D31="",M31=""),"",IFERROR(INDEX(Segmentación!$K$4:$K$18,MATCH(D31&amp;" | "&amp;E31,Segmentación!$W$4:$W$18,0))-R31,""))</f>
        <v/>
      </c>
      <c r="W31" s="42" t="str">
        <f aca="false">IF(OR(S31="",V31=""),"",IF(V31=0,"",T31/V31))</f>
        <v/>
      </c>
      <c r="X31" s="19" t="str">
        <f aca="true">IF(C31="","",IF(OR(D31="",ISNUMBER(SEARCH("negativa",C31))),IF(M31="","Pendiente de aplicar","Aplicado (no se evalúa)"),IF(M31="","Pendiente de aplicar",IF(S31="","Sin datos",IF(S31&lt;Leyenda!$B$13,"Esperando datos ("&amp;S31&amp;" de 10 clics)",IF(U31=0,"Empeora: "&amp;S31&amp;" clics sin venta",IF(TODAY()&lt;N31,"Esperando atribución (7 días)",IF(W31&lt;=J31,"Mejora (ACOS "&amp;TEXT(W31,"0%")&amp;")","Empeora (ACOS "&amp;TEXT(W31,"0%")&amp;")"))))))))</f>
        <v/>
      </c>
      <c r="Y31" s="18"/>
    </row>
    <row r="32" customFormat="false" ht="15" hidden="false" customHeight="false" outlineLevel="0" collapsed="false">
      <c r="A32" s="39" t="s">
        <v>243</v>
      </c>
      <c r="B32" s="44"/>
      <c r="C32" s="43"/>
      <c r="D32" s="18"/>
      <c r="E32" s="43"/>
      <c r="F32" s="46"/>
      <c r="G32" s="46"/>
      <c r="H32" s="42" t="str">
        <f aca="false">IF(OR(F32="",G32="",F32=0),"",G32/F32-1)</f>
        <v/>
      </c>
      <c r="I32" s="18"/>
      <c r="J32" s="47"/>
      <c r="K32" s="43"/>
      <c r="L32" s="43"/>
      <c r="M32" s="44"/>
      <c r="N32" s="40" t="str">
        <f aca="false">IF(M32="","",M32+Leyenda!$B$15)</f>
        <v/>
      </c>
      <c r="O32" s="48"/>
      <c r="P32" s="46"/>
      <c r="Q32" s="48"/>
      <c r="R32" s="46"/>
      <c r="S32" s="45" t="str">
        <f aca="false">IF(OR(D32="",M32=""),"",IFERROR(INDEX(Segmentación!$F$4:$F$18,MATCH(D32&amp;" | "&amp;E32,Segmentación!$W$4:$W$18,0))-O32,""))</f>
        <v/>
      </c>
      <c r="T32" s="41" t="str">
        <f aca="false">IF(OR(D32="",M32=""),"",IFERROR(INDEX(Segmentación!$H$4:$H$18,MATCH(D32&amp;" | "&amp;E32,Segmentación!$W$4:$W$18,0))-P32,""))</f>
        <v/>
      </c>
      <c r="U32" s="45" t="str">
        <f aca="false">IF(OR(D32="",M32=""),"",IFERROR(INDEX(Segmentación!$J$4:$J$18,MATCH(D32&amp;" | "&amp;E32,Segmentación!$W$4:$W$18,0))-Q32,""))</f>
        <v/>
      </c>
      <c r="V32" s="41" t="str">
        <f aca="false">IF(OR(D32="",M32=""),"",IFERROR(INDEX(Segmentación!$K$4:$K$18,MATCH(D32&amp;" | "&amp;E32,Segmentación!$W$4:$W$18,0))-R32,""))</f>
        <v/>
      </c>
      <c r="W32" s="42" t="str">
        <f aca="false">IF(OR(S32="",V32=""),"",IF(V32=0,"",T32/V32))</f>
        <v/>
      </c>
      <c r="X32" s="19" t="str">
        <f aca="true">IF(C32="","",IF(OR(D32="",ISNUMBER(SEARCH("negativa",C32))),IF(M32="","Pendiente de aplicar","Aplicado (no se evalúa)"),IF(M32="","Pendiente de aplicar",IF(S32="","Sin datos",IF(S32&lt;Leyenda!$B$13,"Esperando datos ("&amp;S32&amp;" de 10 clics)",IF(U32=0,"Empeora: "&amp;S32&amp;" clics sin venta",IF(TODAY()&lt;N32,"Esperando atribución (7 días)",IF(W32&lt;=J32,"Mejora (ACOS "&amp;TEXT(W32,"0%")&amp;")","Empeora (ACOS "&amp;TEXT(W32,"0%")&amp;")"))))))))</f>
        <v/>
      </c>
      <c r="Y32" s="18"/>
    </row>
    <row r="33" customFormat="false" ht="15" hidden="false" customHeight="false" outlineLevel="0" collapsed="false">
      <c r="A33" s="39" t="s">
        <v>244</v>
      </c>
      <c r="B33" s="44"/>
      <c r="C33" s="43"/>
      <c r="D33" s="18"/>
      <c r="E33" s="43"/>
      <c r="F33" s="46"/>
      <c r="G33" s="46"/>
      <c r="H33" s="42" t="str">
        <f aca="false">IF(OR(F33="",G33="",F33=0),"",G33/F33-1)</f>
        <v/>
      </c>
      <c r="I33" s="18"/>
      <c r="J33" s="47"/>
      <c r="K33" s="43"/>
      <c r="L33" s="43"/>
      <c r="M33" s="44"/>
      <c r="N33" s="40" t="str">
        <f aca="false">IF(M33="","",M33+Leyenda!$B$15)</f>
        <v/>
      </c>
      <c r="O33" s="48"/>
      <c r="P33" s="46"/>
      <c r="Q33" s="48"/>
      <c r="R33" s="46"/>
      <c r="S33" s="45" t="str">
        <f aca="false">IF(OR(D33="",M33=""),"",IFERROR(INDEX(Segmentación!$F$4:$F$18,MATCH(D33&amp;" | "&amp;E33,Segmentación!$W$4:$W$18,0))-O33,""))</f>
        <v/>
      </c>
      <c r="T33" s="41" t="str">
        <f aca="false">IF(OR(D33="",M33=""),"",IFERROR(INDEX(Segmentación!$H$4:$H$18,MATCH(D33&amp;" | "&amp;E33,Segmentación!$W$4:$W$18,0))-P33,""))</f>
        <v/>
      </c>
      <c r="U33" s="45" t="str">
        <f aca="false">IF(OR(D33="",M33=""),"",IFERROR(INDEX(Segmentación!$J$4:$J$18,MATCH(D33&amp;" | "&amp;E33,Segmentación!$W$4:$W$18,0))-Q33,""))</f>
        <v/>
      </c>
      <c r="V33" s="41" t="str">
        <f aca="false">IF(OR(D33="",M33=""),"",IFERROR(INDEX(Segmentación!$K$4:$K$18,MATCH(D33&amp;" | "&amp;E33,Segmentación!$W$4:$W$18,0))-R33,""))</f>
        <v/>
      </c>
      <c r="W33" s="42" t="str">
        <f aca="false">IF(OR(S33="",V33=""),"",IF(V33=0,"",T33/V33))</f>
        <v/>
      </c>
      <c r="X33" s="19" t="str">
        <f aca="true">IF(C33="","",IF(OR(D33="",ISNUMBER(SEARCH("negativa",C33))),IF(M33="","Pendiente de aplicar","Aplicado (no se evalúa)"),IF(M33="","Pendiente de aplicar",IF(S33="","Sin datos",IF(S33&lt;Leyenda!$B$13,"Esperando datos ("&amp;S33&amp;" de 10 clics)",IF(U33=0,"Empeora: "&amp;S33&amp;" clics sin venta",IF(TODAY()&lt;N33,"Esperando atribución (7 días)",IF(W33&lt;=J33,"Mejora (ACOS "&amp;TEXT(W33,"0%")&amp;")","Empeora (ACOS "&amp;TEXT(W33,"0%")&amp;")"))))))))</f>
        <v/>
      </c>
      <c r="Y33" s="18"/>
    </row>
    <row r="34" customFormat="false" ht="15" hidden="false" customHeight="false" outlineLevel="0" collapsed="false">
      <c r="A34" s="39" t="s">
        <v>245</v>
      </c>
      <c r="B34" s="44"/>
      <c r="C34" s="43"/>
      <c r="D34" s="18"/>
      <c r="E34" s="43"/>
      <c r="F34" s="46"/>
      <c r="G34" s="46"/>
      <c r="H34" s="42" t="str">
        <f aca="false">IF(OR(F34="",G34="",F34=0),"",G34/F34-1)</f>
        <v/>
      </c>
      <c r="I34" s="18"/>
      <c r="J34" s="47"/>
      <c r="K34" s="43"/>
      <c r="L34" s="43"/>
      <c r="M34" s="44"/>
      <c r="N34" s="40" t="str">
        <f aca="false">IF(M34="","",M34+Leyenda!$B$15)</f>
        <v/>
      </c>
      <c r="O34" s="48"/>
      <c r="P34" s="46"/>
      <c r="Q34" s="48"/>
      <c r="R34" s="46"/>
      <c r="S34" s="45" t="str">
        <f aca="false">IF(OR(D34="",M34=""),"",IFERROR(INDEX(Segmentación!$F$4:$F$18,MATCH(D34&amp;" | "&amp;E34,Segmentación!$W$4:$W$18,0))-O34,""))</f>
        <v/>
      </c>
      <c r="T34" s="41" t="str">
        <f aca="false">IF(OR(D34="",M34=""),"",IFERROR(INDEX(Segmentación!$H$4:$H$18,MATCH(D34&amp;" | "&amp;E34,Segmentación!$W$4:$W$18,0))-P34,""))</f>
        <v/>
      </c>
      <c r="U34" s="45" t="str">
        <f aca="false">IF(OR(D34="",M34=""),"",IFERROR(INDEX(Segmentación!$J$4:$J$18,MATCH(D34&amp;" | "&amp;E34,Segmentación!$W$4:$W$18,0))-Q34,""))</f>
        <v/>
      </c>
      <c r="V34" s="41" t="str">
        <f aca="false">IF(OR(D34="",M34=""),"",IFERROR(INDEX(Segmentación!$K$4:$K$18,MATCH(D34&amp;" | "&amp;E34,Segmentación!$W$4:$W$18,0))-R34,""))</f>
        <v/>
      </c>
      <c r="W34" s="42" t="str">
        <f aca="false">IF(OR(S34="",V34=""),"",IF(V34=0,"",T34/V34))</f>
        <v/>
      </c>
      <c r="X34" s="19" t="str">
        <f aca="true">IF(C34="","",IF(OR(D34="",ISNUMBER(SEARCH("negativa",C34))),IF(M34="","Pendiente de aplicar","Aplicado (no se evalúa)"),IF(M34="","Pendiente de aplicar",IF(S34="","Sin datos",IF(S34&lt;Leyenda!$B$13,"Esperando datos ("&amp;S34&amp;" de 10 clics)",IF(U34=0,"Empeora: "&amp;S34&amp;" clics sin venta",IF(TODAY()&lt;N34,"Esperando atribución (7 días)",IF(W34&lt;=J34,"Mejora (ACOS "&amp;TEXT(W34,"0%")&amp;")","Empeora (ACOS "&amp;TEXT(W34,"0%")&amp;")"))))))))</f>
        <v/>
      </c>
      <c r="Y34" s="18"/>
    </row>
    <row r="35" customFormat="false" ht="15" hidden="false" customHeight="false" outlineLevel="0" collapsed="false">
      <c r="A35" s="39" t="s">
        <v>246</v>
      </c>
      <c r="B35" s="44"/>
      <c r="C35" s="43"/>
      <c r="D35" s="18"/>
      <c r="E35" s="43"/>
      <c r="F35" s="46"/>
      <c r="G35" s="46"/>
      <c r="H35" s="42" t="str">
        <f aca="false">IF(OR(F35="",G35="",F35=0),"",G35/F35-1)</f>
        <v/>
      </c>
      <c r="I35" s="18"/>
      <c r="J35" s="47"/>
      <c r="K35" s="43"/>
      <c r="L35" s="43"/>
      <c r="M35" s="44"/>
      <c r="N35" s="40" t="str">
        <f aca="false">IF(M35="","",M35+Leyenda!$B$15)</f>
        <v/>
      </c>
      <c r="O35" s="48"/>
      <c r="P35" s="46"/>
      <c r="Q35" s="48"/>
      <c r="R35" s="46"/>
      <c r="S35" s="45" t="str">
        <f aca="false">IF(OR(D35="",M35=""),"",IFERROR(INDEX(Segmentación!$F$4:$F$18,MATCH(D35&amp;" | "&amp;E35,Segmentación!$W$4:$W$18,0))-O35,""))</f>
        <v/>
      </c>
      <c r="T35" s="41" t="str">
        <f aca="false">IF(OR(D35="",M35=""),"",IFERROR(INDEX(Segmentación!$H$4:$H$18,MATCH(D35&amp;" | "&amp;E35,Segmentación!$W$4:$W$18,0))-P35,""))</f>
        <v/>
      </c>
      <c r="U35" s="45" t="str">
        <f aca="false">IF(OR(D35="",M35=""),"",IFERROR(INDEX(Segmentación!$J$4:$J$18,MATCH(D35&amp;" | "&amp;E35,Segmentación!$W$4:$W$18,0))-Q35,""))</f>
        <v/>
      </c>
      <c r="V35" s="41" t="str">
        <f aca="false">IF(OR(D35="",M35=""),"",IFERROR(INDEX(Segmentación!$K$4:$K$18,MATCH(D35&amp;" | "&amp;E35,Segmentación!$W$4:$W$18,0))-R35,""))</f>
        <v/>
      </c>
      <c r="W35" s="42" t="str">
        <f aca="false">IF(OR(S35="",V35=""),"",IF(V35=0,"",T35/V35))</f>
        <v/>
      </c>
      <c r="X35" s="19" t="str">
        <f aca="true">IF(C35="","",IF(OR(D35="",ISNUMBER(SEARCH("negativa",C35))),IF(M35="","Pendiente de aplicar","Aplicado (no se evalúa)"),IF(M35="","Pendiente de aplicar",IF(S35="","Sin datos",IF(S35&lt;Leyenda!$B$13,"Esperando datos ("&amp;S35&amp;" de 10 clics)",IF(U35=0,"Empeora: "&amp;S35&amp;" clics sin venta",IF(TODAY()&lt;N35,"Esperando atribución (7 días)",IF(W35&lt;=J35,"Mejora (ACOS "&amp;TEXT(W35,"0%")&amp;")","Empeora (ACOS "&amp;TEXT(W35,"0%")&amp;")"))))))))</f>
        <v/>
      </c>
      <c r="Y35" s="18"/>
    </row>
    <row r="36" customFormat="false" ht="15" hidden="false" customHeight="false" outlineLevel="0" collapsed="false">
      <c r="A36" s="39" t="s">
        <v>247</v>
      </c>
      <c r="B36" s="44"/>
      <c r="C36" s="43"/>
      <c r="D36" s="18"/>
      <c r="E36" s="43"/>
      <c r="F36" s="46"/>
      <c r="G36" s="46"/>
      <c r="H36" s="42" t="str">
        <f aca="false">IF(OR(F36="",G36="",F36=0),"",G36/F36-1)</f>
        <v/>
      </c>
      <c r="I36" s="18"/>
      <c r="J36" s="47"/>
      <c r="K36" s="43"/>
      <c r="L36" s="43"/>
      <c r="M36" s="44"/>
      <c r="N36" s="40" t="str">
        <f aca="false">IF(M36="","",M36+Leyenda!$B$15)</f>
        <v/>
      </c>
      <c r="O36" s="48"/>
      <c r="P36" s="46"/>
      <c r="Q36" s="48"/>
      <c r="R36" s="46"/>
      <c r="S36" s="45" t="str">
        <f aca="false">IF(OR(D36="",M36=""),"",IFERROR(INDEX(Segmentación!$F$4:$F$18,MATCH(D36&amp;" | "&amp;E36,Segmentación!$W$4:$W$18,0))-O36,""))</f>
        <v/>
      </c>
      <c r="T36" s="41" t="str">
        <f aca="false">IF(OR(D36="",M36=""),"",IFERROR(INDEX(Segmentación!$H$4:$H$18,MATCH(D36&amp;" | "&amp;E36,Segmentación!$W$4:$W$18,0))-P36,""))</f>
        <v/>
      </c>
      <c r="U36" s="45" t="str">
        <f aca="false">IF(OR(D36="",M36=""),"",IFERROR(INDEX(Segmentación!$J$4:$J$18,MATCH(D36&amp;" | "&amp;E36,Segmentación!$W$4:$W$18,0))-Q36,""))</f>
        <v/>
      </c>
      <c r="V36" s="41" t="str">
        <f aca="false">IF(OR(D36="",M36=""),"",IFERROR(INDEX(Segmentación!$K$4:$K$18,MATCH(D36&amp;" | "&amp;E36,Segmentación!$W$4:$W$18,0))-R36,""))</f>
        <v/>
      </c>
      <c r="W36" s="42" t="str">
        <f aca="false">IF(OR(S36="",V36=""),"",IF(V36=0,"",T36/V36))</f>
        <v/>
      </c>
      <c r="X36" s="19" t="str">
        <f aca="true">IF(C36="","",IF(OR(D36="",ISNUMBER(SEARCH("negativa",C36))),IF(M36="","Pendiente de aplicar","Aplicado (no se evalúa)"),IF(M36="","Pendiente de aplicar",IF(S36="","Sin datos",IF(S36&lt;Leyenda!$B$13,"Esperando datos ("&amp;S36&amp;" de 10 clics)",IF(U36=0,"Empeora: "&amp;S36&amp;" clics sin venta",IF(TODAY()&lt;N36,"Esperando atribución (7 días)",IF(W36&lt;=J36,"Mejora (ACOS "&amp;TEXT(W36,"0%")&amp;")","Empeora (ACOS "&amp;TEXT(W36,"0%")&amp;")"))))))))</f>
        <v/>
      </c>
      <c r="Y36" s="18"/>
    </row>
    <row r="37" customFormat="false" ht="15" hidden="false" customHeight="false" outlineLevel="0" collapsed="false">
      <c r="A37" s="39" t="s">
        <v>248</v>
      </c>
      <c r="B37" s="44"/>
      <c r="C37" s="43"/>
      <c r="D37" s="18"/>
      <c r="E37" s="43"/>
      <c r="F37" s="46"/>
      <c r="G37" s="46"/>
      <c r="H37" s="42" t="str">
        <f aca="false">IF(OR(F37="",G37="",F37=0),"",G37/F37-1)</f>
        <v/>
      </c>
      <c r="I37" s="18"/>
      <c r="J37" s="47"/>
      <c r="K37" s="43"/>
      <c r="L37" s="43"/>
      <c r="M37" s="44"/>
      <c r="N37" s="40" t="str">
        <f aca="false">IF(M37="","",M37+Leyenda!$B$15)</f>
        <v/>
      </c>
      <c r="O37" s="48"/>
      <c r="P37" s="46"/>
      <c r="Q37" s="48"/>
      <c r="R37" s="46"/>
      <c r="S37" s="45" t="str">
        <f aca="false">IF(OR(D37="",M37=""),"",IFERROR(INDEX(Segmentación!$F$4:$F$18,MATCH(D37&amp;" | "&amp;E37,Segmentación!$W$4:$W$18,0))-O37,""))</f>
        <v/>
      </c>
      <c r="T37" s="41" t="str">
        <f aca="false">IF(OR(D37="",M37=""),"",IFERROR(INDEX(Segmentación!$H$4:$H$18,MATCH(D37&amp;" | "&amp;E37,Segmentación!$W$4:$W$18,0))-P37,""))</f>
        <v/>
      </c>
      <c r="U37" s="45" t="str">
        <f aca="false">IF(OR(D37="",M37=""),"",IFERROR(INDEX(Segmentación!$J$4:$J$18,MATCH(D37&amp;" | "&amp;E37,Segmentación!$W$4:$W$18,0))-Q37,""))</f>
        <v/>
      </c>
      <c r="V37" s="41" t="str">
        <f aca="false">IF(OR(D37="",M37=""),"",IFERROR(INDEX(Segmentación!$K$4:$K$18,MATCH(D37&amp;" | "&amp;E37,Segmentación!$W$4:$W$18,0))-R37,""))</f>
        <v/>
      </c>
      <c r="W37" s="42" t="str">
        <f aca="false">IF(OR(S37="",V37=""),"",IF(V37=0,"",T37/V37))</f>
        <v/>
      </c>
      <c r="X37" s="19" t="str">
        <f aca="true">IF(C37="","",IF(OR(D37="",ISNUMBER(SEARCH("negativa",C37))),IF(M37="","Pendiente de aplicar","Aplicado (no se evalúa)"),IF(M37="","Pendiente de aplicar",IF(S37="","Sin datos",IF(S37&lt;Leyenda!$B$13,"Esperando datos ("&amp;S37&amp;" de 10 clics)",IF(U37=0,"Empeora: "&amp;S37&amp;" clics sin venta",IF(TODAY()&lt;N37,"Esperando atribución (7 días)",IF(W37&lt;=J37,"Mejora (ACOS "&amp;TEXT(W37,"0%")&amp;")","Empeora (ACOS "&amp;TEXT(W37,"0%")&amp;")"))))))))</f>
        <v/>
      </c>
      <c r="Y37" s="18"/>
    </row>
    <row r="38" customFormat="false" ht="15" hidden="false" customHeight="false" outlineLevel="0" collapsed="false">
      <c r="A38" s="39" t="s">
        <v>249</v>
      </c>
      <c r="B38" s="44"/>
      <c r="C38" s="43"/>
      <c r="D38" s="18"/>
      <c r="E38" s="43"/>
      <c r="F38" s="46"/>
      <c r="G38" s="46"/>
      <c r="H38" s="42" t="str">
        <f aca="false">IF(OR(F38="",G38="",F38=0),"",G38/F38-1)</f>
        <v/>
      </c>
      <c r="I38" s="18"/>
      <c r="J38" s="47"/>
      <c r="K38" s="43"/>
      <c r="L38" s="43"/>
      <c r="M38" s="44"/>
      <c r="N38" s="40" t="str">
        <f aca="false">IF(M38="","",M38+Leyenda!$B$15)</f>
        <v/>
      </c>
      <c r="O38" s="48"/>
      <c r="P38" s="46"/>
      <c r="Q38" s="48"/>
      <c r="R38" s="46"/>
      <c r="S38" s="45" t="str">
        <f aca="false">IF(OR(D38="",M38=""),"",IFERROR(INDEX(Segmentación!$F$4:$F$18,MATCH(D38&amp;" | "&amp;E38,Segmentación!$W$4:$W$18,0))-O38,""))</f>
        <v/>
      </c>
      <c r="T38" s="41" t="str">
        <f aca="false">IF(OR(D38="",M38=""),"",IFERROR(INDEX(Segmentación!$H$4:$H$18,MATCH(D38&amp;" | "&amp;E38,Segmentación!$W$4:$W$18,0))-P38,""))</f>
        <v/>
      </c>
      <c r="U38" s="45" t="str">
        <f aca="false">IF(OR(D38="",M38=""),"",IFERROR(INDEX(Segmentación!$J$4:$J$18,MATCH(D38&amp;" | "&amp;E38,Segmentación!$W$4:$W$18,0))-Q38,""))</f>
        <v/>
      </c>
      <c r="V38" s="41" t="str">
        <f aca="false">IF(OR(D38="",M38=""),"",IFERROR(INDEX(Segmentación!$K$4:$K$18,MATCH(D38&amp;" | "&amp;E38,Segmentación!$W$4:$W$18,0))-R38,""))</f>
        <v/>
      </c>
      <c r="W38" s="42" t="str">
        <f aca="false">IF(OR(S38="",V38=""),"",IF(V38=0,"",T38/V38))</f>
        <v/>
      </c>
      <c r="X38" s="19" t="str">
        <f aca="true">IF(C38="","",IF(OR(D38="",ISNUMBER(SEARCH("negativa",C38))),IF(M38="","Pendiente de aplicar","Aplicado (no se evalúa)"),IF(M38="","Pendiente de aplicar",IF(S38="","Sin datos",IF(S38&lt;Leyenda!$B$13,"Esperando datos ("&amp;S38&amp;" de 10 clics)",IF(U38=0,"Empeora: "&amp;S38&amp;" clics sin venta",IF(TODAY()&lt;N38,"Esperando atribución (7 días)",IF(W38&lt;=J38,"Mejora (ACOS "&amp;TEXT(W38,"0%")&amp;")","Empeora (ACOS "&amp;TEXT(W38,"0%")&amp;")"))))))))</f>
        <v/>
      </c>
      <c r="Y38" s="18"/>
    </row>
    <row r="39" customFormat="false" ht="15" hidden="false" customHeight="false" outlineLevel="0" collapsed="false">
      <c r="A39" s="39" t="s">
        <v>250</v>
      </c>
      <c r="B39" s="44"/>
      <c r="C39" s="43"/>
      <c r="D39" s="18"/>
      <c r="E39" s="43"/>
      <c r="F39" s="46"/>
      <c r="G39" s="46"/>
      <c r="H39" s="42" t="str">
        <f aca="false">IF(OR(F39="",G39="",F39=0),"",G39/F39-1)</f>
        <v/>
      </c>
      <c r="I39" s="18"/>
      <c r="J39" s="47"/>
      <c r="K39" s="43"/>
      <c r="L39" s="43"/>
      <c r="M39" s="44"/>
      <c r="N39" s="40" t="str">
        <f aca="false">IF(M39="","",M39+Leyenda!$B$15)</f>
        <v/>
      </c>
      <c r="O39" s="48"/>
      <c r="P39" s="46"/>
      <c r="Q39" s="48"/>
      <c r="R39" s="46"/>
      <c r="S39" s="45" t="str">
        <f aca="false">IF(OR(D39="",M39=""),"",IFERROR(INDEX(Segmentación!$F$4:$F$18,MATCH(D39&amp;" | "&amp;E39,Segmentación!$W$4:$W$18,0))-O39,""))</f>
        <v/>
      </c>
      <c r="T39" s="41" t="str">
        <f aca="false">IF(OR(D39="",M39=""),"",IFERROR(INDEX(Segmentación!$H$4:$H$18,MATCH(D39&amp;" | "&amp;E39,Segmentación!$W$4:$W$18,0))-P39,""))</f>
        <v/>
      </c>
      <c r="U39" s="45" t="str">
        <f aca="false">IF(OR(D39="",M39=""),"",IFERROR(INDEX(Segmentación!$J$4:$J$18,MATCH(D39&amp;" | "&amp;E39,Segmentación!$W$4:$W$18,0))-Q39,""))</f>
        <v/>
      </c>
      <c r="V39" s="41" t="str">
        <f aca="false">IF(OR(D39="",M39=""),"",IFERROR(INDEX(Segmentación!$K$4:$K$18,MATCH(D39&amp;" | "&amp;E39,Segmentación!$W$4:$W$18,0))-R39,""))</f>
        <v/>
      </c>
      <c r="W39" s="42" t="str">
        <f aca="false">IF(OR(S39="",V39=""),"",IF(V39=0,"",T39/V39))</f>
        <v/>
      </c>
      <c r="X39" s="19" t="str">
        <f aca="true">IF(C39="","",IF(OR(D39="",ISNUMBER(SEARCH("negativa",C39))),IF(M39="","Pendiente de aplicar","Aplicado (no se evalúa)"),IF(M39="","Pendiente de aplicar",IF(S39="","Sin datos",IF(S39&lt;Leyenda!$B$13,"Esperando datos ("&amp;S39&amp;" de 10 clics)",IF(U39=0,"Empeora: "&amp;S39&amp;" clics sin venta",IF(TODAY()&lt;N39,"Esperando atribución (7 días)",IF(W39&lt;=J39,"Mejora (ACOS "&amp;TEXT(W39,"0%")&amp;")","Empeora (ACOS "&amp;TEXT(W39,"0%")&amp;")"))))))))</f>
        <v/>
      </c>
      <c r="Y39" s="18"/>
    </row>
    <row r="40" customFormat="false" ht="15" hidden="false" customHeight="false" outlineLevel="0" collapsed="false">
      <c r="A40" s="39" t="s">
        <v>251</v>
      </c>
      <c r="B40" s="44"/>
      <c r="C40" s="43"/>
      <c r="D40" s="18"/>
      <c r="E40" s="43"/>
      <c r="F40" s="46"/>
      <c r="G40" s="46"/>
      <c r="H40" s="42" t="str">
        <f aca="false">IF(OR(F40="",G40="",F40=0),"",G40/F40-1)</f>
        <v/>
      </c>
      <c r="I40" s="18"/>
      <c r="J40" s="47"/>
      <c r="K40" s="43"/>
      <c r="L40" s="43"/>
      <c r="M40" s="44"/>
      <c r="N40" s="40" t="str">
        <f aca="false">IF(M40="","",M40+Leyenda!$B$15)</f>
        <v/>
      </c>
      <c r="O40" s="48"/>
      <c r="P40" s="46"/>
      <c r="Q40" s="48"/>
      <c r="R40" s="46"/>
      <c r="S40" s="45" t="str">
        <f aca="false">IF(OR(D40="",M40=""),"",IFERROR(INDEX(Segmentación!$F$4:$F$18,MATCH(D40&amp;" | "&amp;E40,Segmentación!$W$4:$W$18,0))-O40,""))</f>
        <v/>
      </c>
      <c r="T40" s="41" t="str">
        <f aca="false">IF(OR(D40="",M40=""),"",IFERROR(INDEX(Segmentación!$H$4:$H$18,MATCH(D40&amp;" | "&amp;E40,Segmentación!$W$4:$W$18,0))-P40,""))</f>
        <v/>
      </c>
      <c r="U40" s="45" t="str">
        <f aca="false">IF(OR(D40="",M40=""),"",IFERROR(INDEX(Segmentación!$J$4:$J$18,MATCH(D40&amp;" | "&amp;E40,Segmentación!$W$4:$W$18,0))-Q40,""))</f>
        <v/>
      </c>
      <c r="V40" s="41" t="str">
        <f aca="false">IF(OR(D40="",M40=""),"",IFERROR(INDEX(Segmentación!$K$4:$K$18,MATCH(D40&amp;" | "&amp;E40,Segmentación!$W$4:$W$18,0))-R40,""))</f>
        <v/>
      </c>
      <c r="W40" s="42" t="str">
        <f aca="false">IF(OR(S40="",V40=""),"",IF(V40=0,"",T40/V40))</f>
        <v/>
      </c>
      <c r="X40" s="19" t="str">
        <f aca="true">IF(C40="","",IF(OR(D40="",ISNUMBER(SEARCH("negativa",C40))),IF(M40="","Pendiente de aplicar","Aplicado (no se evalúa)"),IF(M40="","Pendiente de aplicar",IF(S40="","Sin datos",IF(S40&lt;Leyenda!$B$13,"Esperando datos ("&amp;S40&amp;" de 10 clics)",IF(U40=0,"Empeora: "&amp;S40&amp;" clics sin venta",IF(TODAY()&lt;N40,"Esperando atribución (7 días)",IF(W40&lt;=J40,"Mejora (ACOS "&amp;TEXT(W40,"0%")&amp;")","Empeora (ACOS "&amp;TEXT(W40,"0%")&amp;")"))))))))</f>
        <v/>
      </c>
      <c r="Y40" s="18"/>
    </row>
    <row r="41" customFormat="false" ht="15" hidden="false" customHeight="false" outlineLevel="0" collapsed="false">
      <c r="A41" s="39" t="s">
        <v>252</v>
      </c>
      <c r="B41" s="44"/>
      <c r="C41" s="43"/>
      <c r="D41" s="18"/>
      <c r="E41" s="43"/>
      <c r="F41" s="46"/>
      <c r="G41" s="46"/>
      <c r="H41" s="42" t="str">
        <f aca="false">IF(OR(F41="",G41="",F41=0),"",G41/F41-1)</f>
        <v/>
      </c>
      <c r="I41" s="18"/>
      <c r="J41" s="47"/>
      <c r="K41" s="43"/>
      <c r="L41" s="43"/>
      <c r="M41" s="44"/>
      <c r="N41" s="40" t="str">
        <f aca="false">IF(M41="","",M41+Leyenda!$B$15)</f>
        <v/>
      </c>
      <c r="O41" s="48"/>
      <c r="P41" s="46"/>
      <c r="Q41" s="48"/>
      <c r="R41" s="46"/>
      <c r="S41" s="45" t="str">
        <f aca="false">IF(OR(D41="",M41=""),"",IFERROR(INDEX(Segmentación!$F$4:$F$18,MATCH(D41&amp;" | "&amp;E41,Segmentación!$W$4:$W$18,0))-O41,""))</f>
        <v/>
      </c>
      <c r="T41" s="41" t="str">
        <f aca="false">IF(OR(D41="",M41=""),"",IFERROR(INDEX(Segmentación!$H$4:$H$18,MATCH(D41&amp;" | "&amp;E41,Segmentación!$W$4:$W$18,0))-P41,""))</f>
        <v/>
      </c>
      <c r="U41" s="45" t="str">
        <f aca="false">IF(OR(D41="",M41=""),"",IFERROR(INDEX(Segmentación!$J$4:$J$18,MATCH(D41&amp;" | "&amp;E41,Segmentación!$W$4:$W$18,0))-Q41,""))</f>
        <v/>
      </c>
      <c r="V41" s="41" t="str">
        <f aca="false">IF(OR(D41="",M41=""),"",IFERROR(INDEX(Segmentación!$K$4:$K$18,MATCH(D41&amp;" | "&amp;E41,Segmentación!$W$4:$W$18,0))-R41,""))</f>
        <v/>
      </c>
      <c r="W41" s="42" t="str">
        <f aca="false">IF(OR(S41="",V41=""),"",IF(V41=0,"",T41/V41))</f>
        <v/>
      </c>
      <c r="X41" s="19" t="str">
        <f aca="true">IF(C41="","",IF(OR(D41="",ISNUMBER(SEARCH("negativa",C41))),IF(M41="","Pendiente de aplicar","Aplicado (no se evalúa)"),IF(M41="","Pendiente de aplicar",IF(S41="","Sin datos",IF(S41&lt;Leyenda!$B$13,"Esperando datos ("&amp;S41&amp;" de 10 clics)",IF(U41=0,"Empeora: "&amp;S41&amp;" clics sin venta",IF(TODAY()&lt;N41,"Esperando atribución (7 días)",IF(W41&lt;=J41,"Mejora (ACOS "&amp;TEXT(W41,"0%")&amp;")","Empeora (ACOS "&amp;TEXT(W41,"0%")&amp;")"))))))))</f>
        <v/>
      </c>
      <c r="Y41" s="18"/>
    </row>
    <row r="42" customFormat="false" ht="15" hidden="false" customHeight="false" outlineLevel="0" collapsed="false">
      <c r="A42" s="39" t="s">
        <v>253</v>
      </c>
      <c r="B42" s="44"/>
      <c r="C42" s="43"/>
      <c r="D42" s="18"/>
      <c r="E42" s="43"/>
      <c r="F42" s="46"/>
      <c r="G42" s="46"/>
      <c r="H42" s="42" t="str">
        <f aca="false">IF(OR(F42="",G42="",F42=0),"",G42/F42-1)</f>
        <v/>
      </c>
      <c r="I42" s="18"/>
      <c r="J42" s="47"/>
      <c r="K42" s="43"/>
      <c r="L42" s="43"/>
      <c r="M42" s="44"/>
      <c r="N42" s="40" t="str">
        <f aca="false">IF(M42="","",M42+Leyenda!$B$15)</f>
        <v/>
      </c>
      <c r="O42" s="48"/>
      <c r="P42" s="46"/>
      <c r="Q42" s="48"/>
      <c r="R42" s="46"/>
      <c r="S42" s="45" t="str">
        <f aca="false">IF(OR(D42="",M42=""),"",IFERROR(INDEX(Segmentación!$F$4:$F$18,MATCH(D42&amp;" | "&amp;E42,Segmentación!$W$4:$W$18,0))-O42,""))</f>
        <v/>
      </c>
      <c r="T42" s="41" t="str">
        <f aca="false">IF(OR(D42="",M42=""),"",IFERROR(INDEX(Segmentación!$H$4:$H$18,MATCH(D42&amp;" | "&amp;E42,Segmentación!$W$4:$W$18,0))-P42,""))</f>
        <v/>
      </c>
      <c r="U42" s="45" t="str">
        <f aca="false">IF(OR(D42="",M42=""),"",IFERROR(INDEX(Segmentación!$J$4:$J$18,MATCH(D42&amp;" | "&amp;E42,Segmentación!$W$4:$W$18,0))-Q42,""))</f>
        <v/>
      </c>
      <c r="V42" s="41" t="str">
        <f aca="false">IF(OR(D42="",M42=""),"",IFERROR(INDEX(Segmentación!$K$4:$K$18,MATCH(D42&amp;" | "&amp;E42,Segmentación!$W$4:$W$18,0))-R42,""))</f>
        <v/>
      </c>
      <c r="W42" s="42" t="str">
        <f aca="false">IF(OR(S42="",V42=""),"",IF(V42=0,"",T42/V42))</f>
        <v/>
      </c>
      <c r="X42" s="19" t="str">
        <f aca="true">IF(C42="","",IF(OR(D42="",ISNUMBER(SEARCH("negativa",C42))),IF(M42="","Pendiente de aplicar","Aplicado (no se evalúa)"),IF(M42="","Pendiente de aplicar",IF(S42="","Sin datos",IF(S42&lt;Leyenda!$B$13,"Esperando datos ("&amp;S42&amp;" de 10 clics)",IF(U42=0,"Empeora: "&amp;S42&amp;" clics sin venta",IF(TODAY()&lt;N42,"Esperando atribución (7 días)",IF(W42&lt;=J42,"Mejora (ACOS "&amp;TEXT(W42,"0%")&amp;")","Empeora (ACOS "&amp;TEXT(W42,"0%")&amp;")"))))))))</f>
        <v/>
      </c>
      <c r="Y42" s="18"/>
    </row>
    <row r="43" customFormat="false" ht="15" hidden="false" customHeight="false" outlineLevel="0" collapsed="false">
      <c r="A43" s="39" t="s">
        <v>254</v>
      </c>
      <c r="B43" s="44"/>
      <c r="C43" s="43"/>
      <c r="D43" s="18"/>
      <c r="E43" s="43"/>
      <c r="F43" s="46"/>
      <c r="G43" s="46"/>
      <c r="H43" s="42" t="str">
        <f aca="false">IF(OR(F43="",G43="",F43=0),"",G43/F43-1)</f>
        <v/>
      </c>
      <c r="I43" s="18"/>
      <c r="J43" s="47"/>
      <c r="K43" s="43"/>
      <c r="L43" s="43"/>
      <c r="M43" s="44"/>
      <c r="N43" s="40" t="str">
        <f aca="false">IF(M43="","",M43+Leyenda!$B$15)</f>
        <v/>
      </c>
      <c r="O43" s="48"/>
      <c r="P43" s="46"/>
      <c r="Q43" s="48"/>
      <c r="R43" s="46"/>
      <c r="S43" s="45" t="str">
        <f aca="false">IF(OR(D43="",M43=""),"",IFERROR(INDEX(Segmentación!$F$4:$F$18,MATCH(D43&amp;" | "&amp;E43,Segmentación!$W$4:$W$18,0))-O43,""))</f>
        <v/>
      </c>
      <c r="T43" s="41" t="str">
        <f aca="false">IF(OR(D43="",M43=""),"",IFERROR(INDEX(Segmentación!$H$4:$H$18,MATCH(D43&amp;" | "&amp;E43,Segmentación!$W$4:$W$18,0))-P43,""))</f>
        <v/>
      </c>
      <c r="U43" s="45" t="str">
        <f aca="false">IF(OR(D43="",M43=""),"",IFERROR(INDEX(Segmentación!$J$4:$J$18,MATCH(D43&amp;" | "&amp;E43,Segmentación!$W$4:$W$18,0))-Q43,""))</f>
        <v/>
      </c>
      <c r="V43" s="41" t="str">
        <f aca="false">IF(OR(D43="",M43=""),"",IFERROR(INDEX(Segmentación!$K$4:$K$18,MATCH(D43&amp;" | "&amp;E43,Segmentación!$W$4:$W$18,0))-R43,""))</f>
        <v/>
      </c>
      <c r="W43" s="42" t="str">
        <f aca="false">IF(OR(S43="",V43=""),"",IF(V43=0,"",T43/V43))</f>
        <v/>
      </c>
      <c r="X43" s="19" t="str">
        <f aca="true">IF(C43="","",IF(OR(D43="",ISNUMBER(SEARCH("negativa",C43))),IF(M43="","Pendiente de aplicar","Aplicado (no se evalúa)"),IF(M43="","Pendiente de aplicar",IF(S43="","Sin datos",IF(S43&lt;Leyenda!$B$13,"Esperando datos ("&amp;S43&amp;" de 10 clics)",IF(U43=0,"Empeora: "&amp;S43&amp;" clics sin venta",IF(TODAY()&lt;N43,"Esperando atribución (7 días)",IF(W43&lt;=J43,"Mejora (ACOS "&amp;TEXT(W43,"0%")&amp;")","Empeora (ACOS "&amp;TEXT(W43,"0%")&amp;")"))))))))</f>
        <v/>
      </c>
      <c r="Y43" s="18"/>
    </row>
    <row r="44" customFormat="false" ht="15" hidden="false" customHeight="false" outlineLevel="0" collapsed="false">
      <c r="A44" s="39" t="s">
        <v>255</v>
      </c>
      <c r="B44" s="44"/>
      <c r="C44" s="43"/>
      <c r="D44" s="18"/>
      <c r="E44" s="43"/>
      <c r="F44" s="46"/>
      <c r="G44" s="46"/>
      <c r="H44" s="42" t="str">
        <f aca="false">IF(OR(F44="",G44="",F44=0),"",G44/F44-1)</f>
        <v/>
      </c>
      <c r="I44" s="18"/>
      <c r="J44" s="47"/>
      <c r="K44" s="43"/>
      <c r="L44" s="43"/>
      <c r="M44" s="44"/>
      <c r="N44" s="40" t="str">
        <f aca="false">IF(M44="","",M44+Leyenda!$B$15)</f>
        <v/>
      </c>
      <c r="O44" s="48"/>
      <c r="P44" s="46"/>
      <c r="Q44" s="48"/>
      <c r="R44" s="46"/>
      <c r="S44" s="45" t="str">
        <f aca="false">IF(OR(D44="",M44=""),"",IFERROR(INDEX(Segmentación!$F$4:$F$18,MATCH(D44&amp;" | "&amp;E44,Segmentación!$W$4:$W$18,0))-O44,""))</f>
        <v/>
      </c>
      <c r="T44" s="41" t="str">
        <f aca="false">IF(OR(D44="",M44=""),"",IFERROR(INDEX(Segmentación!$H$4:$H$18,MATCH(D44&amp;" | "&amp;E44,Segmentación!$W$4:$W$18,0))-P44,""))</f>
        <v/>
      </c>
      <c r="U44" s="45" t="str">
        <f aca="false">IF(OR(D44="",M44=""),"",IFERROR(INDEX(Segmentación!$J$4:$J$18,MATCH(D44&amp;" | "&amp;E44,Segmentación!$W$4:$W$18,0))-Q44,""))</f>
        <v/>
      </c>
      <c r="V44" s="41" t="str">
        <f aca="false">IF(OR(D44="",M44=""),"",IFERROR(INDEX(Segmentación!$K$4:$K$18,MATCH(D44&amp;" | "&amp;E44,Segmentación!$W$4:$W$18,0))-R44,""))</f>
        <v/>
      </c>
      <c r="W44" s="42" t="str">
        <f aca="false">IF(OR(S44="",V44=""),"",IF(V44=0,"",T44/V44))</f>
        <v/>
      </c>
      <c r="X44" s="19" t="str">
        <f aca="true">IF(C44="","",IF(OR(D44="",ISNUMBER(SEARCH("negativa",C44))),IF(M44="","Pendiente de aplicar","Aplicado (no se evalúa)"),IF(M44="","Pendiente de aplicar",IF(S44="","Sin datos",IF(S44&lt;Leyenda!$B$13,"Esperando datos ("&amp;S44&amp;" de 10 clics)",IF(U44=0,"Empeora: "&amp;S44&amp;" clics sin venta",IF(TODAY()&lt;N44,"Esperando atribución (7 días)",IF(W44&lt;=J44,"Mejora (ACOS "&amp;TEXT(W44,"0%")&amp;")","Empeora (ACOS "&amp;TEXT(W44,"0%")&amp;")"))))))))</f>
        <v/>
      </c>
      <c r="Y44" s="18"/>
    </row>
    <row r="45" customFormat="false" ht="15" hidden="false" customHeight="false" outlineLevel="0" collapsed="false">
      <c r="A45" s="39" t="s">
        <v>256</v>
      </c>
      <c r="B45" s="44"/>
      <c r="C45" s="43"/>
      <c r="D45" s="18"/>
      <c r="E45" s="43"/>
      <c r="F45" s="46"/>
      <c r="G45" s="46"/>
      <c r="H45" s="42" t="str">
        <f aca="false">IF(OR(F45="",G45="",F45=0),"",G45/F45-1)</f>
        <v/>
      </c>
      <c r="I45" s="18"/>
      <c r="J45" s="47"/>
      <c r="K45" s="43"/>
      <c r="L45" s="43"/>
      <c r="M45" s="44"/>
      <c r="N45" s="40" t="str">
        <f aca="false">IF(M45="","",M45+Leyenda!$B$15)</f>
        <v/>
      </c>
      <c r="O45" s="48"/>
      <c r="P45" s="46"/>
      <c r="Q45" s="48"/>
      <c r="R45" s="46"/>
      <c r="S45" s="45" t="str">
        <f aca="false">IF(OR(D45="",M45=""),"",IFERROR(INDEX(Segmentación!$F$4:$F$18,MATCH(D45&amp;" | "&amp;E45,Segmentación!$W$4:$W$18,0))-O45,""))</f>
        <v/>
      </c>
      <c r="T45" s="41" t="str">
        <f aca="false">IF(OR(D45="",M45=""),"",IFERROR(INDEX(Segmentación!$H$4:$H$18,MATCH(D45&amp;" | "&amp;E45,Segmentación!$W$4:$W$18,0))-P45,""))</f>
        <v/>
      </c>
      <c r="U45" s="45" t="str">
        <f aca="false">IF(OR(D45="",M45=""),"",IFERROR(INDEX(Segmentación!$J$4:$J$18,MATCH(D45&amp;" | "&amp;E45,Segmentación!$W$4:$W$18,0))-Q45,""))</f>
        <v/>
      </c>
      <c r="V45" s="41" t="str">
        <f aca="false">IF(OR(D45="",M45=""),"",IFERROR(INDEX(Segmentación!$K$4:$K$18,MATCH(D45&amp;" | "&amp;E45,Segmentación!$W$4:$W$18,0))-R45,""))</f>
        <v/>
      </c>
      <c r="W45" s="42" t="str">
        <f aca="false">IF(OR(S45="",V45=""),"",IF(V45=0,"",T45/V45))</f>
        <v/>
      </c>
      <c r="X45" s="19" t="str">
        <f aca="true">IF(C45="","",IF(OR(D45="",ISNUMBER(SEARCH("negativa",C45))),IF(M45="","Pendiente de aplicar","Aplicado (no se evalúa)"),IF(M45="","Pendiente de aplicar",IF(S45="","Sin datos",IF(S45&lt;Leyenda!$B$13,"Esperando datos ("&amp;S45&amp;" de 10 clics)",IF(U45=0,"Empeora: "&amp;S45&amp;" clics sin venta",IF(TODAY()&lt;N45,"Esperando atribución (7 días)",IF(W45&lt;=J45,"Mejora (ACOS "&amp;TEXT(W45,"0%")&amp;")","Empeora (ACOS "&amp;TEXT(W45,"0%")&amp;")"))))))))</f>
        <v/>
      </c>
      <c r="Y45" s="18"/>
    </row>
    <row r="46" customFormat="false" ht="15" hidden="false" customHeight="false" outlineLevel="0" collapsed="false">
      <c r="A46" s="39" t="s">
        <v>257</v>
      </c>
      <c r="B46" s="44"/>
      <c r="C46" s="43"/>
      <c r="D46" s="18"/>
      <c r="E46" s="43"/>
      <c r="F46" s="46"/>
      <c r="G46" s="46"/>
      <c r="H46" s="42" t="str">
        <f aca="false">IF(OR(F46="",G46="",F46=0),"",G46/F46-1)</f>
        <v/>
      </c>
      <c r="I46" s="18"/>
      <c r="J46" s="47"/>
      <c r="K46" s="43"/>
      <c r="L46" s="43"/>
      <c r="M46" s="44"/>
      <c r="N46" s="40" t="str">
        <f aca="false">IF(M46="","",M46+Leyenda!$B$15)</f>
        <v/>
      </c>
      <c r="O46" s="48"/>
      <c r="P46" s="46"/>
      <c r="Q46" s="48"/>
      <c r="R46" s="46"/>
      <c r="S46" s="45" t="str">
        <f aca="false">IF(OR(D46="",M46=""),"",IFERROR(INDEX(Segmentación!$F$4:$F$18,MATCH(D46&amp;" | "&amp;E46,Segmentación!$W$4:$W$18,0))-O46,""))</f>
        <v/>
      </c>
      <c r="T46" s="41" t="str">
        <f aca="false">IF(OR(D46="",M46=""),"",IFERROR(INDEX(Segmentación!$H$4:$H$18,MATCH(D46&amp;" | "&amp;E46,Segmentación!$W$4:$W$18,0))-P46,""))</f>
        <v/>
      </c>
      <c r="U46" s="45" t="str">
        <f aca="false">IF(OR(D46="",M46=""),"",IFERROR(INDEX(Segmentación!$J$4:$J$18,MATCH(D46&amp;" | "&amp;E46,Segmentación!$W$4:$W$18,0))-Q46,""))</f>
        <v/>
      </c>
      <c r="V46" s="41" t="str">
        <f aca="false">IF(OR(D46="",M46=""),"",IFERROR(INDEX(Segmentación!$K$4:$K$18,MATCH(D46&amp;" | "&amp;E46,Segmentación!$W$4:$W$18,0))-R46,""))</f>
        <v/>
      </c>
      <c r="W46" s="42" t="str">
        <f aca="false">IF(OR(S46="",V46=""),"",IF(V46=0,"",T46/V46))</f>
        <v/>
      </c>
      <c r="X46" s="19" t="str">
        <f aca="true">IF(C46="","",IF(OR(D46="",ISNUMBER(SEARCH("negativa",C46))),IF(M46="","Pendiente de aplicar","Aplicado (no se evalúa)"),IF(M46="","Pendiente de aplicar",IF(S46="","Sin datos",IF(S46&lt;Leyenda!$B$13,"Esperando datos ("&amp;S46&amp;" de 10 clics)",IF(U46=0,"Empeora: "&amp;S46&amp;" clics sin venta",IF(TODAY()&lt;N46,"Esperando atribución (7 días)",IF(W46&lt;=J46,"Mejora (ACOS "&amp;TEXT(W46,"0%")&amp;")","Empeora (ACOS "&amp;TEXT(W46,"0%")&amp;")"))))))))</f>
        <v/>
      </c>
      <c r="Y46" s="18"/>
    </row>
    <row r="47" customFormat="false" ht="15" hidden="false" customHeight="false" outlineLevel="0" collapsed="false">
      <c r="A47" s="39" t="s">
        <v>258</v>
      </c>
      <c r="B47" s="44"/>
      <c r="C47" s="43"/>
      <c r="D47" s="18"/>
      <c r="E47" s="43"/>
      <c r="F47" s="46"/>
      <c r="G47" s="46"/>
      <c r="H47" s="42" t="str">
        <f aca="false">IF(OR(F47="",G47="",F47=0),"",G47/F47-1)</f>
        <v/>
      </c>
      <c r="I47" s="18"/>
      <c r="J47" s="47"/>
      <c r="K47" s="43"/>
      <c r="L47" s="43"/>
      <c r="M47" s="44"/>
      <c r="N47" s="40" t="str">
        <f aca="false">IF(M47="","",M47+Leyenda!$B$15)</f>
        <v/>
      </c>
      <c r="O47" s="48"/>
      <c r="P47" s="46"/>
      <c r="Q47" s="48"/>
      <c r="R47" s="46"/>
      <c r="S47" s="45" t="str">
        <f aca="false">IF(OR(D47="",M47=""),"",IFERROR(INDEX(Segmentación!$F$4:$F$18,MATCH(D47&amp;" | "&amp;E47,Segmentación!$W$4:$W$18,0))-O47,""))</f>
        <v/>
      </c>
      <c r="T47" s="41" t="str">
        <f aca="false">IF(OR(D47="",M47=""),"",IFERROR(INDEX(Segmentación!$H$4:$H$18,MATCH(D47&amp;" | "&amp;E47,Segmentación!$W$4:$W$18,0))-P47,""))</f>
        <v/>
      </c>
      <c r="U47" s="45" t="str">
        <f aca="false">IF(OR(D47="",M47=""),"",IFERROR(INDEX(Segmentación!$J$4:$J$18,MATCH(D47&amp;" | "&amp;E47,Segmentación!$W$4:$W$18,0))-Q47,""))</f>
        <v/>
      </c>
      <c r="V47" s="41" t="str">
        <f aca="false">IF(OR(D47="",M47=""),"",IFERROR(INDEX(Segmentación!$K$4:$K$18,MATCH(D47&amp;" | "&amp;E47,Segmentación!$W$4:$W$18,0))-R47,""))</f>
        <v/>
      </c>
      <c r="W47" s="42" t="str">
        <f aca="false">IF(OR(S47="",V47=""),"",IF(V47=0,"",T47/V47))</f>
        <v/>
      </c>
      <c r="X47" s="19" t="str">
        <f aca="true">IF(C47="","",IF(OR(D47="",ISNUMBER(SEARCH("negativa",C47))),IF(M47="","Pendiente de aplicar","Aplicado (no se evalúa)"),IF(M47="","Pendiente de aplicar",IF(S47="","Sin datos",IF(S47&lt;Leyenda!$B$13,"Esperando datos ("&amp;S47&amp;" de 10 clics)",IF(U47=0,"Empeora: "&amp;S47&amp;" clics sin venta",IF(TODAY()&lt;N47,"Esperando atribución (7 días)",IF(W47&lt;=J47,"Mejora (ACOS "&amp;TEXT(W47,"0%")&amp;")","Empeora (ACOS "&amp;TEXT(W47,"0%")&amp;")"))))))))</f>
        <v/>
      </c>
      <c r="Y47" s="18"/>
    </row>
    <row r="48" customFormat="false" ht="15" hidden="false" customHeight="false" outlineLevel="0" collapsed="false">
      <c r="A48" s="39" t="s">
        <v>259</v>
      </c>
      <c r="B48" s="44"/>
      <c r="C48" s="43"/>
      <c r="D48" s="18"/>
      <c r="E48" s="43"/>
      <c r="F48" s="46"/>
      <c r="G48" s="46"/>
      <c r="H48" s="42" t="str">
        <f aca="false">IF(OR(F48="",G48="",F48=0),"",G48/F48-1)</f>
        <v/>
      </c>
      <c r="I48" s="18"/>
      <c r="J48" s="47"/>
      <c r="K48" s="43"/>
      <c r="L48" s="43"/>
      <c r="M48" s="44"/>
      <c r="N48" s="40" t="str">
        <f aca="false">IF(M48="","",M48+Leyenda!$B$15)</f>
        <v/>
      </c>
      <c r="O48" s="48"/>
      <c r="P48" s="46"/>
      <c r="Q48" s="48"/>
      <c r="R48" s="46"/>
      <c r="S48" s="45" t="str">
        <f aca="false">IF(OR(D48="",M48=""),"",IFERROR(INDEX(Segmentación!$F$4:$F$18,MATCH(D48&amp;" | "&amp;E48,Segmentación!$W$4:$W$18,0))-O48,""))</f>
        <v/>
      </c>
      <c r="T48" s="41" t="str">
        <f aca="false">IF(OR(D48="",M48=""),"",IFERROR(INDEX(Segmentación!$H$4:$H$18,MATCH(D48&amp;" | "&amp;E48,Segmentación!$W$4:$W$18,0))-P48,""))</f>
        <v/>
      </c>
      <c r="U48" s="45" t="str">
        <f aca="false">IF(OR(D48="",M48=""),"",IFERROR(INDEX(Segmentación!$J$4:$J$18,MATCH(D48&amp;" | "&amp;E48,Segmentación!$W$4:$W$18,0))-Q48,""))</f>
        <v/>
      </c>
      <c r="V48" s="41" t="str">
        <f aca="false">IF(OR(D48="",M48=""),"",IFERROR(INDEX(Segmentación!$K$4:$K$18,MATCH(D48&amp;" | "&amp;E48,Segmentación!$W$4:$W$18,0))-R48,""))</f>
        <v/>
      </c>
      <c r="W48" s="42" t="str">
        <f aca="false">IF(OR(S48="",V48=""),"",IF(V48=0,"",T48/V48))</f>
        <v/>
      </c>
      <c r="X48" s="19" t="str">
        <f aca="true">IF(C48="","",IF(OR(D48="",ISNUMBER(SEARCH("negativa",C48))),IF(M48="","Pendiente de aplicar","Aplicado (no se evalúa)"),IF(M48="","Pendiente de aplicar",IF(S48="","Sin datos",IF(S48&lt;Leyenda!$B$13,"Esperando datos ("&amp;S48&amp;" de 10 clics)",IF(U48=0,"Empeora: "&amp;S48&amp;" clics sin venta",IF(TODAY()&lt;N48,"Esperando atribución (7 días)",IF(W48&lt;=J48,"Mejora (ACOS "&amp;TEXT(W48,"0%")&amp;")","Empeora (ACOS "&amp;TEXT(W48,"0%")&amp;")"))))))))</f>
        <v/>
      </c>
      <c r="Y48" s="18"/>
    </row>
    <row r="49" customFormat="false" ht="15" hidden="false" customHeight="false" outlineLevel="0" collapsed="false">
      <c r="A49" s="39" t="s">
        <v>260</v>
      </c>
      <c r="B49" s="44"/>
      <c r="C49" s="43"/>
      <c r="D49" s="18"/>
      <c r="E49" s="43"/>
      <c r="F49" s="46"/>
      <c r="G49" s="46"/>
      <c r="H49" s="42" t="str">
        <f aca="false">IF(OR(F49="",G49="",F49=0),"",G49/F49-1)</f>
        <v/>
      </c>
      <c r="I49" s="18"/>
      <c r="J49" s="47"/>
      <c r="K49" s="43"/>
      <c r="L49" s="43"/>
      <c r="M49" s="44"/>
      <c r="N49" s="40" t="str">
        <f aca="false">IF(M49="","",M49+Leyenda!$B$15)</f>
        <v/>
      </c>
      <c r="O49" s="48"/>
      <c r="P49" s="46"/>
      <c r="Q49" s="48"/>
      <c r="R49" s="46"/>
      <c r="S49" s="45" t="str">
        <f aca="false">IF(OR(D49="",M49=""),"",IFERROR(INDEX(Segmentación!$F$4:$F$18,MATCH(D49&amp;" | "&amp;E49,Segmentación!$W$4:$W$18,0))-O49,""))</f>
        <v/>
      </c>
      <c r="T49" s="41" t="str">
        <f aca="false">IF(OR(D49="",M49=""),"",IFERROR(INDEX(Segmentación!$H$4:$H$18,MATCH(D49&amp;" | "&amp;E49,Segmentación!$W$4:$W$18,0))-P49,""))</f>
        <v/>
      </c>
      <c r="U49" s="45" t="str">
        <f aca="false">IF(OR(D49="",M49=""),"",IFERROR(INDEX(Segmentación!$J$4:$J$18,MATCH(D49&amp;" | "&amp;E49,Segmentación!$W$4:$W$18,0))-Q49,""))</f>
        <v/>
      </c>
      <c r="V49" s="41" t="str">
        <f aca="false">IF(OR(D49="",M49=""),"",IFERROR(INDEX(Segmentación!$K$4:$K$18,MATCH(D49&amp;" | "&amp;E49,Segmentación!$W$4:$W$18,0))-R49,""))</f>
        <v/>
      </c>
      <c r="W49" s="42" t="str">
        <f aca="false">IF(OR(S49="",V49=""),"",IF(V49=0,"",T49/V49))</f>
        <v/>
      </c>
      <c r="X49" s="19" t="str">
        <f aca="true">IF(C49="","",IF(OR(D49="",ISNUMBER(SEARCH("negativa",C49))),IF(M49="","Pendiente de aplicar","Aplicado (no se evalúa)"),IF(M49="","Pendiente de aplicar",IF(S49="","Sin datos",IF(S49&lt;Leyenda!$B$13,"Esperando datos ("&amp;S49&amp;" de 10 clics)",IF(U49=0,"Empeora: "&amp;S49&amp;" clics sin venta",IF(TODAY()&lt;N49,"Esperando atribución (7 días)",IF(W49&lt;=J49,"Mejora (ACOS "&amp;TEXT(W49,"0%")&amp;")","Empeora (ACOS "&amp;TEXT(W49,"0%")&amp;")"))))))))</f>
        <v/>
      </c>
      <c r="Y49" s="18"/>
    </row>
    <row r="50" customFormat="false" ht="15" hidden="false" customHeight="false" outlineLevel="0" collapsed="false">
      <c r="A50" s="39" t="s">
        <v>261</v>
      </c>
      <c r="B50" s="44"/>
      <c r="C50" s="43"/>
      <c r="D50" s="18"/>
      <c r="E50" s="43"/>
      <c r="F50" s="46"/>
      <c r="G50" s="46"/>
      <c r="H50" s="42" t="str">
        <f aca="false">IF(OR(F50="",G50="",F50=0),"",G50/F50-1)</f>
        <v/>
      </c>
      <c r="I50" s="18"/>
      <c r="J50" s="47"/>
      <c r="K50" s="43"/>
      <c r="L50" s="43"/>
      <c r="M50" s="44"/>
      <c r="N50" s="40" t="str">
        <f aca="false">IF(M50="","",M50+Leyenda!$B$15)</f>
        <v/>
      </c>
      <c r="O50" s="48"/>
      <c r="P50" s="46"/>
      <c r="Q50" s="48"/>
      <c r="R50" s="46"/>
      <c r="S50" s="45" t="str">
        <f aca="false">IF(OR(D50="",M50=""),"",IFERROR(INDEX(Segmentación!$F$4:$F$18,MATCH(D50&amp;" | "&amp;E50,Segmentación!$W$4:$W$18,0))-O50,""))</f>
        <v/>
      </c>
      <c r="T50" s="41" t="str">
        <f aca="false">IF(OR(D50="",M50=""),"",IFERROR(INDEX(Segmentación!$H$4:$H$18,MATCH(D50&amp;" | "&amp;E50,Segmentación!$W$4:$W$18,0))-P50,""))</f>
        <v/>
      </c>
      <c r="U50" s="45" t="str">
        <f aca="false">IF(OR(D50="",M50=""),"",IFERROR(INDEX(Segmentación!$J$4:$J$18,MATCH(D50&amp;" | "&amp;E50,Segmentación!$W$4:$W$18,0))-Q50,""))</f>
        <v/>
      </c>
      <c r="V50" s="41" t="str">
        <f aca="false">IF(OR(D50="",M50=""),"",IFERROR(INDEX(Segmentación!$K$4:$K$18,MATCH(D50&amp;" | "&amp;E50,Segmentación!$W$4:$W$18,0))-R50,""))</f>
        <v/>
      </c>
      <c r="W50" s="42" t="str">
        <f aca="false">IF(OR(S50="",V50=""),"",IF(V50=0,"",T50/V50))</f>
        <v/>
      </c>
      <c r="X50" s="19" t="str">
        <f aca="true">IF(C50="","",IF(OR(D50="",ISNUMBER(SEARCH("negativa",C50))),IF(M50="","Pendiente de aplicar","Aplicado (no se evalúa)"),IF(M50="","Pendiente de aplicar",IF(S50="","Sin datos",IF(S50&lt;Leyenda!$B$13,"Esperando datos ("&amp;S50&amp;" de 10 clics)",IF(U50=0,"Empeora: "&amp;S50&amp;" clics sin venta",IF(TODAY()&lt;N50,"Esperando atribución (7 días)",IF(W50&lt;=J50,"Mejora (ACOS "&amp;TEXT(W50,"0%")&amp;")","Empeora (ACOS "&amp;TEXT(W50,"0%")&amp;")"))))))))</f>
        <v/>
      </c>
      <c r="Y50" s="18"/>
    </row>
    <row r="51" customFormat="false" ht="15" hidden="false" customHeight="false" outlineLevel="0" collapsed="false">
      <c r="A51" s="39" t="s">
        <v>262</v>
      </c>
      <c r="B51" s="44"/>
      <c r="C51" s="43"/>
      <c r="D51" s="18"/>
      <c r="E51" s="43"/>
      <c r="F51" s="46"/>
      <c r="G51" s="46"/>
      <c r="H51" s="42" t="str">
        <f aca="false">IF(OR(F51="",G51="",F51=0),"",G51/F51-1)</f>
        <v/>
      </c>
      <c r="I51" s="18"/>
      <c r="J51" s="47"/>
      <c r="K51" s="43"/>
      <c r="L51" s="43"/>
      <c r="M51" s="44"/>
      <c r="N51" s="40" t="str">
        <f aca="false">IF(M51="","",M51+Leyenda!$B$15)</f>
        <v/>
      </c>
      <c r="O51" s="48"/>
      <c r="P51" s="46"/>
      <c r="Q51" s="48"/>
      <c r="R51" s="46"/>
      <c r="S51" s="45" t="str">
        <f aca="false">IF(OR(D51="",M51=""),"",IFERROR(INDEX(Segmentación!$F$4:$F$18,MATCH(D51&amp;" | "&amp;E51,Segmentación!$W$4:$W$18,0))-O51,""))</f>
        <v/>
      </c>
      <c r="T51" s="41" t="str">
        <f aca="false">IF(OR(D51="",M51=""),"",IFERROR(INDEX(Segmentación!$H$4:$H$18,MATCH(D51&amp;" | "&amp;E51,Segmentación!$W$4:$W$18,0))-P51,""))</f>
        <v/>
      </c>
      <c r="U51" s="45" t="str">
        <f aca="false">IF(OR(D51="",M51=""),"",IFERROR(INDEX(Segmentación!$J$4:$J$18,MATCH(D51&amp;" | "&amp;E51,Segmentación!$W$4:$W$18,0))-Q51,""))</f>
        <v/>
      </c>
      <c r="V51" s="41" t="str">
        <f aca="false">IF(OR(D51="",M51=""),"",IFERROR(INDEX(Segmentación!$K$4:$K$18,MATCH(D51&amp;" | "&amp;E51,Segmentación!$W$4:$W$18,0))-R51,""))</f>
        <v/>
      </c>
      <c r="W51" s="42" t="str">
        <f aca="false">IF(OR(S51="",V51=""),"",IF(V51=0,"",T51/V51))</f>
        <v/>
      </c>
      <c r="X51" s="19" t="str">
        <f aca="true">IF(C51="","",IF(OR(D51="",ISNUMBER(SEARCH("negativa",C51))),IF(M51="","Pendiente de aplicar","Aplicado (no se evalúa)"),IF(M51="","Pendiente de aplicar",IF(S51="","Sin datos",IF(S51&lt;Leyenda!$B$13,"Esperando datos ("&amp;S51&amp;" de 10 clics)",IF(U51=0,"Empeora: "&amp;S51&amp;" clics sin venta",IF(TODAY()&lt;N51,"Esperando atribución (7 días)",IF(W51&lt;=J51,"Mejora (ACOS "&amp;TEXT(W51,"0%")&amp;")","Empeora (ACOS "&amp;TEXT(W51,"0%")&amp;")"))))))))</f>
        <v/>
      </c>
      <c r="Y51" s="18"/>
    </row>
    <row r="52" customFormat="false" ht="15" hidden="false" customHeight="false" outlineLevel="0" collapsed="false">
      <c r="A52" s="39" t="s">
        <v>263</v>
      </c>
      <c r="B52" s="44"/>
      <c r="C52" s="43"/>
      <c r="D52" s="18"/>
      <c r="E52" s="43"/>
      <c r="F52" s="46"/>
      <c r="G52" s="46"/>
      <c r="H52" s="42" t="str">
        <f aca="false">IF(OR(F52="",G52="",F52=0),"",G52/F52-1)</f>
        <v/>
      </c>
      <c r="I52" s="18"/>
      <c r="J52" s="47"/>
      <c r="K52" s="43"/>
      <c r="L52" s="43"/>
      <c r="M52" s="44"/>
      <c r="N52" s="40" t="str">
        <f aca="false">IF(M52="","",M52+Leyenda!$B$15)</f>
        <v/>
      </c>
      <c r="O52" s="48"/>
      <c r="P52" s="46"/>
      <c r="Q52" s="48"/>
      <c r="R52" s="46"/>
      <c r="S52" s="45" t="str">
        <f aca="false">IF(OR(D52="",M52=""),"",IFERROR(INDEX(Segmentación!$F$4:$F$18,MATCH(D52&amp;" | "&amp;E52,Segmentación!$W$4:$W$18,0))-O52,""))</f>
        <v/>
      </c>
      <c r="T52" s="41" t="str">
        <f aca="false">IF(OR(D52="",M52=""),"",IFERROR(INDEX(Segmentación!$H$4:$H$18,MATCH(D52&amp;" | "&amp;E52,Segmentación!$W$4:$W$18,0))-P52,""))</f>
        <v/>
      </c>
      <c r="U52" s="45" t="str">
        <f aca="false">IF(OR(D52="",M52=""),"",IFERROR(INDEX(Segmentación!$J$4:$J$18,MATCH(D52&amp;" | "&amp;E52,Segmentación!$W$4:$W$18,0))-Q52,""))</f>
        <v/>
      </c>
      <c r="V52" s="41" t="str">
        <f aca="false">IF(OR(D52="",M52=""),"",IFERROR(INDEX(Segmentación!$K$4:$K$18,MATCH(D52&amp;" | "&amp;E52,Segmentación!$W$4:$W$18,0))-R52,""))</f>
        <v/>
      </c>
      <c r="W52" s="42" t="str">
        <f aca="false">IF(OR(S52="",V52=""),"",IF(V52=0,"",T52/V52))</f>
        <v/>
      </c>
      <c r="X52" s="19" t="str">
        <f aca="true">IF(C52="","",IF(OR(D52="",ISNUMBER(SEARCH("negativa",C52))),IF(M52="","Pendiente de aplicar","Aplicado (no se evalúa)"),IF(M52="","Pendiente de aplicar",IF(S52="","Sin datos",IF(S52&lt;Leyenda!$B$13,"Esperando datos ("&amp;S52&amp;" de 10 clics)",IF(U52=0,"Empeora: "&amp;S52&amp;" clics sin venta",IF(TODAY()&lt;N52,"Esperando atribución (7 días)",IF(W52&lt;=J52,"Mejora (ACOS "&amp;TEXT(W52,"0%")&amp;")","Empeora (ACOS "&amp;TEXT(W52,"0%")&amp;")"))))))))</f>
        <v/>
      </c>
      <c r="Y52" s="18"/>
    </row>
    <row r="53" customFormat="false" ht="15" hidden="false" customHeight="false" outlineLevel="0" collapsed="false">
      <c r="A53" s="39" t="s">
        <v>264</v>
      </c>
      <c r="B53" s="44"/>
      <c r="C53" s="43"/>
      <c r="D53" s="18"/>
      <c r="E53" s="43"/>
      <c r="F53" s="46"/>
      <c r="G53" s="46"/>
      <c r="H53" s="42" t="str">
        <f aca="false">IF(OR(F53="",G53="",F53=0),"",G53/F53-1)</f>
        <v/>
      </c>
      <c r="I53" s="18"/>
      <c r="J53" s="47"/>
      <c r="K53" s="43"/>
      <c r="L53" s="43"/>
      <c r="M53" s="44"/>
      <c r="N53" s="40" t="str">
        <f aca="false">IF(M53="","",M53+Leyenda!$B$15)</f>
        <v/>
      </c>
      <c r="O53" s="48"/>
      <c r="P53" s="46"/>
      <c r="Q53" s="48"/>
      <c r="R53" s="46"/>
      <c r="S53" s="45" t="str">
        <f aca="false">IF(OR(D53="",M53=""),"",IFERROR(INDEX(Segmentación!$F$4:$F$18,MATCH(D53&amp;" | "&amp;E53,Segmentación!$W$4:$W$18,0))-O53,""))</f>
        <v/>
      </c>
      <c r="T53" s="41" t="str">
        <f aca="false">IF(OR(D53="",M53=""),"",IFERROR(INDEX(Segmentación!$H$4:$H$18,MATCH(D53&amp;" | "&amp;E53,Segmentación!$W$4:$W$18,0))-P53,""))</f>
        <v/>
      </c>
      <c r="U53" s="45" t="str">
        <f aca="false">IF(OR(D53="",M53=""),"",IFERROR(INDEX(Segmentación!$J$4:$J$18,MATCH(D53&amp;" | "&amp;E53,Segmentación!$W$4:$W$18,0))-Q53,""))</f>
        <v/>
      </c>
      <c r="V53" s="41" t="str">
        <f aca="false">IF(OR(D53="",M53=""),"",IFERROR(INDEX(Segmentación!$K$4:$K$18,MATCH(D53&amp;" | "&amp;E53,Segmentación!$W$4:$W$18,0))-R53,""))</f>
        <v/>
      </c>
      <c r="W53" s="42" t="str">
        <f aca="false">IF(OR(S53="",V53=""),"",IF(V53=0,"",T53/V53))</f>
        <v/>
      </c>
      <c r="X53" s="19" t="str">
        <f aca="true">IF(C53="","",IF(OR(D53="",ISNUMBER(SEARCH("negativa",C53))),IF(M53="","Pendiente de aplicar","Aplicado (no se evalúa)"),IF(M53="","Pendiente de aplicar",IF(S53="","Sin datos",IF(S53&lt;Leyenda!$B$13,"Esperando datos ("&amp;S53&amp;" de 10 clics)",IF(U53=0,"Empeora: "&amp;S53&amp;" clics sin venta",IF(TODAY()&lt;N53,"Esperando atribución (7 días)",IF(W53&lt;=J53,"Mejora (ACOS "&amp;TEXT(W53,"0%")&amp;")","Empeora (ACOS "&amp;TEXT(W53,"0%")&amp;")"))))))))</f>
        <v/>
      </c>
      <c r="Y53" s="18"/>
    </row>
    <row r="54" customFormat="false" ht="15" hidden="false" customHeight="false" outlineLevel="0" collapsed="false">
      <c r="A54" s="39" t="s">
        <v>265</v>
      </c>
      <c r="B54" s="44"/>
      <c r="C54" s="43"/>
      <c r="D54" s="18"/>
      <c r="E54" s="43"/>
      <c r="F54" s="46"/>
      <c r="G54" s="46"/>
      <c r="H54" s="42" t="str">
        <f aca="false">IF(OR(F54="",G54="",F54=0),"",G54/F54-1)</f>
        <v/>
      </c>
      <c r="I54" s="18"/>
      <c r="J54" s="47"/>
      <c r="K54" s="43"/>
      <c r="L54" s="43"/>
      <c r="M54" s="44"/>
      <c r="N54" s="40" t="str">
        <f aca="false">IF(M54="","",M54+Leyenda!$B$15)</f>
        <v/>
      </c>
      <c r="O54" s="48"/>
      <c r="P54" s="46"/>
      <c r="Q54" s="48"/>
      <c r="R54" s="46"/>
      <c r="S54" s="45" t="str">
        <f aca="false">IF(OR(D54="",M54=""),"",IFERROR(INDEX(Segmentación!$F$4:$F$18,MATCH(D54&amp;" | "&amp;E54,Segmentación!$W$4:$W$18,0))-O54,""))</f>
        <v/>
      </c>
      <c r="T54" s="41" t="str">
        <f aca="false">IF(OR(D54="",M54=""),"",IFERROR(INDEX(Segmentación!$H$4:$H$18,MATCH(D54&amp;" | "&amp;E54,Segmentación!$W$4:$W$18,0))-P54,""))</f>
        <v/>
      </c>
      <c r="U54" s="45" t="str">
        <f aca="false">IF(OR(D54="",M54=""),"",IFERROR(INDEX(Segmentación!$J$4:$J$18,MATCH(D54&amp;" | "&amp;E54,Segmentación!$W$4:$W$18,0))-Q54,""))</f>
        <v/>
      </c>
      <c r="V54" s="41" t="str">
        <f aca="false">IF(OR(D54="",M54=""),"",IFERROR(INDEX(Segmentación!$K$4:$K$18,MATCH(D54&amp;" | "&amp;E54,Segmentación!$W$4:$W$18,0))-R54,""))</f>
        <v/>
      </c>
      <c r="W54" s="42" t="str">
        <f aca="false">IF(OR(S54="",V54=""),"",IF(V54=0,"",T54/V54))</f>
        <v/>
      </c>
      <c r="X54" s="19" t="str">
        <f aca="true">IF(C54="","",IF(OR(D54="",ISNUMBER(SEARCH("negativa",C54))),IF(M54="","Pendiente de aplicar","Aplicado (no se evalúa)"),IF(M54="","Pendiente de aplicar",IF(S54="","Sin datos",IF(S54&lt;Leyenda!$B$13,"Esperando datos ("&amp;S54&amp;" de 10 clics)",IF(U54=0,"Empeora: "&amp;S54&amp;" clics sin venta",IF(TODAY()&lt;N54,"Esperando atribución (7 días)",IF(W54&lt;=J54,"Mejora (ACOS "&amp;TEXT(W54,"0%")&amp;")","Empeora (ACOS "&amp;TEXT(W54,"0%")&amp;")"))))))))</f>
        <v/>
      </c>
      <c r="Y54" s="18"/>
    </row>
    <row r="55" customFormat="false" ht="15" hidden="false" customHeight="false" outlineLevel="0" collapsed="false">
      <c r="A55" s="39" t="s">
        <v>266</v>
      </c>
      <c r="B55" s="44"/>
      <c r="C55" s="43"/>
      <c r="D55" s="18"/>
      <c r="E55" s="43"/>
      <c r="F55" s="46"/>
      <c r="G55" s="46"/>
      <c r="H55" s="42" t="str">
        <f aca="false">IF(OR(F55="",G55="",F55=0),"",G55/F55-1)</f>
        <v/>
      </c>
      <c r="I55" s="18"/>
      <c r="J55" s="47"/>
      <c r="K55" s="43"/>
      <c r="L55" s="43"/>
      <c r="M55" s="44"/>
      <c r="N55" s="40" t="str">
        <f aca="false">IF(M55="","",M55+Leyenda!$B$15)</f>
        <v/>
      </c>
      <c r="O55" s="48"/>
      <c r="P55" s="46"/>
      <c r="Q55" s="48"/>
      <c r="R55" s="46"/>
      <c r="S55" s="45" t="str">
        <f aca="false">IF(OR(D55="",M55=""),"",IFERROR(INDEX(Segmentación!$F$4:$F$18,MATCH(D55&amp;" | "&amp;E55,Segmentación!$W$4:$W$18,0))-O55,""))</f>
        <v/>
      </c>
      <c r="T55" s="41" t="str">
        <f aca="false">IF(OR(D55="",M55=""),"",IFERROR(INDEX(Segmentación!$H$4:$H$18,MATCH(D55&amp;" | "&amp;E55,Segmentación!$W$4:$W$18,0))-P55,""))</f>
        <v/>
      </c>
      <c r="U55" s="45" t="str">
        <f aca="false">IF(OR(D55="",M55=""),"",IFERROR(INDEX(Segmentación!$J$4:$J$18,MATCH(D55&amp;" | "&amp;E55,Segmentación!$W$4:$W$18,0))-Q55,""))</f>
        <v/>
      </c>
      <c r="V55" s="41" t="str">
        <f aca="false">IF(OR(D55="",M55=""),"",IFERROR(INDEX(Segmentación!$K$4:$K$18,MATCH(D55&amp;" | "&amp;E55,Segmentación!$W$4:$W$18,0))-R55,""))</f>
        <v/>
      </c>
      <c r="W55" s="42" t="str">
        <f aca="false">IF(OR(S55="",V55=""),"",IF(V55=0,"",T55/V55))</f>
        <v/>
      </c>
      <c r="X55" s="19" t="str">
        <f aca="true">IF(C55="","",IF(OR(D55="",ISNUMBER(SEARCH("negativa",C55))),IF(M55="","Pendiente de aplicar","Aplicado (no se evalúa)"),IF(M55="","Pendiente de aplicar",IF(S55="","Sin datos",IF(S55&lt;Leyenda!$B$13,"Esperando datos ("&amp;S55&amp;" de 10 clics)",IF(U55=0,"Empeora: "&amp;S55&amp;" clics sin venta",IF(TODAY()&lt;N55,"Esperando atribución (7 días)",IF(W55&lt;=J55,"Mejora (ACOS "&amp;TEXT(W55,"0%")&amp;")","Empeora (ACOS "&amp;TEXT(W55,"0%")&amp;")"))))))))</f>
        <v/>
      </c>
      <c r="Y55" s="18"/>
    </row>
    <row r="56" customFormat="false" ht="15" hidden="false" customHeight="false" outlineLevel="0" collapsed="false">
      <c r="A56" s="39" t="s">
        <v>267</v>
      </c>
      <c r="B56" s="44"/>
      <c r="C56" s="43"/>
      <c r="D56" s="18"/>
      <c r="E56" s="43"/>
      <c r="F56" s="46"/>
      <c r="G56" s="46"/>
      <c r="H56" s="42" t="str">
        <f aca="false">IF(OR(F56="",G56="",F56=0),"",G56/F56-1)</f>
        <v/>
      </c>
      <c r="I56" s="18"/>
      <c r="J56" s="47"/>
      <c r="K56" s="43"/>
      <c r="L56" s="43"/>
      <c r="M56" s="44"/>
      <c r="N56" s="40" t="str">
        <f aca="false">IF(M56="","",M56+Leyenda!$B$15)</f>
        <v/>
      </c>
      <c r="O56" s="48"/>
      <c r="P56" s="46"/>
      <c r="Q56" s="48"/>
      <c r="R56" s="46"/>
      <c r="S56" s="45" t="str">
        <f aca="false">IF(OR(D56="",M56=""),"",IFERROR(INDEX(Segmentación!$F$4:$F$18,MATCH(D56&amp;" | "&amp;E56,Segmentación!$W$4:$W$18,0))-O56,""))</f>
        <v/>
      </c>
      <c r="T56" s="41" t="str">
        <f aca="false">IF(OR(D56="",M56=""),"",IFERROR(INDEX(Segmentación!$H$4:$H$18,MATCH(D56&amp;" | "&amp;E56,Segmentación!$W$4:$W$18,0))-P56,""))</f>
        <v/>
      </c>
      <c r="U56" s="45" t="str">
        <f aca="false">IF(OR(D56="",M56=""),"",IFERROR(INDEX(Segmentación!$J$4:$J$18,MATCH(D56&amp;" | "&amp;E56,Segmentación!$W$4:$W$18,0))-Q56,""))</f>
        <v/>
      </c>
      <c r="V56" s="41" t="str">
        <f aca="false">IF(OR(D56="",M56=""),"",IFERROR(INDEX(Segmentación!$K$4:$K$18,MATCH(D56&amp;" | "&amp;E56,Segmentación!$W$4:$W$18,0))-R56,""))</f>
        <v/>
      </c>
      <c r="W56" s="42" t="str">
        <f aca="false">IF(OR(S56="",V56=""),"",IF(V56=0,"",T56/V56))</f>
        <v/>
      </c>
      <c r="X56" s="19" t="str">
        <f aca="true">IF(C56="","",IF(OR(D56="",ISNUMBER(SEARCH("negativa",C56))),IF(M56="","Pendiente de aplicar","Aplicado (no se evalúa)"),IF(M56="","Pendiente de aplicar",IF(S56="","Sin datos",IF(S56&lt;Leyenda!$B$13,"Esperando datos ("&amp;S56&amp;" de 10 clics)",IF(U56=0,"Empeora: "&amp;S56&amp;" clics sin venta",IF(TODAY()&lt;N56,"Esperando atribución (7 días)",IF(W56&lt;=J56,"Mejora (ACOS "&amp;TEXT(W56,"0%")&amp;")","Empeora (ACOS "&amp;TEXT(W56,"0%")&amp;")"))))))))</f>
        <v/>
      </c>
      <c r="Y56" s="18"/>
    </row>
    <row r="57" customFormat="false" ht="15" hidden="false" customHeight="false" outlineLevel="0" collapsed="false">
      <c r="A57" s="39" t="s">
        <v>268</v>
      </c>
      <c r="B57" s="44"/>
      <c r="C57" s="43"/>
      <c r="D57" s="18"/>
      <c r="E57" s="43"/>
      <c r="F57" s="46"/>
      <c r="G57" s="46"/>
      <c r="H57" s="42" t="str">
        <f aca="false">IF(OR(F57="",G57="",F57=0),"",G57/F57-1)</f>
        <v/>
      </c>
      <c r="I57" s="18"/>
      <c r="J57" s="47"/>
      <c r="K57" s="43"/>
      <c r="L57" s="43"/>
      <c r="M57" s="44"/>
      <c r="N57" s="40" t="str">
        <f aca="false">IF(M57="","",M57+Leyenda!$B$15)</f>
        <v/>
      </c>
      <c r="O57" s="48"/>
      <c r="P57" s="46"/>
      <c r="Q57" s="48"/>
      <c r="R57" s="46"/>
      <c r="S57" s="45" t="str">
        <f aca="false">IF(OR(D57="",M57=""),"",IFERROR(INDEX(Segmentación!$F$4:$F$18,MATCH(D57&amp;" | "&amp;E57,Segmentación!$W$4:$W$18,0))-O57,""))</f>
        <v/>
      </c>
      <c r="T57" s="41" t="str">
        <f aca="false">IF(OR(D57="",M57=""),"",IFERROR(INDEX(Segmentación!$H$4:$H$18,MATCH(D57&amp;" | "&amp;E57,Segmentación!$W$4:$W$18,0))-P57,""))</f>
        <v/>
      </c>
      <c r="U57" s="45" t="str">
        <f aca="false">IF(OR(D57="",M57=""),"",IFERROR(INDEX(Segmentación!$J$4:$J$18,MATCH(D57&amp;" | "&amp;E57,Segmentación!$W$4:$W$18,0))-Q57,""))</f>
        <v/>
      </c>
      <c r="V57" s="41" t="str">
        <f aca="false">IF(OR(D57="",M57=""),"",IFERROR(INDEX(Segmentación!$K$4:$K$18,MATCH(D57&amp;" | "&amp;E57,Segmentación!$W$4:$W$18,0))-R57,""))</f>
        <v/>
      </c>
      <c r="W57" s="42" t="str">
        <f aca="false">IF(OR(S57="",V57=""),"",IF(V57=0,"",T57/V57))</f>
        <v/>
      </c>
      <c r="X57" s="19" t="str">
        <f aca="true">IF(C57="","",IF(OR(D57="",ISNUMBER(SEARCH("negativa",C57))),IF(M57="","Pendiente de aplicar","Aplicado (no se evalúa)"),IF(M57="","Pendiente de aplicar",IF(S57="","Sin datos",IF(S57&lt;Leyenda!$B$13,"Esperando datos ("&amp;S57&amp;" de 10 clics)",IF(U57=0,"Empeora: "&amp;S57&amp;" clics sin venta",IF(TODAY()&lt;N57,"Esperando atribución (7 días)",IF(W57&lt;=J57,"Mejora (ACOS "&amp;TEXT(W57,"0%")&amp;")","Empeora (ACOS "&amp;TEXT(W57,"0%")&amp;")"))))))))</f>
        <v/>
      </c>
      <c r="Y57" s="18"/>
    </row>
    <row r="58" customFormat="false" ht="15" hidden="false" customHeight="false" outlineLevel="0" collapsed="false">
      <c r="A58" s="39" t="s">
        <v>269</v>
      </c>
      <c r="B58" s="44"/>
      <c r="C58" s="43"/>
      <c r="D58" s="18"/>
      <c r="E58" s="43"/>
      <c r="F58" s="46"/>
      <c r="G58" s="46"/>
      <c r="H58" s="42" t="str">
        <f aca="false">IF(OR(F58="",G58="",F58=0),"",G58/F58-1)</f>
        <v/>
      </c>
      <c r="I58" s="18"/>
      <c r="J58" s="47"/>
      <c r="K58" s="43"/>
      <c r="L58" s="43"/>
      <c r="M58" s="44"/>
      <c r="N58" s="40" t="str">
        <f aca="false">IF(M58="","",M58+Leyenda!$B$15)</f>
        <v/>
      </c>
      <c r="O58" s="48"/>
      <c r="P58" s="46"/>
      <c r="Q58" s="48"/>
      <c r="R58" s="46"/>
      <c r="S58" s="45" t="str">
        <f aca="false">IF(OR(D58="",M58=""),"",IFERROR(INDEX(Segmentación!$F$4:$F$18,MATCH(D58&amp;" | "&amp;E58,Segmentación!$W$4:$W$18,0))-O58,""))</f>
        <v/>
      </c>
      <c r="T58" s="41" t="str">
        <f aca="false">IF(OR(D58="",M58=""),"",IFERROR(INDEX(Segmentación!$H$4:$H$18,MATCH(D58&amp;" | "&amp;E58,Segmentación!$W$4:$W$18,0))-P58,""))</f>
        <v/>
      </c>
      <c r="U58" s="45" t="str">
        <f aca="false">IF(OR(D58="",M58=""),"",IFERROR(INDEX(Segmentación!$J$4:$J$18,MATCH(D58&amp;" | "&amp;E58,Segmentación!$W$4:$W$18,0))-Q58,""))</f>
        <v/>
      </c>
      <c r="V58" s="41" t="str">
        <f aca="false">IF(OR(D58="",M58=""),"",IFERROR(INDEX(Segmentación!$K$4:$K$18,MATCH(D58&amp;" | "&amp;E58,Segmentación!$W$4:$W$18,0))-R58,""))</f>
        <v/>
      </c>
      <c r="W58" s="42" t="str">
        <f aca="false">IF(OR(S58="",V58=""),"",IF(V58=0,"",T58/V58))</f>
        <v/>
      </c>
      <c r="X58" s="19" t="str">
        <f aca="true">IF(C58="","",IF(OR(D58="",ISNUMBER(SEARCH("negativa",C58))),IF(M58="","Pendiente de aplicar","Aplicado (no se evalúa)"),IF(M58="","Pendiente de aplicar",IF(S58="","Sin datos",IF(S58&lt;Leyenda!$B$13,"Esperando datos ("&amp;S58&amp;" de 10 clics)",IF(U58=0,"Empeora: "&amp;S58&amp;" clics sin venta",IF(TODAY()&lt;N58,"Esperando atribución (7 días)",IF(W58&lt;=J58,"Mejora (ACOS "&amp;TEXT(W58,"0%")&amp;")","Empeora (ACOS "&amp;TEXT(W58,"0%")&amp;")"))))))))</f>
        <v/>
      </c>
      <c r="Y58" s="18"/>
    </row>
    <row r="59" customFormat="false" ht="15" hidden="false" customHeight="false" outlineLevel="0" collapsed="false">
      <c r="A59" s="39" t="s">
        <v>270</v>
      </c>
      <c r="B59" s="44"/>
      <c r="C59" s="43"/>
      <c r="D59" s="18"/>
      <c r="E59" s="43"/>
      <c r="F59" s="46"/>
      <c r="G59" s="46"/>
      <c r="H59" s="42" t="str">
        <f aca="false">IF(OR(F59="",G59="",F59=0),"",G59/F59-1)</f>
        <v/>
      </c>
      <c r="I59" s="18"/>
      <c r="J59" s="47"/>
      <c r="K59" s="43"/>
      <c r="L59" s="43"/>
      <c r="M59" s="44"/>
      <c r="N59" s="40" t="str">
        <f aca="false">IF(M59="","",M59+Leyenda!$B$15)</f>
        <v/>
      </c>
      <c r="O59" s="48"/>
      <c r="P59" s="46"/>
      <c r="Q59" s="48"/>
      <c r="R59" s="46"/>
      <c r="S59" s="45" t="str">
        <f aca="false">IF(OR(D59="",M59=""),"",IFERROR(INDEX(Segmentación!$F$4:$F$18,MATCH(D59&amp;" | "&amp;E59,Segmentación!$W$4:$W$18,0))-O59,""))</f>
        <v/>
      </c>
      <c r="T59" s="41" t="str">
        <f aca="false">IF(OR(D59="",M59=""),"",IFERROR(INDEX(Segmentación!$H$4:$H$18,MATCH(D59&amp;" | "&amp;E59,Segmentación!$W$4:$W$18,0))-P59,""))</f>
        <v/>
      </c>
      <c r="U59" s="45" t="str">
        <f aca="false">IF(OR(D59="",M59=""),"",IFERROR(INDEX(Segmentación!$J$4:$J$18,MATCH(D59&amp;" | "&amp;E59,Segmentación!$W$4:$W$18,0))-Q59,""))</f>
        <v/>
      </c>
      <c r="V59" s="41" t="str">
        <f aca="false">IF(OR(D59="",M59=""),"",IFERROR(INDEX(Segmentación!$K$4:$K$18,MATCH(D59&amp;" | "&amp;E59,Segmentación!$W$4:$W$18,0))-R59,""))</f>
        <v/>
      </c>
      <c r="W59" s="42" t="str">
        <f aca="false">IF(OR(S59="",V59=""),"",IF(V59=0,"",T59/V59))</f>
        <v/>
      </c>
      <c r="X59" s="19" t="str">
        <f aca="true">IF(C59="","",IF(OR(D59="",ISNUMBER(SEARCH("negativa",C59))),IF(M59="","Pendiente de aplicar","Aplicado (no se evalúa)"),IF(M59="","Pendiente de aplicar",IF(S59="","Sin datos",IF(S59&lt;Leyenda!$B$13,"Esperando datos ("&amp;S59&amp;" de 10 clics)",IF(U59=0,"Empeora: "&amp;S59&amp;" clics sin venta",IF(TODAY()&lt;N59,"Esperando atribución (7 días)",IF(W59&lt;=J59,"Mejora (ACOS "&amp;TEXT(W59,"0%")&amp;")","Empeora (ACOS "&amp;TEXT(W59,"0%")&amp;")"))))))))</f>
        <v/>
      </c>
      <c r="Y59" s="18"/>
    </row>
    <row r="60" customFormat="false" ht="15" hidden="false" customHeight="false" outlineLevel="0" collapsed="false">
      <c r="A60" s="39" t="s">
        <v>271</v>
      </c>
      <c r="B60" s="44"/>
      <c r="C60" s="43"/>
      <c r="D60" s="18"/>
      <c r="E60" s="43"/>
      <c r="F60" s="46"/>
      <c r="G60" s="46"/>
      <c r="H60" s="42" t="str">
        <f aca="false">IF(OR(F60="",G60="",F60=0),"",G60/F60-1)</f>
        <v/>
      </c>
      <c r="I60" s="18"/>
      <c r="J60" s="47"/>
      <c r="K60" s="43"/>
      <c r="L60" s="43"/>
      <c r="M60" s="44"/>
      <c r="N60" s="40" t="str">
        <f aca="false">IF(M60="","",M60+Leyenda!$B$15)</f>
        <v/>
      </c>
      <c r="O60" s="48"/>
      <c r="P60" s="46"/>
      <c r="Q60" s="48"/>
      <c r="R60" s="46"/>
      <c r="S60" s="45" t="str">
        <f aca="false">IF(OR(D60="",M60=""),"",IFERROR(INDEX(Segmentación!$F$4:$F$18,MATCH(D60&amp;" | "&amp;E60,Segmentación!$W$4:$W$18,0))-O60,""))</f>
        <v/>
      </c>
      <c r="T60" s="41" t="str">
        <f aca="false">IF(OR(D60="",M60=""),"",IFERROR(INDEX(Segmentación!$H$4:$H$18,MATCH(D60&amp;" | "&amp;E60,Segmentación!$W$4:$W$18,0))-P60,""))</f>
        <v/>
      </c>
      <c r="U60" s="45" t="str">
        <f aca="false">IF(OR(D60="",M60=""),"",IFERROR(INDEX(Segmentación!$J$4:$J$18,MATCH(D60&amp;" | "&amp;E60,Segmentación!$W$4:$W$18,0))-Q60,""))</f>
        <v/>
      </c>
      <c r="V60" s="41" t="str">
        <f aca="false">IF(OR(D60="",M60=""),"",IFERROR(INDEX(Segmentación!$K$4:$K$18,MATCH(D60&amp;" | "&amp;E60,Segmentación!$W$4:$W$18,0))-R60,""))</f>
        <v/>
      </c>
      <c r="W60" s="42" t="str">
        <f aca="false">IF(OR(S60="",V60=""),"",IF(V60=0,"",T60/V60))</f>
        <v/>
      </c>
      <c r="X60" s="19" t="str">
        <f aca="true">IF(C60="","",IF(OR(D60="",ISNUMBER(SEARCH("negativa",C60))),IF(M60="","Pendiente de aplicar","Aplicado (no se evalúa)"),IF(M60="","Pendiente de aplicar",IF(S60="","Sin datos",IF(S60&lt;Leyenda!$B$13,"Esperando datos ("&amp;S60&amp;" de 10 clics)",IF(U60=0,"Empeora: "&amp;S60&amp;" clics sin venta",IF(TODAY()&lt;N60,"Esperando atribución (7 días)",IF(W60&lt;=J60,"Mejora (ACOS "&amp;TEXT(W60,"0%")&amp;")","Empeora (ACOS "&amp;TEXT(W60,"0%")&amp;")"))))))))</f>
        <v/>
      </c>
      <c r="Y60" s="18"/>
    </row>
    <row r="61" customFormat="false" ht="15" hidden="false" customHeight="false" outlineLevel="0" collapsed="false">
      <c r="A61" s="39" t="s">
        <v>272</v>
      </c>
      <c r="B61" s="44"/>
      <c r="C61" s="43"/>
      <c r="D61" s="18"/>
      <c r="E61" s="43"/>
      <c r="F61" s="46"/>
      <c r="G61" s="46"/>
      <c r="H61" s="42" t="str">
        <f aca="false">IF(OR(F61="",G61="",F61=0),"",G61/F61-1)</f>
        <v/>
      </c>
      <c r="I61" s="18"/>
      <c r="J61" s="47"/>
      <c r="K61" s="43"/>
      <c r="L61" s="43"/>
      <c r="M61" s="44"/>
      <c r="N61" s="40" t="str">
        <f aca="false">IF(M61="","",M61+Leyenda!$B$15)</f>
        <v/>
      </c>
      <c r="O61" s="48"/>
      <c r="P61" s="46"/>
      <c r="Q61" s="48"/>
      <c r="R61" s="46"/>
      <c r="S61" s="45" t="str">
        <f aca="false">IF(OR(D61="",M61=""),"",IFERROR(INDEX(Segmentación!$F$4:$F$18,MATCH(D61&amp;" | "&amp;E61,Segmentación!$W$4:$W$18,0))-O61,""))</f>
        <v/>
      </c>
      <c r="T61" s="41" t="str">
        <f aca="false">IF(OR(D61="",M61=""),"",IFERROR(INDEX(Segmentación!$H$4:$H$18,MATCH(D61&amp;" | "&amp;E61,Segmentación!$W$4:$W$18,0))-P61,""))</f>
        <v/>
      </c>
      <c r="U61" s="45" t="str">
        <f aca="false">IF(OR(D61="",M61=""),"",IFERROR(INDEX(Segmentación!$J$4:$J$18,MATCH(D61&amp;" | "&amp;E61,Segmentación!$W$4:$W$18,0))-Q61,""))</f>
        <v/>
      </c>
      <c r="V61" s="41" t="str">
        <f aca="false">IF(OR(D61="",M61=""),"",IFERROR(INDEX(Segmentación!$K$4:$K$18,MATCH(D61&amp;" | "&amp;E61,Segmentación!$W$4:$W$18,0))-R61,""))</f>
        <v/>
      </c>
      <c r="W61" s="42" t="str">
        <f aca="false">IF(OR(S61="",V61=""),"",IF(V61=0,"",T61/V61))</f>
        <v/>
      </c>
      <c r="X61" s="19" t="str">
        <f aca="true">IF(C61="","",IF(OR(D61="",ISNUMBER(SEARCH("negativa",C61))),IF(M61="","Pendiente de aplicar","Aplicado (no se evalúa)"),IF(M61="","Pendiente de aplicar",IF(S61="","Sin datos",IF(S61&lt;Leyenda!$B$13,"Esperando datos ("&amp;S61&amp;" de 10 clics)",IF(U61=0,"Empeora: "&amp;S61&amp;" clics sin venta",IF(TODAY()&lt;N61,"Esperando atribución (7 días)",IF(W61&lt;=J61,"Mejora (ACOS "&amp;TEXT(W61,"0%")&amp;")","Empeora (ACOS "&amp;TEXT(W61,"0%")&amp;")"))))))))</f>
        <v/>
      </c>
      <c r="Y61" s="18"/>
    </row>
    <row r="62" customFormat="false" ht="15" hidden="false" customHeight="false" outlineLevel="0" collapsed="false">
      <c r="A62" s="39" t="s">
        <v>273</v>
      </c>
      <c r="B62" s="44"/>
      <c r="C62" s="43"/>
      <c r="D62" s="18"/>
      <c r="E62" s="43"/>
      <c r="F62" s="46"/>
      <c r="G62" s="46"/>
      <c r="H62" s="42" t="str">
        <f aca="false">IF(OR(F62="",G62="",F62=0),"",G62/F62-1)</f>
        <v/>
      </c>
      <c r="I62" s="18"/>
      <c r="J62" s="47"/>
      <c r="K62" s="43"/>
      <c r="L62" s="43"/>
      <c r="M62" s="44"/>
      <c r="N62" s="40" t="str">
        <f aca="false">IF(M62="","",M62+Leyenda!$B$15)</f>
        <v/>
      </c>
      <c r="O62" s="48"/>
      <c r="P62" s="46"/>
      <c r="Q62" s="48"/>
      <c r="R62" s="46"/>
      <c r="S62" s="45" t="str">
        <f aca="false">IF(OR(D62="",M62=""),"",IFERROR(INDEX(Segmentación!$F$4:$F$18,MATCH(D62&amp;" | "&amp;E62,Segmentación!$W$4:$W$18,0))-O62,""))</f>
        <v/>
      </c>
      <c r="T62" s="41" t="str">
        <f aca="false">IF(OR(D62="",M62=""),"",IFERROR(INDEX(Segmentación!$H$4:$H$18,MATCH(D62&amp;" | "&amp;E62,Segmentación!$W$4:$W$18,0))-P62,""))</f>
        <v/>
      </c>
      <c r="U62" s="45" t="str">
        <f aca="false">IF(OR(D62="",M62=""),"",IFERROR(INDEX(Segmentación!$J$4:$J$18,MATCH(D62&amp;" | "&amp;E62,Segmentación!$W$4:$W$18,0))-Q62,""))</f>
        <v/>
      </c>
      <c r="V62" s="41" t="str">
        <f aca="false">IF(OR(D62="",M62=""),"",IFERROR(INDEX(Segmentación!$K$4:$K$18,MATCH(D62&amp;" | "&amp;E62,Segmentación!$W$4:$W$18,0))-R62,""))</f>
        <v/>
      </c>
      <c r="W62" s="42" t="str">
        <f aca="false">IF(OR(S62="",V62=""),"",IF(V62=0,"",T62/V62))</f>
        <v/>
      </c>
      <c r="X62" s="19" t="str">
        <f aca="true">IF(C62="","",IF(OR(D62="",ISNUMBER(SEARCH("negativa",C62))),IF(M62="","Pendiente de aplicar","Aplicado (no se evalúa)"),IF(M62="","Pendiente de aplicar",IF(S62="","Sin datos",IF(S62&lt;Leyenda!$B$13,"Esperando datos ("&amp;S62&amp;" de 10 clics)",IF(U62=0,"Empeora: "&amp;S62&amp;" clics sin venta",IF(TODAY()&lt;N62,"Esperando atribución (7 días)",IF(W62&lt;=J62,"Mejora (ACOS "&amp;TEXT(W62,"0%")&amp;")","Empeora (ACOS "&amp;TEXT(W62,"0%")&amp;")"))))))))</f>
        <v/>
      </c>
      <c r="Y62" s="18"/>
    </row>
    <row r="63" customFormat="false" ht="15" hidden="false" customHeight="false" outlineLevel="0" collapsed="false">
      <c r="A63" s="39" t="s">
        <v>274</v>
      </c>
      <c r="B63" s="44"/>
      <c r="C63" s="43"/>
      <c r="D63" s="18"/>
      <c r="E63" s="43"/>
      <c r="F63" s="46"/>
      <c r="G63" s="46"/>
      <c r="H63" s="42" t="str">
        <f aca="false">IF(OR(F63="",G63="",F63=0),"",G63/F63-1)</f>
        <v/>
      </c>
      <c r="I63" s="18"/>
      <c r="J63" s="47"/>
      <c r="K63" s="43"/>
      <c r="L63" s="43"/>
      <c r="M63" s="44"/>
      <c r="N63" s="40" t="str">
        <f aca="false">IF(M63="","",M63+Leyenda!$B$15)</f>
        <v/>
      </c>
      <c r="O63" s="48"/>
      <c r="P63" s="46"/>
      <c r="Q63" s="48"/>
      <c r="R63" s="46"/>
      <c r="S63" s="45" t="str">
        <f aca="false">IF(OR(D63="",M63=""),"",IFERROR(INDEX(Segmentación!$F$4:$F$18,MATCH(D63&amp;" | "&amp;E63,Segmentación!$W$4:$W$18,0))-O63,""))</f>
        <v/>
      </c>
      <c r="T63" s="41" t="str">
        <f aca="false">IF(OR(D63="",M63=""),"",IFERROR(INDEX(Segmentación!$H$4:$H$18,MATCH(D63&amp;" | "&amp;E63,Segmentación!$W$4:$W$18,0))-P63,""))</f>
        <v/>
      </c>
      <c r="U63" s="45" t="str">
        <f aca="false">IF(OR(D63="",M63=""),"",IFERROR(INDEX(Segmentación!$J$4:$J$18,MATCH(D63&amp;" | "&amp;E63,Segmentación!$W$4:$W$18,0))-Q63,""))</f>
        <v/>
      </c>
      <c r="V63" s="41" t="str">
        <f aca="false">IF(OR(D63="",M63=""),"",IFERROR(INDEX(Segmentación!$K$4:$K$18,MATCH(D63&amp;" | "&amp;E63,Segmentación!$W$4:$W$18,0))-R63,""))</f>
        <v/>
      </c>
      <c r="W63" s="42" t="str">
        <f aca="false">IF(OR(S63="",V63=""),"",IF(V63=0,"",T63/V63))</f>
        <v/>
      </c>
      <c r="X63" s="19" t="str">
        <f aca="true">IF(C63="","",IF(OR(D63="",ISNUMBER(SEARCH("negativa",C63))),IF(M63="","Pendiente de aplicar","Aplicado (no se evalúa)"),IF(M63="","Pendiente de aplicar",IF(S63="","Sin datos",IF(S63&lt;Leyenda!$B$13,"Esperando datos ("&amp;S63&amp;" de 10 clics)",IF(U63=0,"Empeora: "&amp;S63&amp;" clics sin venta",IF(TODAY()&lt;N63,"Esperando atribución (7 días)",IF(W63&lt;=J63,"Mejora (ACOS "&amp;TEXT(W63,"0%")&amp;")","Empeora (ACOS "&amp;TEXT(W63,"0%")&amp;")"))))))))</f>
        <v/>
      </c>
      <c r="Y63" s="18"/>
    </row>
    <row r="64" customFormat="false" ht="15" hidden="false" customHeight="false" outlineLevel="0" collapsed="false">
      <c r="A64" s="39" t="s">
        <v>275</v>
      </c>
      <c r="B64" s="44"/>
      <c r="C64" s="43"/>
      <c r="D64" s="18"/>
      <c r="E64" s="43"/>
      <c r="F64" s="46"/>
      <c r="G64" s="46"/>
      <c r="H64" s="42" t="str">
        <f aca="false">IF(OR(F64="",G64="",F64=0),"",G64/F64-1)</f>
        <v/>
      </c>
      <c r="I64" s="18"/>
      <c r="J64" s="47"/>
      <c r="K64" s="43"/>
      <c r="L64" s="43"/>
      <c r="M64" s="44"/>
      <c r="N64" s="40" t="str">
        <f aca="false">IF(M64="","",M64+Leyenda!$B$15)</f>
        <v/>
      </c>
      <c r="O64" s="48"/>
      <c r="P64" s="46"/>
      <c r="Q64" s="48"/>
      <c r="R64" s="46"/>
      <c r="S64" s="45" t="str">
        <f aca="false">IF(OR(D64="",M64=""),"",IFERROR(INDEX(Segmentación!$F$4:$F$18,MATCH(D64&amp;" | "&amp;E64,Segmentación!$W$4:$W$18,0))-O64,""))</f>
        <v/>
      </c>
      <c r="T64" s="41" t="str">
        <f aca="false">IF(OR(D64="",M64=""),"",IFERROR(INDEX(Segmentación!$H$4:$H$18,MATCH(D64&amp;" | "&amp;E64,Segmentación!$W$4:$W$18,0))-P64,""))</f>
        <v/>
      </c>
      <c r="U64" s="45" t="str">
        <f aca="false">IF(OR(D64="",M64=""),"",IFERROR(INDEX(Segmentación!$J$4:$J$18,MATCH(D64&amp;" | "&amp;E64,Segmentación!$W$4:$W$18,0))-Q64,""))</f>
        <v/>
      </c>
      <c r="V64" s="41" t="str">
        <f aca="false">IF(OR(D64="",M64=""),"",IFERROR(INDEX(Segmentación!$K$4:$K$18,MATCH(D64&amp;" | "&amp;E64,Segmentación!$W$4:$W$18,0))-R64,""))</f>
        <v/>
      </c>
      <c r="W64" s="42" t="str">
        <f aca="false">IF(OR(S64="",V64=""),"",IF(V64=0,"",T64/V64))</f>
        <v/>
      </c>
      <c r="X64" s="19" t="str">
        <f aca="true">IF(C64="","",IF(OR(D64="",ISNUMBER(SEARCH("negativa",C64))),IF(M64="","Pendiente de aplicar","Aplicado (no se evalúa)"),IF(M64="","Pendiente de aplicar",IF(S64="","Sin datos",IF(S64&lt;Leyenda!$B$13,"Esperando datos ("&amp;S64&amp;" de 10 clics)",IF(U64=0,"Empeora: "&amp;S64&amp;" clics sin venta",IF(TODAY()&lt;N64,"Esperando atribución (7 días)",IF(W64&lt;=J64,"Mejora (ACOS "&amp;TEXT(W64,"0%")&amp;")","Empeora (ACOS "&amp;TEXT(W64,"0%")&amp;")"))))))))</f>
        <v/>
      </c>
      <c r="Y64" s="18"/>
    </row>
    <row r="65" customFormat="false" ht="15" hidden="false" customHeight="false" outlineLevel="0" collapsed="false">
      <c r="A65" s="39" t="s">
        <v>276</v>
      </c>
      <c r="B65" s="44"/>
      <c r="C65" s="43"/>
      <c r="D65" s="18"/>
      <c r="E65" s="43"/>
      <c r="F65" s="46"/>
      <c r="G65" s="46"/>
      <c r="H65" s="42" t="str">
        <f aca="false">IF(OR(F65="",G65="",F65=0),"",G65/F65-1)</f>
        <v/>
      </c>
      <c r="I65" s="18"/>
      <c r="J65" s="47"/>
      <c r="K65" s="43"/>
      <c r="L65" s="43"/>
      <c r="M65" s="44"/>
      <c r="N65" s="40" t="str">
        <f aca="false">IF(M65="","",M65+Leyenda!$B$15)</f>
        <v/>
      </c>
      <c r="O65" s="48"/>
      <c r="P65" s="46"/>
      <c r="Q65" s="48"/>
      <c r="R65" s="46"/>
      <c r="S65" s="45" t="str">
        <f aca="false">IF(OR(D65="",M65=""),"",IFERROR(INDEX(Segmentación!$F$4:$F$18,MATCH(D65&amp;" | "&amp;E65,Segmentación!$W$4:$W$18,0))-O65,""))</f>
        <v/>
      </c>
      <c r="T65" s="41" t="str">
        <f aca="false">IF(OR(D65="",M65=""),"",IFERROR(INDEX(Segmentación!$H$4:$H$18,MATCH(D65&amp;" | "&amp;E65,Segmentación!$W$4:$W$18,0))-P65,""))</f>
        <v/>
      </c>
      <c r="U65" s="45" t="str">
        <f aca="false">IF(OR(D65="",M65=""),"",IFERROR(INDEX(Segmentación!$J$4:$J$18,MATCH(D65&amp;" | "&amp;E65,Segmentación!$W$4:$W$18,0))-Q65,""))</f>
        <v/>
      </c>
      <c r="V65" s="41" t="str">
        <f aca="false">IF(OR(D65="",M65=""),"",IFERROR(INDEX(Segmentación!$K$4:$K$18,MATCH(D65&amp;" | "&amp;E65,Segmentación!$W$4:$W$18,0))-R65,""))</f>
        <v/>
      </c>
      <c r="W65" s="42" t="str">
        <f aca="false">IF(OR(S65="",V65=""),"",IF(V65=0,"",T65/V65))</f>
        <v/>
      </c>
      <c r="X65" s="19" t="str">
        <f aca="true">IF(C65="","",IF(OR(D65="",ISNUMBER(SEARCH("negativa",C65))),IF(M65="","Pendiente de aplicar","Aplicado (no se evalúa)"),IF(M65="","Pendiente de aplicar",IF(S65="","Sin datos",IF(S65&lt;Leyenda!$B$13,"Esperando datos ("&amp;S65&amp;" de 10 clics)",IF(U65=0,"Empeora: "&amp;S65&amp;" clics sin venta",IF(TODAY()&lt;N65,"Esperando atribución (7 días)",IF(W65&lt;=J65,"Mejora (ACOS "&amp;TEXT(W65,"0%")&amp;")","Empeora (ACOS "&amp;TEXT(W65,"0%")&amp;")"))))))))</f>
        <v/>
      </c>
      <c r="Y65" s="18"/>
    </row>
    <row r="66" customFormat="false" ht="15" hidden="false" customHeight="false" outlineLevel="0" collapsed="false">
      <c r="A66" s="39" t="s">
        <v>277</v>
      </c>
      <c r="B66" s="44"/>
      <c r="C66" s="43"/>
      <c r="D66" s="18"/>
      <c r="E66" s="43"/>
      <c r="F66" s="46"/>
      <c r="G66" s="46"/>
      <c r="H66" s="42" t="str">
        <f aca="false">IF(OR(F66="",G66="",F66=0),"",G66/F66-1)</f>
        <v/>
      </c>
      <c r="I66" s="18"/>
      <c r="J66" s="47"/>
      <c r="K66" s="43"/>
      <c r="L66" s="43"/>
      <c r="M66" s="44"/>
      <c r="N66" s="40" t="str">
        <f aca="false">IF(M66="","",M66+Leyenda!$B$15)</f>
        <v/>
      </c>
      <c r="O66" s="48"/>
      <c r="P66" s="46"/>
      <c r="Q66" s="48"/>
      <c r="R66" s="46"/>
      <c r="S66" s="45" t="str">
        <f aca="false">IF(OR(D66="",M66=""),"",IFERROR(INDEX(Segmentación!$F$4:$F$18,MATCH(D66&amp;" | "&amp;E66,Segmentación!$W$4:$W$18,0))-O66,""))</f>
        <v/>
      </c>
      <c r="T66" s="41" t="str">
        <f aca="false">IF(OR(D66="",M66=""),"",IFERROR(INDEX(Segmentación!$H$4:$H$18,MATCH(D66&amp;" | "&amp;E66,Segmentación!$W$4:$W$18,0))-P66,""))</f>
        <v/>
      </c>
      <c r="U66" s="45" t="str">
        <f aca="false">IF(OR(D66="",M66=""),"",IFERROR(INDEX(Segmentación!$J$4:$J$18,MATCH(D66&amp;" | "&amp;E66,Segmentación!$W$4:$W$18,0))-Q66,""))</f>
        <v/>
      </c>
      <c r="V66" s="41" t="str">
        <f aca="false">IF(OR(D66="",M66=""),"",IFERROR(INDEX(Segmentación!$K$4:$K$18,MATCH(D66&amp;" | "&amp;E66,Segmentación!$W$4:$W$18,0))-R66,""))</f>
        <v/>
      </c>
      <c r="W66" s="42" t="str">
        <f aca="false">IF(OR(S66="",V66=""),"",IF(V66=0,"",T66/V66))</f>
        <v/>
      </c>
      <c r="X66" s="19" t="str">
        <f aca="true">IF(C66="","",IF(OR(D66="",ISNUMBER(SEARCH("negativa",C66))),IF(M66="","Pendiente de aplicar","Aplicado (no se evalúa)"),IF(M66="","Pendiente de aplicar",IF(S66="","Sin datos",IF(S66&lt;Leyenda!$B$13,"Esperando datos ("&amp;S66&amp;" de 10 clics)",IF(U66=0,"Empeora: "&amp;S66&amp;" clics sin venta",IF(TODAY()&lt;N66,"Esperando atribución (7 días)",IF(W66&lt;=J66,"Mejora (ACOS "&amp;TEXT(W66,"0%")&amp;")","Empeora (ACOS "&amp;TEXT(W66,"0%")&amp;")"))))))))</f>
        <v/>
      </c>
      <c r="Y66" s="18"/>
    </row>
    <row r="67" customFormat="false" ht="15" hidden="false" customHeight="false" outlineLevel="0" collapsed="false">
      <c r="A67" s="39" t="s">
        <v>278</v>
      </c>
      <c r="B67" s="44"/>
      <c r="C67" s="43"/>
      <c r="D67" s="18"/>
      <c r="E67" s="43"/>
      <c r="F67" s="46"/>
      <c r="G67" s="46"/>
      <c r="H67" s="42" t="str">
        <f aca="false">IF(OR(F67="",G67="",F67=0),"",G67/F67-1)</f>
        <v/>
      </c>
      <c r="I67" s="18"/>
      <c r="J67" s="47"/>
      <c r="K67" s="43"/>
      <c r="L67" s="43"/>
      <c r="M67" s="44"/>
      <c r="N67" s="40" t="str">
        <f aca="false">IF(M67="","",M67+Leyenda!$B$15)</f>
        <v/>
      </c>
      <c r="O67" s="48"/>
      <c r="P67" s="46"/>
      <c r="Q67" s="48"/>
      <c r="R67" s="46"/>
      <c r="S67" s="45" t="str">
        <f aca="false">IF(OR(D67="",M67=""),"",IFERROR(INDEX(Segmentación!$F$4:$F$18,MATCH(D67&amp;" | "&amp;E67,Segmentación!$W$4:$W$18,0))-O67,""))</f>
        <v/>
      </c>
      <c r="T67" s="41" t="str">
        <f aca="false">IF(OR(D67="",M67=""),"",IFERROR(INDEX(Segmentación!$H$4:$H$18,MATCH(D67&amp;" | "&amp;E67,Segmentación!$W$4:$W$18,0))-P67,""))</f>
        <v/>
      </c>
      <c r="U67" s="45" t="str">
        <f aca="false">IF(OR(D67="",M67=""),"",IFERROR(INDEX(Segmentación!$J$4:$J$18,MATCH(D67&amp;" | "&amp;E67,Segmentación!$W$4:$W$18,0))-Q67,""))</f>
        <v/>
      </c>
      <c r="V67" s="41" t="str">
        <f aca="false">IF(OR(D67="",M67=""),"",IFERROR(INDEX(Segmentación!$K$4:$K$18,MATCH(D67&amp;" | "&amp;E67,Segmentación!$W$4:$W$18,0))-R67,""))</f>
        <v/>
      </c>
      <c r="W67" s="42" t="str">
        <f aca="false">IF(OR(S67="",V67=""),"",IF(V67=0,"",T67/V67))</f>
        <v/>
      </c>
      <c r="X67" s="19" t="str">
        <f aca="true">IF(C67="","",IF(OR(D67="",ISNUMBER(SEARCH("negativa",C67))),IF(M67="","Pendiente de aplicar","Aplicado (no se evalúa)"),IF(M67="","Pendiente de aplicar",IF(S67="","Sin datos",IF(S67&lt;Leyenda!$B$13,"Esperando datos ("&amp;S67&amp;" de 10 clics)",IF(U67=0,"Empeora: "&amp;S67&amp;" clics sin venta",IF(TODAY()&lt;N67,"Esperando atribución (7 días)",IF(W67&lt;=J67,"Mejora (ACOS "&amp;TEXT(W67,"0%")&amp;")","Empeora (ACOS "&amp;TEXT(W67,"0%")&amp;")"))))))))</f>
        <v/>
      </c>
      <c r="Y67" s="18"/>
    </row>
    <row r="68" customFormat="false" ht="15" hidden="false" customHeight="false" outlineLevel="0" collapsed="false">
      <c r="A68" s="39" t="s">
        <v>279</v>
      </c>
      <c r="B68" s="44"/>
      <c r="C68" s="43"/>
      <c r="D68" s="18"/>
      <c r="E68" s="43"/>
      <c r="F68" s="46"/>
      <c r="G68" s="46"/>
      <c r="H68" s="42" t="str">
        <f aca="false">IF(OR(F68="",G68="",F68=0),"",G68/F68-1)</f>
        <v/>
      </c>
      <c r="I68" s="18"/>
      <c r="J68" s="47"/>
      <c r="K68" s="43"/>
      <c r="L68" s="43"/>
      <c r="M68" s="44"/>
      <c r="N68" s="40" t="str">
        <f aca="false">IF(M68="","",M68+Leyenda!$B$15)</f>
        <v/>
      </c>
      <c r="O68" s="48"/>
      <c r="P68" s="46"/>
      <c r="Q68" s="48"/>
      <c r="R68" s="46"/>
      <c r="S68" s="45" t="str">
        <f aca="false">IF(OR(D68="",M68=""),"",IFERROR(INDEX(Segmentación!$F$4:$F$18,MATCH(D68&amp;" | "&amp;E68,Segmentación!$W$4:$W$18,0))-O68,""))</f>
        <v/>
      </c>
      <c r="T68" s="41" t="str">
        <f aca="false">IF(OR(D68="",M68=""),"",IFERROR(INDEX(Segmentación!$H$4:$H$18,MATCH(D68&amp;" | "&amp;E68,Segmentación!$W$4:$W$18,0))-P68,""))</f>
        <v/>
      </c>
      <c r="U68" s="45" t="str">
        <f aca="false">IF(OR(D68="",M68=""),"",IFERROR(INDEX(Segmentación!$J$4:$J$18,MATCH(D68&amp;" | "&amp;E68,Segmentación!$W$4:$W$18,0))-Q68,""))</f>
        <v/>
      </c>
      <c r="V68" s="41" t="str">
        <f aca="false">IF(OR(D68="",M68=""),"",IFERROR(INDEX(Segmentación!$K$4:$K$18,MATCH(D68&amp;" | "&amp;E68,Segmentación!$W$4:$W$18,0))-R68,""))</f>
        <v/>
      </c>
      <c r="W68" s="42" t="str">
        <f aca="false">IF(OR(S68="",V68=""),"",IF(V68=0,"",T68/V68))</f>
        <v/>
      </c>
      <c r="X68" s="19" t="str">
        <f aca="true">IF(C68="","",IF(OR(D68="",ISNUMBER(SEARCH("negativa",C68))),IF(M68="","Pendiente de aplicar","Aplicado (no se evalúa)"),IF(M68="","Pendiente de aplicar",IF(S68="","Sin datos",IF(S68&lt;Leyenda!$B$13,"Esperando datos ("&amp;S68&amp;" de 10 clics)",IF(U68=0,"Empeora: "&amp;S68&amp;" clics sin venta",IF(TODAY()&lt;N68,"Esperando atribución (7 días)",IF(W68&lt;=J68,"Mejora (ACOS "&amp;TEXT(W68,"0%")&amp;")","Empeora (ACOS "&amp;TEXT(W68,"0%")&amp;")"))))))))</f>
        <v/>
      </c>
      <c r="Y68" s="18"/>
    </row>
    <row r="69" customFormat="false" ht="15" hidden="false" customHeight="false" outlineLevel="0" collapsed="false">
      <c r="A69" s="39" t="s">
        <v>280</v>
      </c>
      <c r="B69" s="44"/>
      <c r="C69" s="43"/>
      <c r="D69" s="18"/>
      <c r="E69" s="43"/>
      <c r="F69" s="46"/>
      <c r="G69" s="46"/>
      <c r="H69" s="42" t="str">
        <f aca="false">IF(OR(F69="",G69="",F69=0),"",G69/F69-1)</f>
        <v/>
      </c>
      <c r="I69" s="18"/>
      <c r="J69" s="47"/>
      <c r="K69" s="43"/>
      <c r="L69" s="43"/>
      <c r="M69" s="44"/>
      <c r="N69" s="40" t="str">
        <f aca="false">IF(M69="","",M69+Leyenda!$B$15)</f>
        <v/>
      </c>
      <c r="O69" s="48"/>
      <c r="P69" s="46"/>
      <c r="Q69" s="48"/>
      <c r="R69" s="46"/>
      <c r="S69" s="45" t="str">
        <f aca="false">IF(OR(D69="",M69=""),"",IFERROR(INDEX(Segmentación!$F$4:$F$18,MATCH(D69&amp;" | "&amp;E69,Segmentación!$W$4:$W$18,0))-O69,""))</f>
        <v/>
      </c>
      <c r="T69" s="41" t="str">
        <f aca="false">IF(OR(D69="",M69=""),"",IFERROR(INDEX(Segmentación!$H$4:$H$18,MATCH(D69&amp;" | "&amp;E69,Segmentación!$W$4:$W$18,0))-P69,""))</f>
        <v/>
      </c>
      <c r="U69" s="45" t="str">
        <f aca="false">IF(OR(D69="",M69=""),"",IFERROR(INDEX(Segmentación!$J$4:$J$18,MATCH(D69&amp;" | "&amp;E69,Segmentación!$W$4:$W$18,0))-Q69,""))</f>
        <v/>
      </c>
      <c r="V69" s="41" t="str">
        <f aca="false">IF(OR(D69="",M69=""),"",IFERROR(INDEX(Segmentación!$K$4:$K$18,MATCH(D69&amp;" | "&amp;E69,Segmentación!$W$4:$W$18,0))-R69,""))</f>
        <v/>
      </c>
      <c r="W69" s="42" t="str">
        <f aca="false">IF(OR(S69="",V69=""),"",IF(V69=0,"",T69/V69))</f>
        <v/>
      </c>
      <c r="X69" s="19" t="str">
        <f aca="true">IF(C69="","",IF(OR(D69="",ISNUMBER(SEARCH("negativa",C69))),IF(M69="","Pendiente de aplicar","Aplicado (no se evalúa)"),IF(M69="","Pendiente de aplicar",IF(S69="","Sin datos",IF(S69&lt;Leyenda!$B$13,"Esperando datos ("&amp;S69&amp;" de 10 clics)",IF(U69=0,"Empeora: "&amp;S69&amp;" clics sin venta",IF(TODAY()&lt;N69,"Esperando atribución (7 días)",IF(W69&lt;=J69,"Mejora (ACOS "&amp;TEXT(W69,"0%")&amp;")","Empeora (ACOS "&amp;TEXT(W69,"0%")&amp;")"))))))))</f>
        <v/>
      </c>
      <c r="Y69" s="18"/>
    </row>
    <row r="70" customFormat="false" ht="15" hidden="false" customHeight="false" outlineLevel="0" collapsed="false">
      <c r="A70" s="39" t="s">
        <v>281</v>
      </c>
      <c r="B70" s="44"/>
      <c r="C70" s="43"/>
      <c r="D70" s="18"/>
      <c r="E70" s="43"/>
      <c r="F70" s="46"/>
      <c r="G70" s="46"/>
      <c r="H70" s="42" t="str">
        <f aca="false">IF(OR(F70="",G70="",F70=0),"",G70/F70-1)</f>
        <v/>
      </c>
      <c r="I70" s="18"/>
      <c r="J70" s="47"/>
      <c r="K70" s="43"/>
      <c r="L70" s="43"/>
      <c r="M70" s="44"/>
      <c r="N70" s="40" t="str">
        <f aca="false">IF(M70="","",M70+Leyenda!$B$15)</f>
        <v/>
      </c>
      <c r="O70" s="48"/>
      <c r="P70" s="46"/>
      <c r="Q70" s="48"/>
      <c r="R70" s="46"/>
      <c r="S70" s="45" t="str">
        <f aca="false">IF(OR(D70="",M70=""),"",IFERROR(INDEX(Segmentación!$F$4:$F$18,MATCH(D70&amp;" | "&amp;E70,Segmentación!$W$4:$W$18,0))-O70,""))</f>
        <v/>
      </c>
      <c r="T70" s="41" t="str">
        <f aca="false">IF(OR(D70="",M70=""),"",IFERROR(INDEX(Segmentación!$H$4:$H$18,MATCH(D70&amp;" | "&amp;E70,Segmentación!$W$4:$W$18,0))-P70,""))</f>
        <v/>
      </c>
      <c r="U70" s="45" t="str">
        <f aca="false">IF(OR(D70="",M70=""),"",IFERROR(INDEX(Segmentación!$J$4:$J$18,MATCH(D70&amp;" | "&amp;E70,Segmentación!$W$4:$W$18,0))-Q70,""))</f>
        <v/>
      </c>
      <c r="V70" s="41" t="str">
        <f aca="false">IF(OR(D70="",M70=""),"",IFERROR(INDEX(Segmentación!$K$4:$K$18,MATCH(D70&amp;" | "&amp;E70,Segmentación!$W$4:$W$18,0))-R70,""))</f>
        <v/>
      </c>
      <c r="W70" s="42" t="str">
        <f aca="false">IF(OR(S70="",V70=""),"",IF(V70=0,"",T70/V70))</f>
        <v/>
      </c>
      <c r="X70" s="19" t="str">
        <f aca="true">IF(C70="","",IF(OR(D70="",ISNUMBER(SEARCH("negativa",C70))),IF(M70="","Pendiente de aplicar","Aplicado (no se evalúa)"),IF(M70="","Pendiente de aplicar",IF(S70="","Sin datos",IF(S70&lt;Leyenda!$B$13,"Esperando datos ("&amp;S70&amp;" de 10 clics)",IF(U70=0,"Empeora: "&amp;S70&amp;" clics sin venta",IF(TODAY()&lt;N70,"Esperando atribución (7 días)",IF(W70&lt;=J70,"Mejora (ACOS "&amp;TEXT(W70,"0%")&amp;")","Empeora (ACOS "&amp;TEXT(W70,"0%")&amp;")"))))))))</f>
        <v/>
      </c>
      <c r="Y70" s="18"/>
    </row>
    <row r="71" customFormat="false" ht="15" hidden="false" customHeight="false" outlineLevel="0" collapsed="false">
      <c r="A71" s="39" t="s">
        <v>282</v>
      </c>
      <c r="B71" s="44"/>
      <c r="C71" s="43"/>
      <c r="D71" s="18"/>
      <c r="E71" s="43"/>
      <c r="F71" s="46"/>
      <c r="G71" s="46"/>
      <c r="H71" s="42" t="str">
        <f aca="false">IF(OR(F71="",G71="",F71=0),"",G71/F71-1)</f>
        <v/>
      </c>
      <c r="I71" s="18"/>
      <c r="J71" s="47"/>
      <c r="K71" s="43"/>
      <c r="L71" s="43"/>
      <c r="M71" s="44"/>
      <c r="N71" s="40" t="str">
        <f aca="false">IF(M71="","",M71+Leyenda!$B$15)</f>
        <v/>
      </c>
      <c r="O71" s="48"/>
      <c r="P71" s="46"/>
      <c r="Q71" s="48"/>
      <c r="R71" s="46"/>
      <c r="S71" s="45" t="str">
        <f aca="false">IF(OR(D71="",M71=""),"",IFERROR(INDEX(Segmentación!$F$4:$F$18,MATCH(D71&amp;" | "&amp;E71,Segmentación!$W$4:$W$18,0))-O71,""))</f>
        <v/>
      </c>
      <c r="T71" s="41" t="str">
        <f aca="false">IF(OR(D71="",M71=""),"",IFERROR(INDEX(Segmentación!$H$4:$H$18,MATCH(D71&amp;" | "&amp;E71,Segmentación!$W$4:$W$18,0))-P71,""))</f>
        <v/>
      </c>
      <c r="U71" s="45" t="str">
        <f aca="false">IF(OR(D71="",M71=""),"",IFERROR(INDEX(Segmentación!$J$4:$J$18,MATCH(D71&amp;" | "&amp;E71,Segmentación!$W$4:$W$18,0))-Q71,""))</f>
        <v/>
      </c>
      <c r="V71" s="41" t="str">
        <f aca="false">IF(OR(D71="",M71=""),"",IFERROR(INDEX(Segmentación!$K$4:$K$18,MATCH(D71&amp;" | "&amp;E71,Segmentación!$W$4:$W$18,0))-R71,""))</f>
        <v/>
      </c>
      <c r="W71" s="42" t="str">
        <f aca="false">IF(OR(S71="",V71=""),"",IF(V71=0,"",T71/V71))</f>
        <v/>
      </c>
      <c r="X71" s="19" t="str">
        <f aca="true">IF(C71="","",IF(OR(D71="",ISNUMBER(SEARCH("negativa",C71))),IF(M71="","Pendiente de aplicar","Aplicado (no se evalúa)"),IF(M71="","Pendiente de aplicar",IF(S71="","Sin datos",IF(S71&lt;Leyenda!$B$13,"Esperando datos ("&amp;S71&amp;" de 10 clics)",IF(U71=0,"Empeora: "&amp;S71&amp;" clics sin venta",IF(TODAY()&lt;N71,"Esperando atribución (7 días)",IF(W71&lt;=J71,"Mejora (ACOS "&amp;TEXT(W71,"0%")&amp;")","Empeora (ACOS "&amp;TEXT(W71,"0%")&amp;")"))))))))</f>
        <v/>
      </c>
      <c r="Y71" s="18"/>
    </row>
    <row r="72" customFormat="false" ht="15" hidden="false" customHeight="false" outlineLevel="0" collapsed="false">
      <c r="A72" s="39" t="s">
        <v>283</v>
      </c>
      <c r="B72" s="44"/>
      <c r="C72" s="43"/>
      <c r="D72" s="18"/>
      <c r="E72" s="43"/>
      <c r="F72" s="46"/>
      <c r="G72" s="46"/>
      <c r="H72" s="42" t="str">
        <f aca="false">IF(OR(F72="",G72="",F72=0),"",G72/F72-1)</f>
        <v/>
      </c>
      <c r="I72" s="18"/>
      <c r="J72" s="47"/>
      <c r="K72" s="43"/>
      <c r="L72" s="43"/>
      <c r="M72" s="44"/>
      <c r="N72" s="40" t="str">
        <f aca="false">IF(M72="","",M72+Leyenda!$B$15)</f>
        <v/>
      </c>
      <c r="O72" s="48"/>
      <c r="P72" s="46"/>
      <c r="Q72" s="48"/>
      <c r="R72" s="46"/>
      <c r="S72" s="45" t="str">
        <f aca="false">IF(OR(D72="",M72=""),"",IFERROR(INDEX(Segmentación!$F$4:$F$18,MATCH(D72&amp;" | "&amp;E72,Segmentación!$W$4:$W$18,0))-O72,""))</f>
        <v/>
      </c>
      <c r="T72" s="41" t="str">
        <f aca="false">IF(OR(D72="",M72=""),"",IFERROR(INDEX(Segmentación!$H$4:$H$18,MATCH(D72&amp;" | "&amp;E72,Segmentación!$W$4:$W$18,0))-P72,""))</f>
        <v/>
      </c>
      <c r="U72" s="45" t="str">
        <f aca="false">IF(OR(D72="",M72=""),"",IFERROR(INDEX(Segmentación!$J$4:$J$18,MATCH(D72&amp;" | "&amp;E72,Segmentación!$W$4:$W$18,0))-Q72,""))</f>
        <v/>
      </c>
      <c r="V72" s="41" t="str">
        <f aca="false">IF(OR(D72="",M72=""),"",IFERROR(INDEX(Segmentación!$K$4:$K$18,MATCH(D72&amp;" | "&amp;E72,Segmentación!$W$4:$W$18,0))-R72,""))</f>
        <v/>
      </c>
      <c r="W72" s="42" t="str">
        <f aca="false">IF(OR(S72="",V72=""),"",IF(V72=0,"",T72/V72))</f>
        <v/>
      </c>
      <c r="X72" s="19" t="str">
        <f aca="true">IF(C72="","",IF(OR(D72="",ISNUMBER(SEARCH("negativa",C72))),IF(M72="","Pendiente de aplicar","Aplicado (no se evalúa)"),IF(M72="","Pendiente de aplicar",IF(S72="","Sin datos",IF(S72&lt;Leyenda!$B$13,"Esperando datos ("&amp;S72&amp;" de 10 clics)",IF(U72=0,"Empeora: "&amp;S72&amp;" clics sin venta",IF(TODAY()&lt;N72,"Esperando atribución (7 días)",IF(W72&lt;=J72,"Mejora (ACOS "&amp;TEXT(W72,"0%")&amp;")","Empeora (ACOS "&amp;TEXT(W72,"0%")&amp;")"))))))))</f>
        <v/>
      </c>
      <c r="Y72" s="18"/>
    </row>
    <row r="73" customFormat="false" ht="15" hidden="false" customHeight="false" outlineLevel="0" collapsed="false">
      <c r="A73" s="39" t="s">
        <v>284</v>
      </c>
      <c r="B73" s="44"/>
      <c r="C73" s="43"/>
      <c r="D73" s="18"/>
      <c r="E73" s="43"/>
      <c r="F73" s="46"/>
      <c r="G73" s="46"/>
      <c r="H73" s="42" t="str">
        <f aca="false">IF(OR(F73="",G73="",F73=0),"",G73/F73-1)</f>
        <v/>
      </c>
      <c r="I73" s="18"/>
      <c r="J73" s="47"/>
      <c r="K73" s="43"/>
      <c r="L73" s="43"/>
      <c r="M73" s="44"/>
      <c r="N73" s="40" t="str">
        <f aca="false">IF(M73="","",M73+Leyenda!$B$15)</f>
        <v/>
      </c>
      <c r="O73" s="48"/>
      <c r="P73" s="46"/>
      <c r="Q73" s="48"/>
      <c r="R73" s="46"/>
      <c r="S73" s="45" t="str">
        <f aca="false">IF(OR(D73="",M73=""),"",IFERROR(INDEX(Segmentación!$F$4:$F$18,MATCH(D73&amp;" | "&amp;E73,Segmentación!$W$4:$W$18,0))-O73,""))</f>
        <v/>
      </c>
      <c r="T73" s="41" t="str">
        <f aca="false">IF(OR(D73="",M73=""),"",IFERROR(INDEX(Segmentación!$H$4:$H$18,MATCH(D73&amp;" | "&amp;E73,Segmentación!$W$4:$W$18,0))-P73,""))</f>
        <v/>
      </c>
      <c r="U73" s="45" t="str">
        <f aca="false">IF(OR(D73="",M73=""),"",IFERROR(INDEX(Segmentación!$J$4:$J$18,MATCH(D73&amp;" | "&amp;E73,Segmentación!$W$4:$W$18,0))-Q73,""))</f>
        <v/>
      </c>
      <c r="V73" s="41" t="str">
        <f aca="false">IF(OR(D73="",M73=""),"",IFERROR(INDEX(Segmentación!$K$4:$K$18,MATCH(D73&amp;" | "&amp;E73,Segmentación!$W$4:$W$18,0))-R73,""))</f>
        <v/>
      </c>
      <c r="W73" s="42" t="str">
        <f aca="false">IF(OR(S73="",V73=""),"",IF(V73=0,"",T73/V73))</f>
        <v/>
      </c>
      <c r="X73" s="19" t="str">
        <f aca="true">IF(C73="","",IF(OR(D73="",ISNUMBER(SEARCH("negativa",C73))),IF(M73="","Pendiente de aplicar","Aplicado (no se evalúa)"),IF(M73="","Pendiente de aplicar",IF(S73="","Sin datos",IF(S73&lt;Leyenda!$B$13,"Esperando datos ("&amp;S73&amp;" de 10 clics)",IF(U73=0,"Empeora: "&amp;S73&amp;" clics sin venta",IF(TODAY()&lt;N73,"Esperando atribución (7 días)",IF(W73&lt;=J73,"Mejora (ACOS "&amp;TEXT(W73,"0%")&amp;")","Empeora (ACOS "&amp;TEXT(W73,"0%")&amp;")"))))))))</f>
        <v/>
      </c>
      <c r="Y73" s="18"/>
    </row>
    <row r="74" customFormat="false" ht="15" hidden="false" customHeight="false" outlineLevel="0" collapsed="false">
      <c r="A74" s="39" t="s">
        <v>285</v>
      </c>
      <c r="B74" s="44"/>
      <c r="C74" s="43"/>
      <c r="D74" s="18"/>
      <c r="E74" s="43"/>
      <c r="F74" s="46"/>
      <c r="G74" s="46"/>
      <c r="H74" s="42" t="str">
        <f aca="false">IF(OR(F74="",G74="",F74=0),"",G74/F74-1)</f>
        <v/>
      </c>
      <c r="I74" s="18"/>
      <c r="J74" s="47"/>
      <c r="K74" s="43"/>
      <c r="L74" s="43"/>
      <c r="M74" s="44"/>
      <c r="N74" s="40" t="str">
        <f aca="false">IF(M74="","",M74+Leyenda!$B$15)</f>
        <v/>
      </c>
      <c r="O74" s="48"/>
      <c r="P74" s="46"/>
      <c r="Q74" s="48"/>
      <c r="R74" s="46"/>
      <c r="S74" s="45" t="str">
        <f aca="false">IF(OR(D74="",M74=""),"",IFERROR(INDEX(Segmentación!$F$4:$F$18,MATCH(D74&amp;" | "&amp;E74,Segmentación!$W$4:$W$18,0))-O74,""))</f>
        <v/>
      </c>
      <c r="T74" s="41" t="str">
        <f aca="false">IF(OR(D74="",M74=""),"",IFERROR(INDEX(Segmentación!$H$4:$H$18,MATCH(D74&amp;" | "&amp;E74,Segmentación!$W$4:$W$18,0))-P74,""))</f>
        <v/>
      </c>
      <c r="U74" s="45" t="str">
        <f aca="false">IF(OR(D74="",M74=""),"",IFERROR(INDEX(Segmentación!$J$4:$J$18,MATCH(D74&amp;" | "&amp;E74,Segmentación!$W$4:$W$18,0))-Q74,""))</f>
        <v/>
      </c>
      <c r="V74" s="41" t="str">
        <f aca="false">IF(OR(D74="",M74=""),"",IFERROR(INDEX(Segmentación!$K$4:$K$18,MATCH(D74&amp;" | "&amp;E74,Segmentación!$W$4:$W$18,0))-R74,""))</f>
        <v/>
      </c>
      <c r="W74" s="42" t="str">
        <f aca="false">IF(OR(S74="",V74=""),"",IF(V74=0,"",T74/V74))</f>
        <v/>
      </c>
      <c r="X74" s="19" t="str">
        <f aca="true">IF(C74="","",IF(OR(D74="",ISNUMBER(SEARCH("negativa",C74))),IF(M74="","Pendiente de aplicar","Aplicado (no se evalúa)"),IF(M74="","Pendiente de aplicar",IF(S74="","Sin datos",IF(S74&lt;Leyenda!$B$13,"Esperando datos ("&amp;S74&amp;" de 10 clics)",IF(U74=0,"Empeora: "&amp;S74&amp;" clics sin venta",IF(TODAY()&lt;N74,"Esperando atribución (7 días)",IF(W74&lt;=J74,"Mejora (ACOS "&amp;TEXT(W74,"0%")&amp;")","Empeora (ACOS "&amp;TEXT(W74,"0%")&amp;")"))))))))</f>
        <v/>
      </c>
      <c r="Y74" s="18"/>
    </row>
    <row r="75" customFormat="false" ht="15" hidden="false" customHeight="false" outlineLevel="0" collapsed="false">
      <c r="A75" s="39" t="s">
        <v>286</v>
      </c>
      <c r="B75" s="44"/>
      <c r="C75" s="43"/>
      <c r="D75" s="18"/>
      <c r="E75" s="43"/>
      <c r="F75" s="46"/>
      <c r="G75" s="46"/>
      <c r="H75" s="42" t="str">
        <f aca="false">IF(OR(F75="",G75="",F75=0),"",G75/F75-1)</f>
        <v/>
      </c>
      <c r="I75" s="18"/>
      <c r="J75" s="47"/>
      <c r="K75" s="43"/>
      <c r="L75" s="43"/>
      <c r="M75" s="44"/>
      <c r="N75" s="40" t="str">
        <f aca="false">IF(M75="","",M75+Leyenda!$B$15)</f>
        <v/>
      </c>
      <c r="O75" s="48"/>
      <c r="P75" s="46"/>
      <c r="Q75" s="48"/>
      <c r="R75" s="46"/>
      <c r="S75" s="45" t="str">
        <f aca="false">IF(OR(D75="",M75=""),"",IFERROR(INDEX(Segmentación!$F$4:$F$18,MATCH(D75&amp;" | "&amp;E75,Segmentación!$W$4:$W$18,0))-O75,""))</f>
        <v/>
      </c>
      <c r="T75" s="41" t="str">
        <f aca="false">IF(OR(D75="",M75=""),"",IFERROR(INDEX(Segmentación!$H$4:$H$18,MATCH(D75&amp;" | "&amp;E75,Segmentación!$W$4:$W$18,0))-P75,""))</f>
        <v/>
      </c>
      <c r="U75" s="45" t="str">
        <f aca="false">IF(OR(D75="",M75=""),"",IFERROR(INDEX(Segmentación!$J$4:$J$18,MATCH(D75&amp;" | "&amp;E75,Segmentación!$W$4:$W$18,0))-Q75,""))</f>
        <v/>
      </c>
      <c r="V75" s="41" t="str">
        <f aca="false">IF(OR(D75="",M75=""),"",IFERROR(INDEX(Segmentación!$K$4:$K$18,MATCH(D75&amp;" | "&amp;E75,Segmentación!$W$4:$W$18,0))-R75,""))</f>
        <v/>
      </c>
      <c r="W75" s="42" t="str">
        <f aca="false">IF(OR(S75="",V75=""),"",IF(V75=0,"",T75/V75))</f>
        <v/>
      </c>
      <c r="X75" s="19" t="str">
        <f aca="true">IF(C75="","",IF(OR(D75="",ISNUMBER(SEARCH("negativa",C75))),IF(M75="","Pendiente de aplicar","Aplicado (no se evalúa)"),IF(M75="","Pendiente de aplicar",IF(S75="","Sin datos",IF(S75&lt;Leyenda!$B$13,"Esperando datos ("&amp;S75&amp;" de 10 clics)",IF(U75=0,"Empeora: "&amp;S75&amp;" clics sin venta",IF(TODAY()&lt;N75,"Esperando atribución (7 días)",IF(W75&lt;=J75,"Mejora (ACOS "&amp;TEXT(W75,"0%")&amp;")","Empeora (ACOS "&amp;TEXT(W75,"0%")&amp;")"))))))))</f>
        <v/>
      </c>
      <c r="Y75" s="18"/>
    </row>
    <row r="76" customFormat="false" ht="15" hidden="false" customHeight="false" outlineLevel="0" collapsed="false">
      <c r="A76" s="39" t="s">
        <v>287</v>
      </c>
      <c r="B76" s="44"/>
      <c r="C76" s="43"/>
      <c r="D76" s="18"/>
      <c r="E76" s="43"/>
      <c r="F76" s="46"/>
      <c r="G76" s="46"/>
      <c r="H76" s="42" t="str">
        <f aca="false">IF(OR(F76="",G76="",F76=0),"",G76/F76-1)</f>
        <v/>
      </c>
      <c r="I76" s="18"/>
      <c r="J76" s="47"/>
      <c r="K76" s="43"/>
      <c r="L76" s="43"/>
      <c r="M76" s="44"/>
      <c r="N76" s="40" t="str">
        <f aca="false">IF(M76="","",M76+Leyenda!$B$15)</f>
        <v/>
      </c>
      <c r="O76" s="48"/>
      <c r="P76" s="46"/>
      <c r="Q76" s="48"/>
      <c r="R76" s="46"/>
      <c r="S76" s="45" t="str">
        <f aca="false">IF(OR(D76="",M76=""),"",IFERROR(INDEX(Segmentación!$F$4:$F$18,MATCH(D76&amp;" | "&amp;E76,Segmentación!$W$4:$W$18,0))-O76,""))</f>
        <v/>
      </c>
      <c r="T76" s="41" t="str">
        <f aca="false">IF(OR(D76="",M76=""),"",IFERROR(INDEX(Segmentación!$H$4:$H$18,MATCH(D76&amp;" | "&amp;E76,Segmentación!$W$4:$W$18,0))-P76,""))</f>
        <v/>
      </c>
      <c r="U76" s="45" t="str">
        <f aca="false">IF(OR(D76="",M76=""),"",IFERROR(INDEX(Segmentación!$J$4:$J$18,MATCH(D76&amp;" | "&amp;E76,Segmentación!$W$4:$W$18,0))-Q76,""))</f>
        <v/>
      </c>
      <c r="V76" s="41" t="str">
        <f aca="false">IF(OR(D76="",M76=""),"",IFERROR(INDEX(Segmentación!$K$4:$K$18,MATCH(D76&amp;" | "&amp;E76,Segmentación!$W$4:$W$18,0))-R76,""))</f>
        <v/>
      </c>
      <c r="W76" s="42" t="str">
        <f aca="false">IF(OR(S76="",V76=""),"",IF(V76=0,"",T76/V76))</f>
        <v/>
      </c>
      <c r="X76" s="19" t="str">
        <f aca="true">IF(C76="","",IF(OR(D76="",ISNUMBER(SEARCH("negativa",C76))),IF(M76="","Pendiente de aplicar","Aplicado (no se evalúa)"),IF(M76="","Pendiente de aplicar",IF(S76="","Sin datos",IF(S76&lt;Leyenda!$B$13,"Esperando datos ("&amp;S76&amp;" de 10 clics)",IF(U76=0,"Empeora: "&amp;S76&amp;" clics sin venta",IF(TODAY()&lt;N76,"Esperando atribución (7 días)",IF(W76&lt;=J76,"Mejora (ACOS "&amp;TEXT(W76,"0%")&amp;")","Empeora (ACOS "&amp;TEXT(W76,"0%")&amp;")"))))))))</f>
        <v/>
      </c>
      <c r="Y76" s="18"/>
    </row>
    <row r="77" customFormat="false" ht="15" hidden="false" customHeight="false" outlineLevel="0" collapsed="false">
      <c r="A77" s="39" t="s">
        <v>288</v>
      </c>
      <c r="B77" s="44"/>
      <c r="C77" s="43"/>
      <c r="D77" s="18"/>
      <c r="E77" s="43"/>
      <c r="F77" s="46"/>
      <c r="G77" s="46"/>
      <c r="H77" s="42" t="str">
        <f aca="false">IF(OR(F77="",G77="",F77=0),"",G77/F77-1)</f>
        <v/>
      </c>
      <c r="I77" s="18"/>
      <c r="J77" s="47"/>
      <c r="K77" s="43"/>
      <c r="L77" s="43"/>
      <c r="M77" s="44"/>
      <c r="N77" s="40" t="str">
        <f aca="false">IF(M77="","",M77+Leyenda!$B$15)</f>
        <v/>
      </c>
      <c r="O77" s="48"/>
      <c r="P77" s="46"/>
      <c r="Q77" s="48"/>
      <c r="R77" s="46"/>
      <c r="S77" s="45" t="str">
        <f aca="false">IF(OR(D77="",M77=""),"",IFERROR(INDEX(Segmentación!$F$4:$F$18,MATCH(D77&amp;" | "&amp;E77,Segmentación!$W$4:$W$18,0))-O77,""))</f>
        <v/>
      </c>
      <c r="T77" s="41" t="str">
        <f aca="false">IF(OR(D77="",M77=""),"",IFERROR(INDEX(Segmentación!$H$4:$H$18,MATCH(D77&amp;" | "&amp;E77,Segmentación!$W$4:$W$18,0))-P77,""))</f>
        <v/>
      </c>
      <c r="U77" s="45" t="str">
        <f aca="false">IF(OR(D77="",M77=""),"",IFERROR(INDEX(Segmentación!$J$4:$J$18,MATCH(D77&amp;" | "&amp;E77,Segmentación!$W$4:$W$18,0))-Q77,""))</f>
        <v/>
      </c>
      <c r="V77" s="41" t="str">
        <f aca="false">IF(OR(D77="",M77=""),"",IFERROR(INDEX(Segmentación!$K$4:$K$18,MATCH(D77&amp;" | "&amp;E77,Segmentación!$W$4:$W$18,0))-R77,""))</f>
        <v/>
      </c>
      <c r="W77" s="42" t="str">
        <f aca="false">IF(OR(S77="",V77=""),"",IF(V77=0,"",T77/V77))</f>
        <v/>
      </c>
      <c r="X77" s="19" t="str">
        <f aca="true">IF(C77="","",IF(OR(D77="",ISNUMBER(SEARCH("negativa",C77))),IF(M77="","Pendiente de aplicar","Aplicado (no se evalúa)"),IF(M77="","Pendiente de aplicar",IF(S77="","Sin datos",IF(S77&lt;Leyenda!$B$13,"Esperando datos ("&amp;S77&amp;" de 10 clics)",IF(U77=0,"Empeora: "&amp;S77&amp;" clics sin venta",IF(TODAY()&lt;N77,"Esperando atribución (7 días)",IF(W77&lt;=J77,"Mejora (ACOS "&amp;TEXT(W77,"0%")&amp;")","Empeora (ACOS "&amp;TEXT(W77,"0%")&amp;")"))))))))</f>
        <v/>
      </c>
      <c r="Y77" s="18"/>
    </row>
    <row r="78" customFormat="false" ht="15" hidden="false" customHeight="false" outlineLevel="0" collapsed="false">
      <c r="A78" s="39" t="s">
        <v>289</v>
      </c>
      <c r="B78" s="44"/>
      <c r="C78" s="43"/>
      <c r="D78" s="18"/>
      <c r="E78" s="43"/>
      <c r="F78" s="46"/>
      <c r="G78" s="46"/>
      <c r="H78" s="42" t="str">
        <f aca="false">IF(OR(F78="",G78="",F78=0),"",G78/F78-1)</f>
        <v/>
      </c>
      <c r="I78" s="18"/>
      <c r="J78" s="47"/>
      <c r="K78" s="43"/>
      <c r="L78" s="43"/>
      <c r="M78" s="44"/>
      <c r="N78" s="40" t="str">
        <f aca="false">IF(M78="","",M78+Leyenda!$B$15)</f>
        <v/>
      </c>
      <c r="O78" s="48"/>
      <c r="P78" s="46"/>
      <c r="Q78" s="48"/>
      <c r="R78" s="46"/>
      <c r="S78" s="45" t="str">
        <f aca="false">IF(OR(D78="",M78=""),"",IFERROR(INDEX(Segmentación!$F$4:$F$18,MATCH(D78&amp;" | "&amp;E78,Segmentación!$W$4:$W$18,0))-O78,""))</f>
        <v/>
      </c>
      <c r="T78" s="41" t="str">
        <f aca="false">IF(OR(D78="",M78=""),"",IFERROR(INDEX(Segmentación!$H$4:$H$18,MATCH(D78&amp;" | "&amp;E78,Segmentación!$W$4:$W$18,0))-P78,""))</f>
        <v/>
      </c>
      <c r="U78" s="45" t="str">
        <f aca="false">IF(OR(D78="",M78=""),"",IFERROR(INDEX(Segmentación!$J$4:$J$18,MATCH(D78&amp;" | "&amp;E78,Segmentación!$W$4:$W$18,0))-Q78,""))</f>
        <v/>
      </c>
      <c r="V78" s="41" t="str">
        <f aca="false">IF(OR(D78="",M78=""),"",IFERROR(INDEX(Segmentación!$K$4:$K$18,MATCH(D78&amp;" | "&amp;E78,Segmentación!$W$4:$W$18,0))-R78,""))</f>
        <v/>
      </c>
      <c r="W78" s="42" t="str">
        <f aca="false">IF(OR(S78="",V78=""),"",IF(V78=0,"",T78/V78))</f>
        <v/>
      </c>
      <c r="X78" s="19" t="str">
        <f aca="true">IF(C78="","",IF(OR(D78="",ISNUMBER(SEARCH("negativa",C78))),IF(M78="","Pendiente de aplicar","Aplicado (no se evalúa)"),IF(M78="","Pendiente de aplicar",IF(S78="","Sin datos",IF(S78&lt;Leyenda!$B$13,"Esperando datos ("&amp;S78&amp;" de 10 clics)",IF(U78=0,"Empeora: "&amp;S78&amp;" clics sin venta",IF(TODAY()&lt;N78,"Esperando atribución (7 días)",IF(W78&lt;=J78,"Mejora (ACOS "&amp;TEXT(W78,"0%")&amp;")","Empeora (ACOS "&amp;TEXT(W78,"0%")&amp;")"))))))))</f>
        <v/>
      </c>
      <c r="Y78" s="18"/>
    </row>
    <row r="79" customFormat="false" ht="15" hidden="false" customHeight="false" outlineLevel="0" collapsed="false">
      <c r="A79" s="39" t="s">
        <v>290</v>
      </c>
      <c r="B79" s="44"/>
      <c r="C79" s="43"/>
      <c r="D79" s="18"/>
      <c r="E79" s="43"/>
      <c r="F79" s="46"/>
      <c r="G79" s="46"/>
      <c r="H79" s="42" t="str">
        <f aca="false">IF(OR(F79="",G79="",F79=0),"",G79/F79-1)</f>
        <v/>
      </c>
      <c r="I79" s="18"/>
      <c r="J79" s="47"/>
      <c r="K79" s="43"/>
      <c r="L79" s="43"/>
      <c r="M79" s="44"/>
      <c r="N79" s="40" t="str">
        <f aca="false">IF(M79="","",M79+Leyenda!$B$15)</f>
        <v/>
      </c>
      <c r="O79" s="48"/>
      <c r="P79" s="46"/>
      <c r="Q79" s="48"/>
      <c r="R79" s="46"/>
      <c r="S79" s="45" t="str">
        <f aca="false">IF(OR(D79="",M79=""),"",IFERROR(INDEX(Segmentación!$F$4:$F$18,MATCH(D79&amp;" | "&amp;E79,Segmentación!$W$4:$W$18,0))-O79,""))</f>
        <v/>
      </c>
      <c r="T79" s="41" t="str">
        <f aca="false">IF(OR(D79="",M79=""),"",IFERROR(INDEX(Segmentación!$H$4:$H$18,MATCH(D79&amp;" | "&amp;E79,Segmentación!$W$4:$W$18,0))-P79,""))</f>
        <v/>
      </c>
      <c r="U79" s="45" t="str">
        <f aca="false">IF(OR(D79="",M79=""),"",IFERROR(INDEX(Segmentación!$J$4:$J$18,MATCH(D79&amp;" | "&amp;E79,Segmentación!$W$4:$W$18,0))-Q79,""))</f>
        <v/>
      </c>
      <c r="V79" s="41" t="str">
        <f aca="false">IF(OR(D79="",M79=""),"",IFERROR(INDEX(Segmentación!$K$4:$K$18,MATCH(D79&amp;" | "&amp;E79,Segmentación!$W$4:$W$18,0))-R79,""))</f>
        <v/>
      </c>
      <c r="W79" s="42" t="str">
        <f aca="false">IF(OR(S79="",V79=""),"",IF(V79=0,"",T79/V79))</f>
        <v/>
      </c>
      <c r="X79" s="19" t="str">
        <f aca="true">IF(C79="","",IF(OR(D79="",ISNUMBER(SEARCH("negativa",C79))),IF(M79="","Pendiente de aplicar","Aplicado (no se evalúa)"),IF(M79="","Pendiente de aplicar",IF(S79="","Sin datos",IF(S79&lt;Leyenda!$B$13,"Esperando datos ("&amp;S79&amp;" de 10 clics)",IF(U79=0,"Empeora: "&amp;S79&amp;" clics sin venta",IF(TODAY()&lt;N79,"Esperando atribución (7 días)",IF(W79&lt;=J79,"Mejora (ACOS "&amp;TEXT(W79,"0%")&amp;")","Empeora (ACOS "&amp;TEXT(W79,"0%")&amp;")"))))))))</f>
        <v/>
      </c>
      <c r="Y79" s="18"/>
    </row>
    <row r="80" customFormat="false" ht="15" hidden="false" customHeight="false" outlineLevel="0" collapsed="false">
      <c r="A80" s="39" t="s">
        <v>291</v>
      </c>
      <c r="B80" s="44"/>
      <c r="C80" s="43"/>
      <c r="D80" s="18"/>
      <c r="E80" s="43"/>
      <c r="F80" s="46"/>
      <c r="G80" s="46"/>
      <c r="H80" s="42" t="str">
        <f aca="false">IF(OR(F80="",G80="",F80=0),"",G80/F80-1)</f>
        <v/>
      </c>
      <c r="I80" s="18"/>
      <c r="J80" s="47"/>
      <c r="K80" s="43"/>
      <c r="L80" s="43"/>
      <c r="M80" s="44"/>
      <c r="N80" s="40" t="str">
        <f aca="false">IF(M80="","",M80+Leyenda!$B$15)</f>
        <v/>
      </c>
      <c r="O80" s="48"/>
      <c r="P80" s="46"/>
      <c r="Q80" s="48"/>
      <c r="R80" s="46"/>
      <c r="S80" s="45" t="str">
        <f aca="false">IF(OR(D80="",M80=""),"",IFERROR(INDEX(Segmentación!$F$4:$F$18,MATCH(D80&amp;" | "&amp;E80,Segmentación!$W$4:$W$18,0))-O80,""))</f>
        <v/>
      </c>
      <c r="T80" s="41" t="str">
        <f aca="false">IF(OR(D80="",M80=""),"",IFERROR(INDEX(Segmentación!$H$4:$H$18,MATCH(D80&amp;" | "&amp;E80,Segmentación!$W$4:$W$18,0))-P80,""))</f>
        <v/>
      </c>
      <c r="U80" s="45" t="str">
        <f aca="false">IF(OR(D80="",M80=""),"",IFERROR(INDEX(Segmentación!$J$4:$J$18,MATCH(D80&amp;" | "&amp;E80,Segmentación!$W$4:$W$18,0))-Q80,""))</f>
        <v/>
      </c>
      <c r="V80" s="41" t="str">
        <f aca="false">IF(OR(D80="",M80=""),"",IFERROR(INDEX(Segmentación!$K$4:$K$18,MATCH(D80&amp;" | "&amp;E80,Segmentación!$W$4:$W$18,0))-R80,""))</f>
        <v/>
      </c>
      <c r="W80" s="42" t="str">
        <f aca="false">IF(OR(S80="",V80=""),"",IF(V80=0,"",T80/V80))</f>
        <v/>
      </c>
      <c r="X80" s="19" t="str">
        <f aca="true">IF(C80="","",IF(OR(D80="",ISNUMBER(SEARCH("negativa",C80))),IF(M80="","Pendiente de aplicar","Aplicado (no se evalúa)"),IF(M80="","Pendiente de aplicar",IF(S80="","Sin datos",IF(S80&lt;Leyenda!$B$13,"Esperando datos ("&amp;S80&amp;" de 10 clics)",IF(U80=0,"Empeora: "&amp;S80&amp;" clics sin venta",IF(TODAY()&lt;N80,"Esperando atribución (7 días)",IF(W80&lt;=J80,"Mejora (ACOS "&amp;TEXT(W80,"0%")&amp;")","Empeora (ACOS "&amp;TEXT(W80,"0%")&amp;")"))))))))</f>
        <v/>
      </c>
      <c r="Y80" s="18"/>
    </row>
    <row r="81" customFormat="false" ht="15" hidden="false" customHeight="false" outlineLevel="0" collapsed="false">
      <c r="A81" s="39" t="s">
        <v>292</v>
      </c>
      <c r="B81" s="44"/>
      <c r="C81" s="43"/>
      <c r="D81" s="18"/>
      <c r="E81" s="43"/>
      <c r="F81" s="46"/>
      <c r="G81" s="46"/>
      <c r="H81" s="42" t="str">
        <f aca="false">IF(OR(F81="",G81="",F81=0),"",G81/F81-1)</f>
        <v/>
      </c>
      <c r="I81" s="18"/>
      <c r="J81" s="47"/>
      <c r="K81" s="43"/>
      <c r="L81" s="43"/>
      <c r="M81" s="44"/>
      <c r="N81" s="40" t="str">
        <f aca="false">IF(M81="","",M81+Leyenda!$B$15)</f>
        <v/>
      </c>
      <c r="O81" s="48"/>
      <c r="P81" s="46"/>
      <c r="Q81" s="48"/>
      <c r="R81" s="46"/>
      <c r="S81" s="45" t="str">
        <f aca="false">IF(OR(D81="",M81=""),"",IFERROR(INDEX(Segmentación!$F$4:$F$18,MATCH(D81&amp;" | "&amp;E81,Segmentación!$W$4:$W$18,0))-O81,""))</f>
        <v/>
      </c>
      <c r="T81" s="41" t="str">
        <f aca="false">IF(OR(D81="",M81=""),"",IFERROR(INDEX(Segmentación!$H$4:$H$18,MATCH(D81&amp;" | "&amp;E81,Segmentación!$W$4:$W$18,0))-P81,""))</f>
        <v/>
      </c>
      <c r="U81" s="45" t="str">
        <f aca="false">IF(OR(D81="",M81=""),"",IFERROR(INDEX(Segmentación!$J$4:$J$18,MATCH(D81&amp;" | "&amp;E81,Segmentación!$W$4:$W$18,0))-Q81,""))</f>
        <v/>
      </c>
      <c r="V81" s="41" t="str">
        <f aca="false">IF(OR(D81="",M81=""),"",IFERROR(INDEX(Segmentación!$K$4:$K$18,MATCH(D81&amp;" | "&amp;E81,Segmentación!$W$4:$W$18,0))-R81,""))</f>
        <v/>
      </c>
      <c r="W81" s="42" t="str">
        <f aca="false">IF(OR(S81="",V81=""),"",IF(V81=0,"",T81/V81))</f>
        <v/>
      </c>
      <c r="X81" s="19" t="str">
        <f aca="true">IF(C81="","",IF(OR(D81="",ISNUMBER(SEARCH("negativa",C81))),IF(M81="","Pendiente de aplicar","Aplicado (no se evalúa)"),IF(M81="","Pendiente de aplicar",IF(S81="","Sin datos",IF(S81&lt;Leyenda!$B$13,"Esperando datos ("&amp;S81&amp;" de 10 clics)",IF(U81=0,"Empeora: "&amp;S81&amp;" clics sin venta",IF(TODAY()&lt;N81,"Esperando atribución (7 días)",IF(W81&lt;=J81,"Mejora (ACOS "&amp;TEXT(W81,"0%")&amp;")","Empeora (ACOS "&amp;TEXT(W81,"0%")&amp;")"))))))))</f>
        <v/>
      </c>
      <c r="Y81" s="18"/>
    </row>
    <row r="82" customFormat="false" ht="15" hidden="false" customHeight="false" outlineLevel="0" collapsed="false">
      <c r="A82" s="39" t="s">
        <v>293</v>
      </c>
      <c r="B82" s="44"/>
      <c r="C82" s="43"/>
      <c r="D82" s="18"/>
      <c r="E82" s="43"/>
      <c r="F82" s="46"/>
      <c r="G82" s="46"/>
      <c r="H82" s="42" t="str">
        <f aca="false">IF(OR(F82="",G82="",F82=0),"",G82/F82-1)</f>
        <v/>
      </c>
      <c r="I82" s="18"/>
      <c r="J82" s="47"/>
      <c r="K82" s="43"/>
      <c r="L82" s="43"/>
      <c r="M82" s="44"/>
      <c r="N82" s="40" t="str">
        <f aca="false">IF(M82="","",M82+Leyenda!$B$15)</f>
        <v/>
      </c>
      <c r="O82" s="48"/>
      <c r="P82" s="46"/>
      <c r="Q82" s="48"/>
      <c r="R82" s="46"/>
      <c r="S82" s="45" t="str">
        <f aca="false">IF(OR(D82="",M82=""),"",IFERROR(INDEX(Segmentación!$F$4:$F$18,MATCH(D82&amp;" | "&amp;E82,Segmentación!$W$4:$W$18,0))-O82,""))</f>
        <v/>
      </c>
      <c r="T82" s="41" t="str">
        <f aca="false">IF(OR(D82="",M82=""),"",IFERROR(INDEX(Segmentación!$H$4:$H$18,MATCH(D82&amp;" | "&amp;E82,Segmentación!$W$4:$W$18,0))-P82,""))</f>
        <v/>
      </c>
      <c r="U82" s="45" t="str">
        <f aca="false">IF(OR(D82="",M82=""),"",IFERROR(INDEX(Segmentación!$J$4:$J$18,MATCH(D82&amp;" | "&amp;E82,Segmentación!$W$4:$W$18,0))-Q82,""))</f>
        <v/>
      </c>
      <c r="V82" s="41" t="str">
        <f aca="false">IF(OR(D82="",M82=""),"",IFERROR(INDEX(Segmentación!$K$4:$K$18,MATCH(D82&amp;" | "&amp;E82,Segmentación!$W$4:$W$18,0))-R82,""))</f>
        <v/>
      </c>
      <c r="W82" s="42" t="str">
        <f aca="false">IF(OR(S82="",V82=""),"",IF(V82=0,"",T82/V82))</f>
        <v/>
      </c>
      <c r="X82" s="19" t="str">
        <f aca="true">IF(C82="","",IF(OR(D82="",ISNUMBER(SEARCH("negativa",C82))),IF(M82="","Pendiente de aplicar","Aplicado (no se evalúa)"),IF(M82="","Pendiente de aplicar",IF(S82="","Sin datos",IF(S82&lt;Leyenda!$B$13,"Esperando datos ("&amp;S82&amp;" de 10 clics)",IF(U82=0,"Empeora: "&amp;S82&amp;" clics sin venta",IF(TODAY()&lt;N82,"Esperando atribución (7 días)",IF(W82&lt;=J82,"Mejora (ACOS "&amp;TEXT(W82,"0%")&amp;")","Empeora (ACOS "&amp;TEXT(W82,"0%")&amp;")"))))))))</f>
        <v/>
      </c>
      <c r="Y82" s="18"/>
    </row>
    <row r="83" customFormat="false" ht="15" hidden="false" customHeight="false" outlineLevel="0" collapsed="false">
      <c r="A83" s="39" t="s">
        <v>294</v>
      </c>
      <c r="B83" s="44"/>
      <c r="C83" s="43"/>
      <c r="D83" s="18"/>
      <c r="E83" s="43"/>
      <c r="F83" s="46"/>
      <c r="G83" s="46"/>
      <c r="H83" s="42" t="str">
        <f aca="false">IF(OR(F83="",G83="",F83=0),"",G83/F83-1)</f>
        <v/>
      </c>
      <c r="I83" s="18"/>
      <c r="J83" s="47"/>
      <c r="K83" s="43"/>
      <c r="L83" s="43"/>
      <c r="M83" s="44"/>
      <c r="N83" s="40" t="str">
        <f aca="false">IF(M83="","",M83+Leyenda!$B$15)</f>
        <v/>
      </c>
      <c r="O83" s="48"/>
      <c r="P83" s="46"/>
      <c r="Q83" s="48"/>
      <c r="R83" s="46"/>
      <c r="S83" s="45" t="str">
        <f aca="false">IF(OR(D83="",M83=""),"",IFERROR(INDEX(Segmentación!$F$4:$F$18,MATCH(D83&amp;" | "&amp;E83,Segmentación!$W$4:$W$18,0))-O83,""))</f>
        <v/>
      </c>
      <c r="T83" s="41" t="str">
        <f aca="false">IF(OR(D83="",M83=""),"",IFERROR(INDEX(Segmentación!$H$4:$H$18,MATCH(D83&amp;" | "&amp;E83,Segmentación!$W$4:$W$18,0))-P83,""))</f>
        <v/>
      </c>
      <c r="U83" s="45" t="str">
        <f aca="false">IF(OR(D83="",M83=""),"",IFERROR(INDEX(Segmentación!$J$4:$J$18,MATCH(D83&amp;" | "&amp;E83,Segmentación!$W$4:$W$18,0))-Q83,""))</f>
        <v/>
      </c>
      <c r="V83" s="41" t="str">
        <f aca="false">IF(OR(D83="",M83=""),"",IFERROR(INDEX(Segmentación!$K$4:$K$18,MATCH(D83&amp;" | "&amp;E83,Segmentación!$W$4:$W$18,0))-R83,""))</f>
        <v/>
      </c>
      <c r="W83" s="42" t="str">
        <f aca="false">IF(OR(S83="",V83=""),"",IF(V83=0,"",T83/V83))</f>
        <v/>
      </c>
      <c r="X83" s="19" t="str">
        <f aca="true">IF(C83="","",IF(OR(D83="",ISNUMBER(SEARCH("negativa",C83))),IF(M83="","Pendiente de aplicar","Aplicado (no se evalúa)"),IF(M83="","Pendiente de aplicar",IF(S83="","Sin datos",IF(S83&lt;Leyenda!$B$13,"Esperando datos ("&amp;S83&amp;" de 10 clics)",IF(U83=0,"Empeora: "&amp;S83&amp;" clics sin venta",IF(TODAY()&lt;N83,"Esperando atribución (7 días)",IF(W83&lt;=J83,"Mejora (ACOS "&amp;TEXT(W83,"0%")&amp;")","Empeora (ACOS "&amp;TEXT(W83,"0%")&amp;")"))))))))</f>
        <v/>
      </c>
      <c r="Y83" s="18"/>
    </row>
  </sheetData>
  <conditionalFormatting sqref="X4:X83">
    <cfRule type="expression" priority="2" aboveAverage="0" equalAverage="0" bottom="0" percent="0" rank="0" text="" dxfId="1">
      <formula>LEFT(X4,6)="Mejora"</formula>
    </cfRule>
    <cfRule type="expression" priority="3" aboveAverage="0" equalAverage="0" bottom="0" percent="0" rank="0" text="" dxfId="0">
      <formula>LEFT(X4,7)="Empeora"</formula>
    </cfRule>
  </conditionalFormatting>
  <dataValidations count="2">
    <dataValidation allowBlank="true" errorStyle="stop" operator="between" showDropDown="false" showErrorMessage="false" showInputMessage="false" sqref="L4:L83" type="list">
      <formula1>"Pendiente de aplicar,Aplicado,Evaluado,Descartado"</formula1>
      <formula2>0</formula2>
    </dataValidation>
    <dataValidation allowBlank="true" errorStyle="stop" operator="between" showDropDown="false" showErrorMessage="false" showInputMessage="false" sqref="C31:C83" type="list">
      <formula1>"Subir puja,Bajar puja,Pausar keyword,Reactivar keyword,Añadir keyword,Añadir negativa,Añadir segmentación por producto (prueba),Cambiar ajuste por ubicación,Otro"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38"/>
    <col collapsed="false" customWidth="true" hidden="false" outlineLevel="0" max="15" min="15" style="0" width="13"/>
    <col collapsed="false" customWidth="true" hidden="false" outlineLevel="0" max="16" min="16" style="0" width="56"/>
  </cols>
  <sheetData>
    <row r="1" customFormat="false" ht="15" hidden="false" customHeight="false" outlineLevel="0" collapsed="false">
      <c r="A1" s="3" t="s">
        <v>295</v>
      </c>
    </row>
    <row r="3" customFormat="false" ht="31.5" hidden="false" customHeight="true" outlineLevel="0" collapsed="false">
      <c r="A3" s="16" t="s">
        <v>55</v>
      </c>
      <c r="B3" s="16" t="s">
        <v>96</v>
      </c>
      <c r="C3" s="16" t="s">
        <v>97</v>
      </c>
      <c r="D3" s="16" t="s">
        <v>98</v>
      </c>
      <c r="E3" s="16" t="s">
        <v>99</v>
      </c>
      <c r="F3" s="16" t="s">
        <v>100</v>
      </c>
      <c r="G3" s="16" t="s">
        <v>101</v>
      </c>
      <c r="H3" s="16" t="s">
        <v>102</v>
      </c>
      <c r="I3" s="16" t="s">
        <v>103</v>
      </c>
      <c r="J3" s="16" t="s">
        <v>104</v>
      </c>
      <c r="K3" s="16" t="s">
        <v>105</v>
      </c>
      <c r="L3" s="16" t="s">
        <v>106</v>
      </c>
      <c r="M3" s="16" t="s">
        <v>107</v>
      </c>
      <c r="N3" s="16" t="s">
        <v>296</v>
      </c>
      <c r="O3" s="16" t="s">
        <v>297</v>
      </c>
      <c r="P3" s="16" t="s">
        <v>298</v>
      </c>
    </row>
    <row r="4" customFormat="false" ht="15" hidden="false" customHeight="false" outlineLevel="0" collapsed="false">
      <c r="A4" s="4" t="s">
        <v>299</v>
      </c>
      <c r="B4" s="12" t="s">
        <v>125</v>
      </c>
      <c r="C4" s="4" t="s">
        <v>123</v>
      </c>
      <c r="D4" s="7" t="n">
        <v>0.2</v>
      </c>
      <c r="E4" s="24" t="n">
        <v>26</v>
      </c>
      <c r="F4" s="24" t="n">
        <v>6</v>
      </c>
      <c r="G4" s="25" t="n">
        <f aca="false">IFERROR(F4/E4,0)</f>
        <v>0.230769230769231</v>
      </c>
      <c r="H4" s="7" t="n">
        <v>1.69</v>
      </c>
      <c r="I4" s="7" t="n">
        <f aca="false">IFERROR(H4/F4,0)</f>
        <v>0.281666666666667</v>
      </c>
      <c r="J4" s="24" t="n">
        <v>1</v>
      </c>
      <c r="K4" s="7" t="n">
        <v>10.39</v>
      </c>
      <c r="L4" s="25" t="n">
        <f aca="false">IFERROR(H4/K4,0)</f>
        <v>0.162656400384986</v>
      </c>
      <c r="M4" s="26" t="n">
        <f aca="false">IFERROR(K4/H4,0)</f>
        <v>6.14792899408284</v>
      </c>
      <c r="N4" s="4" t="s">
        <v>300</v>
      </c>
      <c r="O4" s="12" t="s">
        <v>301</v>
      </c>
      <c r="P4" s="4" t="s">
        <v>302</v>
      </c>
    </row>
    <row r="5" customFormat="false" ht="15" hidden="false" customHeight="false" outlineLevel="0" collapsed="false">
      <c r="A5" s="4" t="s">
        <v>299</v>
      </c>
      <c r="B5" s="12" t="s">
        <v>118</v>
      </c>
      <c r="C5" s="4" t="s">
        <v>119</v>
      </c>
      <c r="D5" s="7" t="n">
        <v>0.62</v>
      </c>
      <c r="E5" s="24" t="n">
        <v>201</v>
      </c>
      <c r="F5" s="24" t="n">
        <v>24</v>
      </c>
      <c r="G5" s="25" t="n">
        <f aca="false">IFERROR(F5/E5,0)</f>
        <v>0.119402985074627</v>
      </c>
      <c r="H5" s="7" t="n">
        <v>10.78</v>
      </c>
      <c r="I5" s="7" t="n">
        <f aca="false">IFERROR(H5/F5,0)</f>
        <v>0.449166666666667</v>
      </c>
      <c r="J5" s="24" t="n">
        <v>6</v>
      </c>
      <c r="K5" s="7" t="n">
        <v>65.35</v>
      </c>
      <c r="L5" s="25" t="n">
        <f aca="false">IFERROR(H5/K5,0)</f>
        <v>0.16495791889824</v>
      </c>
      <c r="M5" s="26" t="n">
        <f aca="false">IFERROR(K5/H5,0)</f>
        <v>6.06215213358071</v>
      </c>
      <c r="N5" s="4" t="s">
        <v>303</v>
      </c>
      <c r="O5" s="12" t="s">
        <v>301</v>
      </c>
      <c r="P5" s="4" t="s">
        <v>302</v>
      </c>
    </row>
    <row r="6" customFormat="false" ht="15" hidden="false" customHeight="false" outlineLevel="0" collapsed="false">
      <c r="A6" s="4" t="s">
        <v>299</v>
      </c>
      <c r="B6" s="12" t="s">
        <v>125</v>
      </c>
      <c r="C6" s="4" t="s">
        <v>126</v>
      </c>
      <c r="D6" s="7" t="n">
        <v>0.51</v>
      </c>
      <c r="E6" s="24" t="n">
        <v>652</v>
      </c>
      <c r="F6" s="24" t="n">
        <v>12</v>
      </c>
      <c r="G6" s="25" t="n">
        <f aca="false">IFERROR(F6/E6,0)</f>
        <v>0.0184049079754601</v>
      </c>
      <c r="H6" s="7" t="n">
        <v>6.6</v>
      </c>
      <c r="I6" s="7" t="n">
        <f aca="false">IFERROR(H6/F6,0)</f>
        <v>0.55</v>
      </c>
      <c r="J6" s="24" t="n">
        <v>2</v>
      </c>
      <c r="K6" s="7" t="n">
        <v>23.98</v>
      </c>
      <c r="L6" s="25" t="n">
        <f aca="false">IFERROR(H6/K6,0)</f>
        <v>0.275229357798165</v>
      </c>
      <c r="M6" s="26" t="n">
        <f aca="false">IFERROR(K6/H6,0)</f>
        <v>3.63333333333333</v>
      </c>
      <c r="N6" s="4" t="s">
        <v>303</v>
      </c>
      <c r="O6" s="12" t="s">
        <v>301</v>
      </c>
      <c r="P6" s="4" t="s">
        <v>302</v>
      </c>
    </row>
    <row r="7" customFormat="false" ht="15" hidden="false" customHeight="false" outlineLevel="0" collapsed="false">
      <c r="A7" s="4" t="s">
        <v>299</v>
      </c>
      <c r="B7" s="12" t="s">
        <v>122</v>
      </c>
      <c r="C7" s="4" t="s">
        <v>123</v>
      </c>
      <c r="D7" s="7" t="n">
        <v>0.3</v>
      </c>
      <c r="E7" s="24" t="n">
        <v>75</v>
      </c>
      <c r="F7" s="24" t="n">
        <v>9</v>
      </c>
      <c r="G7" s="25" t="n">
        <f aca="false">IFERROR(F7/E7,0)</f>
        <v>0.12</v>
      </c>
      <c r="H7" s="7" t="n">
        <v>3.12</v>
      </c>
      <c r="I7" s="7" t="n">
        <f aca="false">IFERROR(H7/F7,0)</f>
        <v>0.346666666666667</v>
      </c>
      <c r="J7" s="24" t="n">
        <v>1</v>
      </c>
      <c r="K7" s="7" t="n">
        <v>10.39</v>
      </c>
      <c r="L7" s="25" t="n">
        <f aca="false">IFERROR(H7/K7,0)</f>
        <v>0.300288739172281</v>
      </c>
      <c r="M7" s="26" t="n">
        <f aca="false">IFERROR(K7/H7,0)</f>
        <v>3.33012820512821</v>
      </c>
      <c r="N7" s="4" t="s">
        <v>303</v>
      </c>
      <c r="O7" s="12" t="s">
        <v>301</v>
      </c>
      <c r="P7" s="4" t="s">
        <v>302</v>
      </c>
    </row>
    <row r="8" customFormat="false" ht="15" hidden="false" customHeight="false" outlineLevel="0" collapsed="false">
      <c r="A8" s="4" t="s">
        <v>299</v>
      </c>
      <c r="B8" s="12" t="s">
        <v>125</v>
      </c>
      <c r="C8" s="4" t="s">
        <v>123</v>
      </c>
      <c r="D8" s="7" t="n">
        <v>0.41</v>
      </c>
      <c r="E8" s="24" t="n">
        <v>1497</v>
      </c>
      <c r="F8" s="24" t="n">
        <v>31</v>
      </c>
      <c r="G8" s="25" t="n">
        <f aca="false">IFERROR(F8/E8,0)</f>
        <v>0.0207080828323313</v>
      </c>
      <c r="H8" s="7" t="n">
        <v>11.95</v>
      </c>
      <c r="I8" s="7" t="n">
        <f aca="false">IFERROR(H8/F8,0)</f>
        <v>0.385483870967742</v>
      </c>
      <c r="J8" s="24" t="n">
        <v>3</v>
      </c>
      <c r="K8" s="7" t="n">
        <v>32.77</v>
      </c>
      <c r="L8" s="25" t="n">
        <f aca="false">IFERROR(H8/K8,0)</f>
        <v>0.364662801342691</v>
      </c>
      <c r="M8" s="26" t="n">
        <f aca="false">IFERROR(K8/H8,0)</f>
        <v>2.74225941422594</v>
      </c>
      <c r="N8" s="4" t="s">
        <v>303</v>
      </c>
      <c r="O8" s="12" t="s">
        <v>301</v>
      </c>
      <c r="P8" s="4" t="s">
        <v>302</v>
      </c>
    </row>
    <row r="9" customFormat="false" ht="15" hidden="false" customHeight="false" outlineLevel="0" collapsed="false">
      <c r="A9" s="4" t="s">
        <v>299</v>
      </c>
      <c r="B9" s="12" t="s">
        <v>118</v>
      </c>
      <c r="C9" s="4" t="s">
        <v>123</v>
      </c>
      <c r="D9" s="7" t="n">
        <v>0.55</v>
      </c>
      <c r="E9" s="24" t="n">
        <v>2929</v>
      </c>
      <c r="F9" s="24" t="n">
        <v>18</v>
      </c>
      <c r="G9" s="25" t="n">
        <f aca="false">IFERROR(F9/E9,0)</f>
        <v>0.00614544213041994</v>
      </c>
      <c r="H9" s="7" t="n">
        <v>10.83</v>
      </c>
      <c r="I9" s="7" t="n">
        <f aca="false">IFERROR(H9/F9,0)</f>
        <v>0.601666666666667</v>
      </c>
      <c r="J9" s="24" t="n">
        <v>2</v>
      </c>
      <c r="K9" s="7" t="n">
        <v>22.78</v>
      </c>
      <c r="L9" s="25" t="n">
        <f aca="false">IFERROR(H9/K9,0)</f>
        <v>0.475417032484636</v>
      </c>
      <c r="M9" s="26" t="n">
        <f aca="false">IFERROR(K9/H9,0)</f>
        <v>2.10341643582641</v>
      </c>
      <c r="N9" s="4" t="s">
        <v>303</v>
      </c>
      <c r="O9" s="12" t="s">
        <v>301</v>
      </c>
      <c r="P9" s="4" t="s">
        <v>302</v>
      </c>
    </row>
    <row r="10" customFormat="false" ht="15" hidden="false" customHeight="false" outlineLevel="0" collapsed="false">
      <c r="A10" s="4" t="s">
        <v>299</v>
      </c>
      <c r="B10" s="4" t="s">
        <v>125</v>
      </c>
      <c r="C10" s="4" t="s">
        <v>119</v>
      </c>
      <c r="D10" s="7" t="n">
        <v>0.59</v>
      </c>
      <c r="E10" s="24" t="n">
        <v>22090</v>
      </c>
      <c r="F10" s="24" t="n">
        <v>205</v>
      </c>
      <c r="G10" s="25" t="n">
        <f aca="false">IFERROR(F10/E10,0)</f>
        <v>0.00928021729289271</v>
      </c>
      <c r="H10" s="7" t="n">
        <v>109.41</v>
      </c>
      <c r="I10" s="7" t="n">
        <f aca="false">IFERROR(H10/F10,0)</f>
        <v>0.533707317073171</v>
      </c>
      <c r="J10" s="24" t="n">
        <v>20</v>
      </c>
      <c r="K10" s="7" t="n">
        <v>224.64</v>
      </c>
      <c r="L10" s="25" t="n">
        <f aca="false">IFERROR(H10/K10,0)</f>
        <v>0.48704594017094</v>
      </c>
      <c r="M10" s="26" t="n">
        <f aca="false">IFERROR(K10/H10,0)</f>
        <v>2.05319440636139</v>
      </c>
      <c r="N10" s="4" t="s">
        <v>303</v>
      </c>
      <c r="O10" s="4" t="s">
        <v>304</v>
      </c>
      <c r="P10" s="4" t="s">
        <v>305</v>
      </c>
    </row>
    <row r="11" customFormat="false" ht="15" hidden="false" customHeight="false" outlineLevel="0" collapsed="false">
      <c r="A11" s="4" t="s">
        <v>299</v>
      </c>
      <c r="B11" s="4" t="s">
        <v>306</v>
      </c>
      <c r="C11" s="4" t="s">
        <v>119</v>
      </c>
      <c r="D11" s="7" t="n">
        <v>0.53</v>
      </c>
      <c r="E11" s="24" t="n">
        <v>642</v>
      </c>
      <c r="F11" s="24" t="n">
        <v>24</v>
      </c>
      <c r="G11" s="25" t="n">
        <f aca="false">IFERROR(F11/E11,0)</f>
        <v>0.0373831775700935</v>
      </c>
      <c r="H11" s="7" t="n">
        <v>23.16</v>
      </c>
      <c r="I11" s="7" t="n">
        <f aca="false">IFERROR(H11/F11,0)</f>
        <v>0.965</v>
      </c>
      <c r="J11" s="24" t="n">
        <v>1</v>
      </c>
      <c r="K11" s="7" t="n">
        <v>11.99</v>
      </c>
      <c r="L11" s="25" t="n">
        <f aca="false">IFERROR(H11/K11,0)</f>
        <v>1.93160967472894</v>
      </c>
      <c r="M11" s="26" t="n">
        <f aca="false">IFERROR(K11/H11,0)</f>
        <v>0.517702936096719</v>
      </c>
      <c r="N11" s="4" t="s">
        <v>307</v>
      </c>
      <c r="O11" s="4" t="s">
        <v>304</v>
      </c>
      <c r="P11" s="4" t="s">
        <v>308</v>
      </c>
    </row>
    <row r="12" customFormat="false" ht="15" hidden="false" customHeight="false" outlineLevel="0" collapsed="false">
      <c r="A12" s="4" t="s">
        <v>299</v>
      </c>
      <c r="B12" s="4" t="s">
        <v>309</v>
      </c>
      <c r="C12" s="4" t="s">
        <v>123</v>
      </c>
      <c r="D12" s="7" t="n">
        <v>0.57</v>
      </c>
      <c r="E12" s="24" t="n">
        <v>5975</v>
      </c>
      <c r="F12" s="24" t="n">
        <v>52</v>
      </c>
      <c r="G12" s="25" t="n">
        <f aca="false">IFERROR(F12/E12,0)</f>
        <v>0.00870292887029289</v>
      </c>
      <c r="H12" s="7" t="n">
        <v>39.56</v>
      </c>
      <c r="I12" s="7" t="n">
        <f aca="false">IFERROR(H12/F12,0)</f>
        <v>0.760769230769231</v>
      </c>
      <c r="J12" s="24" t="n">
        <v>1</v>
      </c>
      <c r="K12" s="7" t="n">
        <v>13.5</v>
      </c>
      <c r="L12" s="25" t="n">
        <f aca="false">IFERROR(H12/K12,0)</f>
        <v>2.93037037037037</v>
      </c>
      <c r="M12" s="26" t="n">
        <f aca="false">IFERROR(K12/H12,0)</f>
        <v>0.341253791708797</v>
      </c>
      <c r="N12" s="4" t="s">
        <v>310</v>
      </c>
      <c r="O12" s="4" t="s">
        <v>304</v>
      </c>
      <c r="P12" s="4" t="s">
        <v>311</v>
      </c>
    </row>
    <row r="13" customFormat="false" ht="15" hidden="false" customHeight="false" outlineLevel="0" collapsed="false">
      <c r="A13" s="4" t="s">
        <v>299</v>
      </c>
      <c r="B13" s="4" t="s">
        <v>312</v>
      </c>
      <c r="C13" s="4" t="s">
        <v>123</v>
      </c>
      <c r="D13" s="7" t="n">
        <v>0.76</v>
      </c>
      <c r="E13" s="24" t="n">
        <v>1782</v>
      </c>
      <c r="F13" s="24" t="n">
        <v>20</v>
      </c>
      <c r="G13" s="25" t="n">
        <f aca="false">IFERROR(F13/E13,0)</f>
        <v>0.0112233445566779</v>
      </c>
      <c r="H13" s="7" t="n">
        <v>19.03</v>
      </c>
      <c r="I13" s="7" t="n">
        <f aca="false">IFERROR(H13/F13,0)</f>
        <v>0.9515</v>
      </c>
      <c r="J13" s="24" t="n">
        <v>0</v>
      </c>
      <c r="K13" s="7" t="n">
        <v>0</v>
      </c>
      <c r="L13" s="25" t="n">
        <f aca="false">IFERROR(H13/K13,0)</f>
        <v>0</v>
      </c>
      <c r="M13" s="26" t="n">
        <f aca="false">IFERROR(K13/H13,0)</f>
        <v>0</v>
      </c>
      <c r="N13" s="4" t="s">
        <v>313</v>
      </c>
      <c r="O13" s="4" t="s">
        <v>304</v>
      </c>
      <c r="P13" s="4" t="s">
        <v>314</v>
      </c>
    </row>
    <row r="14" customFormat="false" ht="15" hidden="false" customHeight="false" outlineLevel="0" collapsed="false">
      <c r="A14" s="4" t="s">
        <v>299</v>
      </c>
      <c r="B14" s="4" t="s">
        <v>309</v>
      </c>
      <c r="C14" s="4" t="s">
        <v>126</v>
      </c>
      <c r="D14" s="7" t="n">
        <v>1.26</v>
      </c>
      <c r="E14" s="24" t="n">
        <v>270</v>
      </c>
      <c r="F14" s="24" t="n">
        <v>7</v>
      </c>
      <c r="G14" s="25" t="n">
        <f aca="false">IFERROR(F14/E14,0)</f>
        <v>0.0259259259259259</v>
      </c>
      <c r="H14" s="7" t="n">
        <v>7.97</v>
      </c>
      <c r="I14" s="7" t="n">
        <f aca="false">IFERROR(H14/F14,0)</f>
        <v>1.13857142857143</v>
      </c>
      <c r="J14" s="24" t="n">
        <v>0</v>
      </c>
      <c r="K14" s="7" t="n">
        <v>0</v>
      </c>
      <c r="L14" s="25" t="n">
        <f aca="false">IFERROR(H14/K14,0)</f>
        <v>0</v>
      </c>
      <c r="M14" s="26" t="n">
        <f aca="false">IFERROR(K14/H14,0)</f>
        <v>0</v>
      </c>
      <c r="N14" s="4" t="s">
        <v>315</v>
      </c>
      <c r="O14" s="4" t="s">
        <v>304</v>
      </c>
      <c r="P14" s="4" t="s">
        <v>314</v>
      </c>
    </row>
    <row r="15" customFormat="false" ht="15" hidden="false" customHeight="false" outlineLevel="0" collapsed="false">
      <c r="A15" s="4" t="s">
        <v>299</v>
      </c>
      <c r="B15" s="4" t="s">
        <v>316</v>
      </c>
      <c r="C15" s="4" t="s">
        <v>123</v>
      </c>
      <c r="D15" s="7" t="n">
        <v>0.76</v>
      </c>
      <c r="E15" s="24" t="n">
        <v>454</v>
      </c>
      <c r="F15" s="24" t="n">
        <v>4</v>
      </c>
      <c r="G15" s="25" t="n">
        <f aca="false">IFERROR(F15/E15,0)</f>
        <v>0.00881057268722467</v>
      </c>
      <c r="H15" s="7" t="n">
        <v>5.21</v>
      </c>
      <c r="I15" s="7" t="n">
        <f aca="false">IFERROR(H15/F15,0)</f>
        <v>1.3025</v>
      </c>
      <c r="J15" s="24" t="n">
        <v>0</v>
      </c>
      <c r="K15" s="7" t="n">
        <v>0</v>
      </c>
      <c r="L15" s="25" t="n">
        <f aca="false">IFERROR(H15/K15,0)</f>
        <v>0</v>
      </c>
      <c r="M15" s="26" t="n">
        <f aca="false">IFERROR(K15/H15,0)</f>
        <v>0</v>
      </c>
      <c r="N15" s="4" t="s">
        <v>313</v>
      </c>
      <c r="O15" s="4" t="s">
        <v>304</v>
      </c>
      <c r="P15" s="4" t="s">
        <v>314</v>
      </c>
    </row>
    <row r="16" customFormat="false" ht="15" hidden="false" customHeight="false" outlineLevel="0" collapsed="false">
      <c r="A16" s="4" t="s">
        <v>299</v>
      </c>
      <c r="B16" s="4" t="s">
        <v>306</v>
      </c>
      <c r="C16" s="4" t="s">
        <v>123</v>
      </c>
      <c r="D16" s="7" t="n">
        <v>0.88</v>
      </c>
      <c r="E16" s="24" t="n">
        <v>111</v>
      </c>
      <c r="F16" s="24" t="n">
        <v>4</v>
      </c>
      <c r="G16" s="25" t="n">
        <f aca="false">IFERROR(F16/E16,0)</f>
        <v>0.036036036036036</v>
      </c>
      <c r="H16" s="7" t="n">
        <v>3.21</v>
      </c>
      <c r="I16" s="7" t="n">
        <f aca="false">IFERROR(H16/F16,0)</f>
        <v>0.8025</v>
      </c>
      <c r="J16" s="24" t="n">
        <v>0</v>
      </c>
      <c r="K16" s="7" t="n">
        <v>0</v>
      </c>
      <c r="L16" s="25" t="n">
        <f aca="false">IFERROR(H16/K16,0)</f>
        <v>0</v>
      </c>
      <c r="M16" s="26" t="n">
        <f aca="false">IFERROR(K16/H16,0)</f>
        <v>0</v>
      </c>
      <c r="N16" s="4" t="s">
        <v>315</v>
      </c>
      <c r="O16" s="4" t="s">
        <v>304</v>
      </c>
      <c r="P16" s="4" t="s">
        <v>314</v>
      </c>
    </row>
    <row r="17" customFormat="false" ht="15" hidden="false" customHeight="false" outlineLevel="0" collapsed="false">
      <c r="A17" s="4" t="s">
        <v>299</v>
      </c>
      <c r="B17" s="4" t="s">
        <v>317</v>
      </c>
      <c r="C17" s="4" t="s">
        <v>119</v>
      </c>
      <c r="D17" s="7" t="n">
        <v>1</v>
      </c>
      <c r="E17" s="24" t="n">
        <v>225</v>
      </c>
      <c r="F17" s="24" t="n">
        <v>3</v>
      </c>
      <c r="G17" s="25" t="n">
        <f aca="false">IFERROR(F17/E17,0)</f>
        <v>0.0133333333333333</v>
      </c>
      <c r="H17" s="7" t="n">
        <v>3.15</v>
      </c>
      <c r="I17" s="7" t="n">
        <f aca="false">IFERROR(H17/F17,0)</f>
        <v>1.05</v>
      </c>
      <c r="J17" s="24" t="n">
        <v>0</v>
      </c>
      <c r="K17" s="7" t="n">
        <v>0</v>
      </c>
      <c r="L17" s="25" t="n">
        <f aca="false">IFERROR(H17/K17,0)</f>
        <v>0</v>
      </c>
      <c r="M17" s="26" t="n">
        <f aca="false">IFERROR(K17/H17,0)</f>
        <v>0</v>
      </c>
      <c r="N17" s="4" t="s">
        <v>318</v>
      </c>
      <c r="O17" s="4" t="s">
        <v>304</v>
      </c>
      <c r="P17" s="4" t="s">
        <v>314</v>
      </c>
    </row>
    <row r="18" customFormat="false" ht="15" hidden="false" customHeight="false" outlineLevel="0" collapsed="false">
      <c r="A18" s="4" t="s">
        <v>299</v>
      </c>
      <c r="B18" s="4" t="s">
        <v>319</v>
      </c>
      <c r="C18" s="4" t="s">
        <v>123</v>
      </c>
      <c r="D18" s="7" t="n">
        <v>0.34</v>
      </c>
      <c r="E18" s="24" t="n">
        <v>12</v>
      </c>
      <c r="F18" s="24" t="n">
        <v>3</v>
      </c>
      <c r="G18" s="25" t="n">
        <f aca="false">IFERROR(F18/E18,0)</f>
        <v>0.25</v>
      </c>
      <c r="H18" s="7" t="n">
        <v>1.78</v>
      </c>
      <c r="I18" s="7" t="n">
        <f aca="false">IFERROR(H18/F18,0)</f>
        <v>0.593333333333333</v>
      </c>
      <c r="J18" s="24" t="n">
        <v>0</v>
      </c>
      <c r="K18" s="7" t="n">
        <v>0</v>
      </c>
      <c r="L18" s="25" t="n">
        <f aca="false">IFERROR(H18/K18,0)</f>
        <v>0</v>
      </c>
      <c r="M18" s="26" t="n">
        <f aca="false">IFERROR(K18/H18,0)</f>
        <v>0</v>
      </c>
      <c r="N18" s="4" t="s">
        <v>307</v>
      </c>
      <c r="O18" s="4" t="s">
        <v>304</v>
      </c>
      <c r="P18" s="4" t="s">
        <v>314</v>
      </c>
    </row>
    <row r="19" customFormat="false" ht="15" hidden="false" customHeight="false" outlineLevel="0" collapsed="false">
      <c r="A19" s="4" t="s">
        <v>299</v>
      </c>
      <c r="B19" s="4" t="s">
        <v>312</v>
      </c>
      <c r="C19" s="4" t="s">
        <v>123</v>
      </c>
      <c r="D19" s="7" t="n">
        <v>0.47</v>
      </c>
      <c r="E19" s="24" t="n">
        <v>72</v>
      </c>
      <c r="F19" s="24" t="n">
        <v>2</v>
      </c>
      <c r="G19" s="25" t="n">
        <f aca="false">IFERROR(F19/E19,0)</f>
        <v>0.0277777777777778</v>
      </c>
      <c r="H19" s="7" t="n">
        <v>1.61</v>
      </c>
      <c r="I19" s="7" t="n">
        <f aca="false">IFERROR(H19/F19,0)</f>
        <v>0.805</v>
      </c>
      <c r="J19" s="24" t="n">
        <v>0</v>
      </c>
      <c r="K19" s="7" t="n">
        <v>0</v>
      </c>
      <c r="L19" s="25" t="n">
        <f aca="false">IFERROR(H19/K19,0)</f>
        <v>0</v>
      </c>
      <c r="M19" s="26" t="n">
        <f aca="false">IFERROR(K19/H19,0)</f>
        <v>0</v>
      </c>
      <c r="N19" s="4" t="s">
        <v>307</v>
      </c>
      <c r="O19" s="4" t="s">
        <v>304</v>
      </c>
      <c r="P19" s="4" t="s">
        <v>314</v>
      </c>
    </row>
    <row r="20" customFormat="false" ht="15" hidden="false" customHeight="false" outlineLevel="0" collapsed="false">
      <c r="A20" s="4" t="s">
        <v>299</v>
      </c>
      <c r="B20" s="12" t="s">
        <v>118</v>
      </c>
      <c r="C20" s="4" t="s">
        <v>119</v>
      </c>
      <c r="D20" s="7" t="n">
        <v>0.7</v>
      </c>
      <c r="E20" s="24" t="n">
        <v>14</v>
      </c>
      <c r="F20" s="24" t="n">
        <v>3</v>
      </c>
      <c r="G20" s="25" t="n">
        <f aca="false">IFERROR(F20/E20,0)</f>
        <v>0.214285714285714</v>
      </c>
      <c r="H20" s="7" t="n">
        <v>1.58</v>
      </c>
      <c r="I20" s="7" t="n">
        <f aca="false">IFERROR(H20/F20,0)</f>
        <v>0.526666666666667</v>
      </c>
      <c r="J20" s="24" t="n">
        <v>0</v>
      </c>
      <c r="K20" s="7" t="n">
        <v>0</v>
      </c>
      <c r="L20" s="25" t="n">
        <f aca="false">IFERROR(H20/K20,0)</f>
        <v>0</v>
      </c>
      <c r="M20" s="26" t="n">
        <f aca="false">IFERROR(K20/H20,0)</f>
        <v>0</v>
      </c>
      <c r="N20" s="4" t="s">
        <v>300</v>
      </c>
      <c r="O20" s="12" t="s">
        <v>301</v>
      </c>
      <c r="P20" s="4" t="s">
        <v>302</v>
      </c>
    </row>
    <row r="21" customFormat="false" ht="15" hidden="false" customHeight="false" outlineLevel="0" collapsed="false">
      <c r="A21" s="4" t="s">
        <v>299</v>
      </c>
      <c r="B21" s="4" t="s">
        <v>320</v>
      </c>
      <c r="C21" s="4" t="s">
        <v>123</v>
      </c>
      <c r="D21" s="7" t="n">
        <v>0.76</v>
      </c>
      <c r="E21" s="24" t="n">
        <v>7</v>
      </c>
      <c r="F21" s="24" t="n">
        <v>2</v>
      </c>
      <c r="G21" s="25" t="n">
        <f aca="false">IFERROR(F21/E21,0)</f>
        <v>0.285714285714286</v>
      </c>
      <c r="H21" s="7" t="n">
        <v>1.53</v>
      </c>
      <c r="I21" s="7" t="n">
        <f aca="false">IFERROR(H21/F21,0)</f>
        <v>0.765</v>
      </c>
      <c r="J21" s="24" t="n">
        <v>0</v>
      </c>
      <c r="K21" s="7" t="n">
        <v>0</v>
      </c>
      <c r="L21" s="25" t="n">
        <f aca="false">IFERROR(H21/K21,0)</f>
        <v>0</v>
      </c>
      <c r="M21" s="26" t="n">
        <f aca="false">IFERROR(K21/H21,0)</f>
        <v>0</v>
      </c>
      <c r="N21" s="4" t="s">
        <v>313</v>
      </c>
      <c r="O21" s="4" t="s">
        <v>304</v>
      </c>
      <c r="P21" s="4" t="s">
        <v>314</v>
      </c>
    </row>
    <row r="22" customFormat="false" ht="15" hidden="false" customHeight="false" outlineLevel="0" collapsed="false">
      <c r="A22" s="4" t="s">
        <v>299</v>
      </c>
      <c r="B22" s="4" t="s">
        <v>118</v>
      </c>
      <c r="C22" s="4" t="s">
        <v>126</v>
      </c>
      <c r="D22" s="7" t="n">
        <v>0.44</v>
      </c>
      <c r="E22" s="24" t="n">
        <v>88</v>
      </c>
      <c r="F22" s="24" t="n">
        <v>2</v>
      </c>
      <c r="G22" s="25" t="n">
        <f aca="false">IFERROR(F22/E22,0)</f>
        <v>0.0227272727272727</v>
      </c>
      <c r="H22" s="7" t="n">
        <v>1.47</v>
      </c>
      <c r="I22" s="7" t="n">
        <f aca="false">IFERROR(H22/F22,0)</f>
        <v>0.735</v>
      </c>
      <c r="J22" s="24" t="n">
        <v>0</v>
      </c>
      <c r="K22" s="7" t="n">
        <v>0</v>
      </c>
      <c r="L22" s="25" t="n">
        <f aca="false">IFERROR(H22/K22,0)</f>
        <v>0</v>
      </c>
      <c r="M22" s="26" t="n">
        <f aca="false">IFERROR(K22/H22,0)</f>
        <v>0</v>
      </c>
      <c r="N22" s="4" t="s">
        <v>321</v>
      </c>
      <c r="O22" s="4" t="s">
        <v>304</v>
      </c>
      <c r="P22" s="4" t="s">
        <v>314</v>
      </c>
    </row>
    <row r="23" customFormat="false" ht="15" hidden="false" customHeight="false" outlineLevel="0" collapsed="false">
      <c r="A23" s="4" t="s">
        <v>299</v>
      </c>
      <c r="B23" s="4" t="s">
        <v>322</v>
      </c>
      <c r="C23" s="4" t="s">
        <v>123</v>
      </c>
      <c r="D23" s="7" t="n">
        <v>0.39</v>
      </c>
      <c r="E23" s="24" t="n">
        <v>4</v>
      </c>
      <c r="F23" s="24" t="n">
        <v>2</v>
      </c>
      <c r="G23" s="25" t="n">
        <f aca="false">IFERROR(F23/E23,0)</f>
        <v>0.5</v>
      </c>
      <c r="H23" s="7" t="n">
        <v>1.43</v>
      </c>
      <c r="I23" s="7" t="n">
        <f aca="false">IFERROR(H23/F23,0)</f>
        <v>0.715</v>
      </c>
      <c r="J23" s="24" t="n">
        <v>0</v>
      </c>
      <c r="K23" s="7" t="n">
        <v>0</v>
      </c>
      <c r="L23" s="25" t="n">
        <f aca="false">IFERROR(H23/K23,0)</f>
        <v>0</v>
      </c>
      <c r="M23" s="26" t="n">
        <f aca="false">IFERROR(K23/H23,0)</f>
        <v>0</v>
      </c>
      <c r="N23" s="4" t="s">
        <v>307</v>
      </c>
      <c r="O23" s="4" t="s">
        <v>304</v>
      </c>
      <c r="P23" s="4" t="s">
        <v>314</v>
      </c>
    </row>
    <row r="24" customFormat="false" ht="15" hidden="false" customHeight="false" outlineLevel="0" collapsed="false">
      <c r="A24" s="4" t="s">
        <v>299</v>
      </c>
      <c r="B24" s="4" t="s">
        <v>323</v>
      </c>
      <c r="C24" s="4" t="s">
        <v>119</v>
      </c>
      <c r="D24" s="7" t="n">
        <v>0.7</v>
      </c>
      <c r="E24" s="24" t="n">
        <v>90</v>
      </c>
      <c r="F24" s="24" t="n">
        <v>1</v>
      </c>
      <c r="G24" s="25" t="n">
        <f aca="false">IFERROR(F24/E24,0)</f>
        <v>0.0111111111111111</v>
      </c>
      <c r="H24" s="7" t="n">
        <v>1.31</v>
      </c>
      <c r="I24" s="7" t="n">
        <f aca="false">IFERROR(H24/F24,0)</f>
        <v>1.31</v>
      </c>
      <c r="J24" s="24" t="n">
        <v>0</v>
      </c>
      <c r="K24" s="7" t="n">
        <v>0</v>
      </c>
      <c r="L24" s="25" t="n">
        <f aca="false">IFERROR(H24/K24,0)</f>
        <v>0</v>
      </c>
      <c r="M24" s="26" t="n">
        <f aca="false">IFERROR(K24/H24,0)</f>
        <v>0</v>
      </c>
      <c r="N24" s="4" t="s">
        <v>318</v>
      </c>
      <c r="O24" s="4" t="s">
        <v>304</v>
      </c>
      <c r="P24" s="4" t="s">
        <v>314</v>
      </c>
    </row>
    <row r="25" customFormat="false" ht="15" hidden="false" customHeight="false" outlineLevel="0" collapsed="false">
      <c r="A25" s="4" t="s">
        <v>299</v>
      </c>
      <c r="B25" s="4" t="s">
        <v>319</v>
      </c>
      <c r="C25" s="4" t="s">
        <v>123</v>
      </c>
      <c r="D25" s="7" t="n">
        <v>0.74</v>
      </c>
      <c r="E25" s="24" t="n">
        <v>11</v>
      </c>
      <c r="F25" s="24" t="n">
        <v>1</v>
      </c>
      <c r="G25" s="25" t="n">
        <f aca="false">IFERROR(F25/E25,0)</f>
        <v>0.0909090909090909</v>
      </c>
      <c r="H25" s="7" t="n">
        <v>1.26</v>
      </c>
      <c r="I25" s="7" t="n">
        <f aca="false">IFERROR(H25/F25,0)</f>
        <v>1.26</v>
      </c>
      <c r="J25" s="24" t="n">
        <v>0</v>
      </c>
      <c r="K25" s="7" t="n">
        <v>0</v>
      </c>
      <c r="L25" s="25" t="n">
        <f aca="false">IFERROR(H25/K25,0)</f>
        <v>0</v>
      </c>
      <c r="M25" s="26" t="n">
        <f aca="false">IFERROR(K25/H25,0)</f>
        <v>0</v>
      </c>
      <c r="N25" s="4" t="s">
        <v>313</v>
      </c>
      <c r="O25" s="4" t="s">
        <v>304</v>
      </c>
      <c r="P25" s="4" t="s">
        <v>314</v>
      </c>
    </row>
    <row r="26" customFormat="false" ht="15" hidden="false" customHeight="false" outlineLevel="0" collapsed="false">
      <c r="A26" s="4" t="s">
        <v>299</v>
      </c>
      <c r="B26" s="4" t="s">
        <v>324</v>
      </c>
      <c r="C26" s="4" t="s">
        <v>123</v>
      </c>
      <c r="D26" s="7" t="n">
        <v>0.76</v>
      </c>
      <c r="E26" s="24" t="n">
        <v>943</v>
      </c>
      <c r="F26" s="24" t="n">
        <v>2</v>
      </c>
      <c r="G26" s="25" t="n">
        <f aca="false">IFERROR(F26/E26,0)</f>
        <v>0.00212089077412513</v>
      </c>
      <c r="H26" s="7" t="n">
        <v>1.21</v>
      </c>
      <c r="I26" s="7" t="n">
        <f aca="false">IFERROR(H26/F26,0)</f>
        <v>0.605</v>
      </c>
      <c r="J26" s="24" t="n">
        <v>0</v>
      </c>
      <c r="K26" s="7" t="n">
        <v>0</v>
      </c>
      <c r="L26" s="25" t="n">
        <f aca="false">IFERROR(H26/K26,0)</f>
        <v>0</v>
      </c>
      <c r="M26" s="26" t="n">
        <f aca="false">IFERROR(K26/H26,0)</f>
        <v>0</v>
      </c>
      <c r="N26" s="4" t="s">
        <v>313</v>
      </c>
      <c r="O26" s="4" t="s">
        <v>304</v>
      </c>
      <c r="P26" s="4" t="s">
        <v>314</v>
      </c>
    </row>
    <row r="27" customFormat="false" ht="15" hidden="false" customHeight="false" outlineLevel="0" collapsed="false">
      <c r="A27" s="4" t="s">
        <v>299</v>
      </c>
      <c r="B27" s="4" t="s">
        <v>320</v>
      </c>
      <c r="C27" s="4" t="s">
        <v>119</v>
      </c>
      <c r="D27" s="7" t="n">
        <v>0.53</v>
      </c>
      <c r="E27" s="24" t="n">
        <v>10</v>
      </c>
      <c r="F27" s="24" t="n">
        <v>1</v>
      </c>
      <c r="G27" s="25" t="n">
        <f aca="false">IFERROR(F27/E27,0)</f>
        <v>0.1</v>
      </c>
      <c r="H27" s="7" t="n">
        <v>1.16</v>
      </c>
      <c r="I27" s="7" t="n">
        <f aca="false">IFERROR(H27/F27,0)</f>
        <v>1.16</v>
      </c>
      <c r="J27" s="24" t="n">
        <v>0</v>
      </c>
      <c r="K27" s="7" t="n">
        <v>0</v>
      </c>
      <c r="L27" s="25" t="n">
        <f aca="false">IFERROR(H27/K27,0)</f>
        <v>0</v>
      </c>
      <c r="M27" s="26" t="n">
        <f aca="false">IFERROR(K27/H27,0)</f>
        <v>0</v>
      </c>
      <c r="N27" s="4" t="s">
        <v>307</v>
      </c>
      <c r="O27" s="4" t="s">
        <v>304</v>
      </c>
      <c r="P27" s="4" t="s">
        <v>314</v>
      </c>
    </row>
    <row r="28" customFormat="false" ht="15" hidden="false" customHeight="false" outlineLevel="0" collapsed="false">
      <c r="A28" s="4" t="s">
        <v>299</v>
      </c>
      <c r="B28" s="4" t="s">
        <v>325</v>
      </c>
      <c r="C28" s="4" t="s">
        <v>123</v>
      </c>
      <c r="D28" s="7" t="n">
        <v>0.74</v>
      </c>
      <c r="E28" s="24" t="n">
        <v>377</v>
      </c>
      <c r="F28" s="24" t="n">
        <v>1</v>
      </c>
      <c r="G28" s="25" t="n">
        <f aca="false">IFERROR(F28/E28,0)</f>
        <v>0.0026525198938992</v>
      </c>
      <c r="H28" s="7" t="n">
        <v>1.15</v>
      </c>
      <c r="I28" s="7" t="n">
        <f aca="false">IFERROR(H28/F28,0)</f>
        <v>1.15</v>
      </c>
      <c r="J28" s="24" t="n">
        <v>0</v>
      </c>
      <c r="K28" s="7" t="n">
        <v>0</v>
      </c>
      <c r="L28" s="25" t="n">
        <f aca="false">IFERROR(H28/K28,0)</f>
        <v>0</v>
      </c>
      <c r="M28" s="26" t="n">
        <f aca="false">IFERROR(K28/H28,0)</f>
        <v>0</v>
      </c>
      <c r="N28" s="4" t="s">
        <v>313</v>
      </c>
      <c r="O28" s="4" t="s">
        <v>304</v>
      </c>
      <c r="P28" s="4" t="s">
        <v>314</v>
      </c>
    </row>
    <row r="29" customFormat="false" ht="15" hidden="false" customHeight="false" outlineLevel="0" collapsed="false">
      <c r="A29" s="4" t="s">
        <v>299</v>
      </c>
      <c r="B29" s="4" t="s">
        <v>326</v>
      </c>
      <c r="C29" s="4" t="s">
        <v>123</v>
      </c>
      <c r="D29" s="7" t="n">
        <v>0.56</v>
      </c>
      <c r="E29" s="24" t="n">
        <v>4</v>
      </c>
      <c r="F29" s="24" t="n">
        <v>2</v>
      </c>
      <c r="G29" s="25" t="n">
        <f aca="false">IFERROR(F29/E29,0)</f>
        <v>0.5</v>
      </c>
      <c r="H29" s="7" t="n">
        <v>1.01</v>
      </c>
      <c r="I29" s="7" t="n">
        <f aca="false">IFERROR(H29/F29,0)</f>
        <v>0.505</v>
      </c>
      <c r="J29" s="24" t="n">
        <v>0</v>
      </c>
      <c r="K29" s="7" t="n">
        <v>0</v>
      </c>
      <c r="L29" s="25" t="n">
        <f aca="false">IFERROR(H29/K29,0)</f>
        <v>0</v>
      </c>
      <c r="M29" s="26" t="n">
        <f aca="false">IFERROR(K29/H29,0)</f>
        <v>0</v>
      </c>
      <c r="N29" s="4" t="s">
        <v>310</v>
      </c>
      <c r="O29" s="4" t="s">
        <v>304</v>
      </c>
      <c r="P29" s="4" t="s">
        <v>314</v>
      </c>
    </row>
    <row r="30" customFormat="false" ht="15" hidden="false" customHeight="false" outlineLevel="0" collapsed="false">
      <c r="A30" s="4" t="s">
        <v>299</v>
      </c>
      <c r="B30" s="4" t="s">
        <v>327</v>
      </c>
      <c r="C30" s="4" t="s">
        <v>123</v>
      </c>
      <c r="D30" s="7" t="n">
        <v>0.55</v>
      </c>
      <c r="E30" s="24" t="n">
        <v>44</v>
      </c>
      <c r="F30" s="24" t="n">
        <v>2</v>
      </c>
      <c r="G30" s="25" t="n">
        <f aca="false">IFERROR(F30/E30,0)</f>
        <v>0.0454545454545455</v>
      </c>
      <c r="H30" s="7" t="n">
        <v>0.88</v>
      </c>
      <c r="I30" s="7" t="n">
        <f aca="false">IFERROR(H30/F30,0)</f>
        <v>0.44</v>
      </c>
      <c r="J30" s="24" t="n">
        <v>0</v>
      </c>
      <c r="K30" s="7" t="n">
        <v>0</v>
      </c>
      <c r="L30" s="25" t="n">
        <f aca="false">IFERROR(H30/K30,0)</f>
        <v>0</v>
      </c>
      <c r="M30" s="26" t="n">
        <f aca="false">IFERROR(K30/H30,0)</f>
        <v>0</v>
      </c>
      <c r="N30" s="4" t="s">
        <v>313</v>
      </c>
      <c r="O30" s="4" t="s">
        <v>304</v>
      </c>
      <c r="P30" s="4" t="s">
        <v>314</v>
      </c>
    </row>
    <row r="31" customFormat="false" ht="15" hidden="false" customHeight="false" outlineLevel="0" collapsed="false">
      <c r="A31" s="4" t="s">
        <v>299</v>
      </c>
      <c r="B31" s="12" t="s">
        <v>125</v>
      </c>
      <c r="C31" s="4" t="s">
        <v>126</v>
      </c>
      <c r="D31" s="7" t="n">
        <v>0.34</v>
      </c>
      <c r="E31" s="24" t="n">
        <v>89</v>
      </c>
      <c r="F31" s="24" t="n">
        <v>2</v>
      </c>
      <c r="G31" s="25" t="n">
        <f aca="false">IFERROR(F31/E31,0)</f>
        <v>0.0224719101123596</v>
      </c>
      <c r="H31" s="7" t="n">
        <v>0.81</v>
      </c>
      <c r="I31" s="7" t="n">
        <f aca="false">IFERROR(H31/F31,0)</f>
        <v>0.405</v>
      </c>
      <c r="J31" s="24" t="n">
        <v>0</v>
      </c>
      <c r="K31" s="7" t="n">
        <v>0</v>
      </c>
      <c r="L31" s="25" t="n">
        <f aca="false">IFERROR(H31/K31,0)</f>
        <v>0</v>
      </c>
      <c r="M31" s="26" t="n">
        <f aca="false">IFERROR(K31/H31,0)</f>
        <v>0</v>
      </c>
      <c r="N31" s="4" t="s">
        <v>321</v>
      </c>
      <c r="O31" s="12" t="s">
        <v>301</v>
      </c>
      <c r="P31" s="4" t="s">
        <v>302</v>
      </c>
    </row>
    <row r="32" customFormat="false" ht="15" hidden="false" customHeight="false" outlineLevel="0" collapsed="false">
      <c r="A32" s="4" t="s">
        <v>299</v>
      </c>
      <c r="B32" s="4" t="s">
        <v>327</v>
      </c>
      <c r="C32" s="4" t="s">
        <v>119</v>
      </c>
      <c r="D32" s="7" t="n">
        <v>0.47</v>
      </c>
      <c r="E32" s="24" t="n">
        <v>38</v>
      </c>
      <c r="F32" s="24" t="n">
        <v>1</v>
      </c>
      <c r="G32" s="25" t="n">
        <f aca="false">IFERROR(F32/E32,0)</f>
        <v>0.0263157894736842</v>
      </c>
      <c r="H32" s="7" t="n">
        <v>0.72</v>
      </c>
      <c r="I32" s="7" t="n">
        <f aca="false">IFERROR(H32/F32,0)</f>
        <v>0.72</v>
      </c>
      <c r="J32" s="24" t="n">
        <v>0</v>
      </c>
      <c r="K32" s="7" t="n">
        <v>0</v>
      </c>
      <c r="L32" s="25" t="n">
        <f aca="false">IFERROR(H32/K32,0)</f>
        <v>0</v>
      </c>
      <c r="M32" s="26" t="n">
        <f aca="false">IFERROR(K32/H32,0)</f>
        <v>0</v>
      </c>
      <c r="N32" s="4" t="s">
        <v>307</v>
      </c>
      <c r="O32" s="4" t="s">
        <v>304</v>
      </c>
      <c r="P32" s="4" t="s">
        <v>314</v>
      </c>
    </row>
    <row r="33" customFormat="false" ht="15" hidden="false" customHeight="false" outlineLevel="0" collapsed="false">
      <c r="A33" s="4" t="s">
        <v>299</v>
      </c>
      <c r="B33" s="4" t="s">
        <v>306</v>
      </c>
      <c r="C33" s="4" t="s">
        <v>126</v>
      </c>
      <c r="D33" s="7" t="n">
        <v>0.2</v>
      </c>
      <c r="E33" s="24" t="n">
        <v>37</v>
      </c>
      <c r="F33" s="24" t="n">
        <v>1</v>
      </c>
      <c r="G33" s="25" t="n">
        <f aca="false">IFERROR(F33/E33,0)</f>
        <v>0.027027027027027</v>
      </c>
      <c r="H33" s="7" t="n">
        <v>0.26</v>
      </c>
      <c r="I33" s="7" t="n">
        <f aca="false">IFERROR(H33/F33,0)</f>
        <v>0.26</v>
      </c>
      <c r="J33" s="24" t="n">
        <v>0</v>
      </c>
      <c r="K33" s="7" t="n">
        <v>0</v>
      </c>
      <c r="L33" s="25" t="n">
        <f aca="false">IFERROR(H33/K33,0)</f>
        <v>0</v>
      </c>
      <c r="M33" s="26" t="n">
        <f aca="false">IFERROR(K33/H33,0)</f>
        <v>0</v>
      </c>
      <c r="N33" s="4" t="s">
        <v>318</v>
      </c>
      <c r="O33" s="4" t="s">
        <v>304</v>
      </c>
      <c r="P33" s="4" t="s">
        <v>314</v>
      </c>
    </row>
    <row r="34" customFormat="false" ht="15" hidden="false" customHeight="false" outlineLevel="0" collapsed="false">
      <c r="A34" s="4" t="s">
        <v>299</v>
      </c>
      <c r="B34" s="4" t="s">
        <v>328</v>
      </c>
      <c r="C34" s="4" t="s">
        <v>123</v>
      </c>
      <c r="D34" s="7" t="n">
        <v>0.2</v>
      </c>
      <c r="E34" s="24" t="n">
        <v>13</v>
      </c>
      <c r="F34" s="24" t="n">
        <v>1</v>
      </c>
      <c r="G34" s="25" t="n">
        <f aca="false">IFERROR(F34/E34,0)</f>
        <v>0.0769230769230769</v>
      </c>
      <c r="H34" s="7" t="n">
        <v>0.21</v>
      </c>
      <c r="I34" s="7" t="n">
        <f aca="false">IFERROR(H34/F34,0)</f>
        <v>0.21</v>
      </c>
      <c r="J34" s="24" t="n">
        <v>0</v>
      </c>
      <c r="K34" s="7" t="n">
        <v>0</v>
      </c>
      <c r="L34" s="25" t="n">
        <f aca="false">IFERROR(H34/K34,0)</f>
        <v>0</v>
      </c>
      <c r="M34" s="26" t="n">
        <f aca="false">IFERROR(K34/H34,0)</f>
        <v>0</v>
      </c>
      <c r="N34" s="4" t="s">
        <v>318</v>
      </c>
      <c r="O34" s="4" t="s">
        <v>304</v>
      </c>
      <c r="P34" s="4" t="s">
        <v>314</v>
      </c>
    </row>
    <row r="35" customFormat="false" ht="15" hidden="false" customHeight="false" outlineLevel="0" collapsed="false">
      <c r="A35" s="4" t="s">
        <v>299</v>
      </c>
      <c r="B35" s="4" t="s">
        <v>329</v>
      </c>
      <c r="C35" s="4" t="s">
        <v>123</v>
      </c>
      <c r="D35" s="7" t="n">
        <v>0.5</v>
      </c>
      <c r="E35" s="24" t="n">
        <v>253</v>
      </c>
      <c r="F35" s="24" t="n">
        <v>4</v>
      </c>
      <c r="G35" s="25" t="n">
        <f aca="false">IFERROR(F35/E35,0)</f>
        <v>0.0158102766798419</v>
      </c>
      <c r="H35" s="7" t="n">
        <v>1.87</v>
      </c>
      <c r="I35" s="7" t="n">
        <f aca="false">IFERROR(H35/F35,0)</f>
        <v>0.4675</v>
      </c>
      <c r="J35" s="24" t="n">
        <v>0</v>
      </c>
      <c r="K35" s="7" t="n">
        <v>0</v>
      </c>
      <c r="L35" s="25" t="n">
        <f aca="false">IFERROR(H35/K35,0)</f>
        <v>0</v>
      </c>
      <c r="M35" s="26" t="n">
        <f aca="false">IFERROR(K35/H35,0)</f>
        <v>0</v>
      </c>
      <c r="N35" s="4" t="s">
        <v>303</v>
      </c>
      <c r="O35" s="4" t="s">
        <v>304</v>
      </c>
      <c r="P35" s="4" t="s">
        <v>314</v>
      </c>
    </row>
    <row r="36" customFormat="false" ht="15" hidden="false" customHeight="false" outlineLevel="0" collapsed="false">
      <c r="A36" s="4" t="s">
        <v>299</v>
      </c>
      <c r="B36" s="4" t="s">
        <v>118</v>
      </c>
      <c r="C36" s="4" t="s">
        <v>126</v>
      </c>
      <c r="D36" s="7" t="n">
        <v>0.45</v>
      </c>
      <c r="E36" s="24" t="n">
        <v>208</v>
      </c>
      <c r="F36" s="24" t="n">
        <v>4</v>
      </c>
      <c r="G36" s="25" t="n">
        <f aca="false">IFERROR(F36/E36,0)</f>
        <v>0.0192307692307692</v>
      </c>
      <c r="H36" s="7" t="n">
        <v>1.83</v>
      </c>
      <c r="I36" s="7" t="n">
        <f aca="false">IFERROR(H36/F36,0)</f>
        <v>0.4575</v>
      </c>
      <c r="J36" s="24" t="n">
        <v>0</v>
      </c>
      <c r="K36" s="7" t="n">
        <v>0</v>
      </c>
      <c r="L36" s="25" t="n">
        <f aca="false">IFERROR(H36/K36,0)</f>
        <v>0</v>
      </c>
      <c r="M36" s="26" t="n">
        <f aca="false">IFERROR(K36/H36,0)</f>
        <v>0</v>
      </c>
      <c r="N36" s="4" t="s">
        <v>303</v>
      </c>
      <c r="O36" s="4" t="s">
        <v>304</v>
      </c>
      <c r="P36" s="4" t="s">
        <v>314</v>
      </c>
    </row>
    <row r="37" customFormat="false" ht="15" hidden="false" customHeight="false" outlineLevel="0" collapsed="false">
      <c r="A37" s="4" t="s">
        <v>299</v>
      </c>
      <c r="B37" s="4" t="s">
        <v>330</v>
      </c>
      <c r="C37" s="4" t="s">
        <v>123</v>
      </c>
      <c r="D37" s="7" t="n">
        <v>0.5</v>
      </c>
      <c r="E37" s="24" t="n">
        <v>89</v>
      </c>
      <c r="F37" s="24" t="n">
        <v>3</v>
      </c>
      <c r="G37" s="25" t="n">
        <f aca="false">IFERROR(F37/E37,0)</f>
        <v>0.0337078651685393</v>
      </c>
      <c r="H37" s="7" t="n">
        <v>0.91</v>
      </c>
      <c r="I37" s="7" t="n">
        <f aca="false">IFERROR(H37/F37,0)</f>
        <v>0.303333333333333</v>
      </c>
      <c r="J37" s="24" t="n">
        <v>0</v>
      </c>
      <c r="K37" s="7" t="n">
        <v>0</v>
      </c>
      <c r="L37" s="25" t="n">
        <f aca="false">IFERROR(H37/K37,0)</f>
        <v>0</v>
      </c>
      <c r="M37" s="26" t="n">
        <f aca="false">IFERROR(K37/H37,0)</f>
        <v>0</v>
      </c>
      <c r="N37" s="4" t="s">
        <v>303</v>
      </c>
      <c r="O37" s="4" t="s">
        <v>304</v>
      </c>
      <c r="P37" s="4" t="s">
        <v>314</v>
      </c>
    </row>
    <row r="38" customFormat="false" ht="15" hidden="false" customHeight="false" outlineLevel="0" collapsed="false">
      <c r="A38" s="4" t="s">
        <v>299</v>
      </c>
      <c r="B38" s="4" t="s">
        <v>331</v>
      </c>
      <c r="C38" s="4" t="s">
        <v>119</v>
      </c>
      <c r="D38" s="7" t="n">
        <v>0.7</v>
      </c>
      <c r="E38" s="24" t="n">
        <v>126</v>
      </c>
      <c r="F38" s="24" t="n">
        <v>0</v>
      </c>
      <c r="G38" s="25" t="n">
        <f aca="false">IFERROR(F38/E38,0)</f>
        <v>0</v>
      </c>
      <c r="H38" s="7" t="n">
        <v>0</v>
      </c>
      <c r="I38" s="7" t="n">
        <f aca="false">IFERROR(H38/F38,0)</f>
        <v>0</v>
      </c>
      <c r="J38" s="24" t="n">
        <v>0</v>
      </c>
      <c r="K38" s="7" t="n">
        <v>0</v>
      </c>
      <c r="L38" s="25" t="n">
        <f aca="false">IFERROR(H38/K38,0)</f>
        <v>0</v>
      </c>
      <c r="M38" s="26" t="n">
        <f aca="false">IFERROR(K38/H38,0)</f>
        <v>0</v>
      </c>
      <c r="N38" s="4" t="s">
        <v>318</v>
      </c>
      <c r="O38" s="4" t="s">
        <v>304</v>
      </c>
      <c r="P38" s="4" t="s">
        <v>332</v>
      </c>
    </row>
    <row r="39" customFormat="false" ht="15" hidden="false" customHeight="false" outlineLevel="0" collapsed="false">
      <c r="A39" s="4" t="s">
        <v>299</v>
      </c>
      <c r="B39" s="4" t="s">
        <v>333</v>
      </c>
      <c r="C39" s="4" t="s">
        <v>123</v>
      </c>
      <c r="D39" s="7" t="n">
        <v>0.79</v>
      </c>
      <c r="E39" s="24" t="n">
        <v>50</v>
      </c>
      <c r="F39" s="24" t="n">
        <v>0</v>
      </c>
      <c r="G39" s="25" t="n">
        <f aca="false">IFERROR(F39/E39,0)</f>
        <v>0</v>
      </c>
      <c r="H39" s="7" t="n">
        <v>0</v>
      </c>
      <c r="I39" s="7" t="n">
        <f aca="false">IFERROR(H39/F39,0)</f>
        <v>0</v>
      </c>
      <c r="J39" s="24" t="n">
        <v>0</v>
      </c>
      <c r="K39" s="7" t="n">
        <v>0</v>
      </c>
      <c r="L39" s="25" t="n">
        <f aca="false">IFERROR(H39/K39,0)</f>
        <v>0</v>
      </c>
      <c r="M39" s="26" t="n">
        <f aca="false">IFERROR(K39/H39,0)</f>
        <v>0</v>
      </c>
      <c r="N39" s="4" t="s">
        <v>313</v>
      </c>
      <c r="O39" s="4" t="s">
        <v>304</v>
      </c>
      <c r="P39" s="4" t="s">
        <v>332</v>
      </c>
    </row>
    <row r="40" customFormat="false" ht="15" hidden="false" customHeight="false" outlineLevel="0" collapsed="false">
      <c r="A40" s="4" t="s">
        <v>299</v>
      </c>
      <c r="B40" s="4" t="s">
        <v>334</v>
      </c>
      <c r="C40" s="4" t="s">
        <v>119</v>
      </c>
      <c r="D40" s="7" t="n">
        <v>0.2</v>
      </c>
      <c r="E40" s="24" t="n">
        <v>40</v>
      </c>
      <c r="F40" s="24" t="n">
        <v>0</v>
      </c>
      <c r="G40" s="25" t="n">
        <f aca="false">IFERROR(F40/E40,0)</f>
        <v>0</v>
      </c>
      <c r="H40" s="7" t="n">
        <v>0</v>
      </c>
      <c r="I40" s="7" t="n">
        <f aca="false">IFERROR(H40/F40,0)</f>
        <v>0</v>
      </c>
      <c r="J40" s="24" t="n">
        <v>0</v>
      </c>
      <c r="K40" s="7" t="n">
        <v>0</v>
      </c>
      <c r="L40" s="25" t="n">
        <f aca="false">IFERROR(H40/K40,0)</f>
        <v>0</v>
      </c>
      <c r="M40" s="26" t="n">
        <f aca="false">IFERROR(K40/H40,0)</f>
        <v>0</v>
      </c>
      <c r="N40" s="4" t="s">
        <v>318</v>
      </c>
      <c r="O40" s="4" t="s">
        <v>304</v>
      </c>
      <c r="P40" s="4" t="s">
        <v>332</v>
      </c>
    </row>
    <row r="41" customFormat="false" ht="15" hidden="false" customHeight="false" outlineLevel="0" collapsed="false">
      <c r="A41" s="4" t="s">
        <v>299</v>
      </c>
      <c r="B41" s="4" t="s">
        <v>335</v>
      </c>
      <c r="C41" s="4" t="s">
        <v>123</v>
      </c>
      <c r="D41" s="7" t="n">
        <v>0.2</v>
      </c>
      <c r="E41" s="24" t="n">
        <v>35</v>
      </c>
      <c r="F41" s="24" t="n">
        <v>0</v>
      </c>
      <c r="G41" s="25" t="n">
        <f aca="false">IFERROR(F41/E41,0)</f>
        <v>0</v>
      </c>
      <c r="H41" s="7" t="n">
        <v>0</v>
      </c>
      <c r="I41" s="7" t="n">
        <f aca="false">IFERROR(H41/F41,0)</f>
        <v>0</v>
      </c>
      <c r="J41" s="24" t="n">
        <v>0</v>
      </c>
      <c r="K41" s="7" t="n">
        <v>0</v>
      </c>
      <c r="L41" s="25" t="n">
        <f aca="false">IFERROR(H41/K41,0)</f>
        <v>0</v>
      </c>
      <c r="M41" s="26" t="n">
        <f aca="false">IFERROR(K41/H41,0)</f>
        <v>0</v>
      </c>
      <c r="N41" s="4" t="s">
        <v>318</v>
      </c>
      <c r="O41" s="4" t="s">
        <v>304</v>
      </c>
      <c r="P41" s="4" t="s">
        <v>332</v>
      </c>
    </row>
    <row r="42" customFormat="false" ht="15" hidden="false" customHeight="false" outlineLevel="0" collapsed="false">
      <c r="A42" s="4" t="s">
        <v>299</v>
      </c>
      <c r="B42" s="4" t="s">
        <v>336</v>
      </c>
      <c r="C42" s="4" t="s">
        <v>123</v>
      </c>
      <c r="D42" s="7" t="n">
        <v>0.43</v>
      </c>
      <c r="E42" s="24" t="n">
        <v>23</v>
      </c>
      <c r="F42" s="24" t="n">
        <v>0</v>
      </c>
      <c r="G42" s="25" t="n">
        <f aca="false">IFERROR(F42/E42,0)</f>
        <v>0</v>
      </c>
      <c r="H42" s="7" t="n">
        <v>0</v>
      </c>
      <c r="I42" s="7" t="n">
        <f aca="false">IFERROR(H42/F42,0)</f>
        <v>0</v>
      </c>
      <c r="J42" s="24" t="n">
        <v>0</v>
      </c>
      <c r="K42" s="7" t="n">
        <v>0</v>
      </c>
      <c r="L42" s="25" t="n">
        <f aca="false">IFERROR(H42/K42,0)</f>
        <v>0</v>
      </c>
      <c r="M42" s="26" t="n">
        <f aca="false">IFERROR(K42/H42,0)</f>
        <v>0</v>
      </c>
      <c r="N42" s="4" t="s">
        <v>313</v>
      </c>
      <c r="O42" s="4" t="s">
        <v>304</v>
      </c>
      <c r="P42" s="4" t="s">
        <v>332</v>
      </c>
    </row>
    <row r="43" customFormat="false" ht="15" hidden="false" customHeight="false" outlineLevel="0" collapsed="false">
      <c r="A43" s="4" t="s">
        <v>299</v>
      </c>
      <c r="B43" s="4" t="s">
        <v>312</v>
      </c>
      <c r="C43" s="4" t="s">
        <v>119</v>
      </c>
      <c r="D43" s="7" t="n">
        <v>0.53</v>
      </c>
      <c r="E43" s="24" t="n">
        <v>20</v>
      </c>
      <c r="F43" s="24" t="n">
        <v>0</v>
      </c>
      <c r="G43" s="25" t="n">
        <f aca="false">IFERROR(F43/E43,0)</f>
        <v>0</v>
      </c>
      <c r="H43" s="7" t="n">
        <v>0</v>
      </c>
      <c r="I43" s="7" t="n">
        <f aca="false">IFERROR(H43/F43,0)</f>
        <v>0</v>
      </c>
      <c r="J43" s="24" t="n">
        <v>0</v>
      </c>
      <c r="K43" s="7" t="n">
        <v>0</v>
      </c>
      <c r="L43" s="25" t="n">
        <f aca="false">IFERROR(H43/K43,0)</f>
        <v>0</v>
      </c>
      <c r="M43" s="26" t="n">
        <f aca="false">IFERROR(K43/H43,0)</f>
        <v>0</v>
      </c>
      <c r="N43" s="4" t="s">
        <v>307</v>
      </c>
      <c r="O43" s="4" t="s">
        <v>304</v>
      </c>
      <c r="P43" s="4" t="s">
        <v>332</v>
      </c>
    </row>
    <row r="44" customFormat="false" ht="15" hidden="false" customHeight="false" outlineLevel="0" collapsed="false">
      <c r="A44" s="4" t="s">
        <v>299</v>
      </c>
      <c r="B44" s="4" t="s">
        <v>118</v>
      </c>
      <c r="C44" s="4" t="s">
        <v>126</v>
      </c>
      <c r="D44" s="7" t="n">
        <v>0.65</v>
      </c>
      <c r="E44" s="24" t="n">
        <v>17</v>
      </c>
      <c r="F44" s="24" t="n">
        <v>0</v>
      </c>
      <c r="G44" s="25" t="n">
        <f aca="false">IFERROR(F44/E44,0)</f>
        <v>0</v>
      </c>
      <c r="H44" s="7" t="n">
        <v>0</v>
      </c>
      <c r="I44" s="7" t="n">
        <f aca="false">IFERROR(H44/F44,0)</f>
        <v>0</v>
      </c>
      <c r="J44" s="24" t="n">
        <v>0</v>
      </c>
      <c r="K44" s="7" t="n">
        <v>0</v>
      </c>
      <c r="L44" s="25" t="n">
        <f aca="false">IFERROR(H44/K44,0)</f>
        <v>0</v>
      </c>
      <c r="M44" s="26" t="n">
        <f aca="false">IFERROR(K44/H44,0)</f>
        <v>0</v>
      </c>
      <c r="N44" s="4" t="s">
        <v>300</v>
      </c>
      <c r="O44" s="4" t="s">
        <v>304</v>
      </c>
      <c r="P44" s="4" t="s">
        <v>332</v>
      </c>
    </row>
    <row r="45" customFormat="false" ht="15" hidden="false" customHeight="false" outlineLevel="0" collapsed="false">
      <c r="A45" s="4" t="s">
        <v>299</v>
      </c>
      <c r="B45" s="4" t="s">
        <v>323</v>
      </c>
      <c r="C45" s="4" t="s">
        <v>123</v>
      </c>
      <c r="D45" s="7" t="n">
        <v>0.7</v>
      </c>
      <c r="E45" s="24" t="n">
        <v>8</v>
      </c>
      <c r="F45" s="24" t="n">
        <v>0</v>
      </c>
      <c r="G45" s="25" t="n">
        <f aca="false">IFERROR(F45/E45,0)</f>
        <v>0</v>
      </c>
      <c r="H45" s="7" t="n">
        <v>0</v>
      </c>
      <c r="I45" s="7" t="n">
        <f aca="false">IFERROR(H45/F45,0)</f>
        <v>0</v>
      </c>
      <c r="J45" s="24" t="n">
        <v>0</v>
      </c>
      <c r="K45" s="7" t="n">
        <v>0</v>
      </c>
      <c r="L45" s="25" t="n">
        <f aca="false">IFERROR(H45/K45,0)</f>
        <v>0</v>
      </c>
      <c r="M45" s="26" t="n">
        <f aca="false">IFERROR(K45/H45,0)</f>
        <v>0</v>
      </c>
      <c r="N45" s="4" t="s">
        <v>318</v>
      </c>
      <c r="O45" s="4" t="s">
        <v>304</v>
      </c>
      <c r="P45" s="4" t="s">
        <v>332</v>
      </c>
    </row>
    <row r="46" customFormat="false" ht="15" hidden="false" customHeight="false" outlineLevel="0" collapsed="false">
      <c r="A46" s="4" t="s">
        <v>299</v>
      </c>
      <c r="B46" s="4" t="s">
        <v>337</v>
      </c>
      <c r="C46" s="4" t="s">
        <v>123</v>
      </c>
      <c r="D46" s="7" t="n">
        <v>0.76</v>
      </c>
      <c r="E46" s="24" t="n">
        <v>8</v>
      </c>
      <c r="F46" s="24" t="n">
        <v>0</v>
      </c>
      <c r="G46" s="25" t="n">
        <f aca="false">IFERROR(F46/E46,0)</f>
        <v>0</v>
      </c>
      <c r="H46" s="7" t="n">
        <v>0</v>
      </c>
      <c r="I46" s="7" t="n">
        <f aca="false">IFERROR(H46/F46,0)</f>
        <v>0</v>
      </c>
      <c r="J46" s="24" t="n">
        <v>0</v>
      </c>
      <c r="K46" s="7" t="n">
        <v>0</v>
      </c>
      <c r="L46" s="25" t="n">
        <f aca="false">IFERROR(H46/K46,0)</f>
        <v>0</v>
      </c>
      <c r="M46" s="26" t="n">
        <f aca="false">IFERROR(K46/H46,0)</f>
        <v>0</v>
      </c>
      <c r="N46" s="4" t="s">
        <v>313</v>
      </c>
      <c r="O46" s="4" t="s">
        <v>304</v>
      </c>
      <c r="P46" s="4" t="s">
        <v>332</v>
      </c>
    </row>
    <row r="47" customFormat="false" ht="15" hidden="false" customHeight="false" outlineLevel="0" collapsed="false">
      <c r="A47" s="4" t="s">
        <v>299</v>
      </c>
      <c r="B47" s="4" t="s">
        <v>338</v>
      </c>
      <c r="C47" s="4" t="s">
        <v>123</v>
      </c>
      <c r="D47" s="7" t="n">
        <v>0.76</v>
      </c>
      <c r="E47" s="24" t="n">
        <v>8</v>
      </c>
      <c r="F47" s="24" t="n">
        <v>0</v>
      </c>
      <c r="G47" s="25" t="n">
        <f aca="false">IFERROR(F47/E47,0)</f>
        <v>0</v>
      </c>
      <c r="H47" s="7" t="n">
        <v>0</v>
      </c>
      <c r="I47" s="7" t="n">
        <f aca="false">IFERROR(H47/F47,0)</f>
        <v>0</v>
      </c>
      <c r="J47" s="24" t="n">
        <v>0</v>
      </c>
      <c r="K47" s="7" t="n">
        <v>0</v>
      </c>
      <c r="L47" s="25" t="n">
        <f aca="false">IFERROR(H47/K47,0)</f>
        <v>0</v>
      </c>
      <c r="M47" s="26" t="n">
        <f aca="false">IFERROR(K47/H47,0)</f>
        <v>0</v>
      </c>
      <c r="N47" s="4" t="s">
        <v>313</v>
      </c>
      <c r="O47" s="4" t="s">
        <v>304</v>
      </c>
      <c r="P47" s="4" t="s">
        <v>332</v>
      </c>
    </row>
    <row r="48" customFormat="false" ht="15" hidden="false" customHeight="false" outlineLevel="0" collapsed="false">
      <c r="A48" s="4" t="s">
        <v>299</v>
      </c>
      <c r="B48" s="4" t="s">
        <v>125</v>
      </c>
      <c r="C48" s="4" t="s">
        <v>119</v>
      </c>
      <c r="D48" s="7" t="n">
        <v>0.3</v>
      </c>
      <c r="E48" s="24" t="n">
        <v>7</v>
      </c>
      <c r="F48" s="24" t="n">
        <v>0</v>
      </c>
      <c r="G48" s="25" t="n">
        <f aca="false">IFERROR(F48/E48,0)</f>
        <v>0</v>
      </c>
      <c r="H48" s="7" t="n">
        <v>0</v>
      </c>
      <c r="I48" s="7" t="n">
        <f aca="false">IFERROR(H48/F48,0)</f>
        <v>0</v>
      </c>
      <c r="J48" s="24" t="n">
        <v>0</v>
      </c>
      <c r="K48" s="7" t="n">
        <v>0</v>
      </c>
      <c r="L48" s="25" t="n">
        <f aca="false">IFERROR(H48/K48,0)</f>
        <v>0</v>
      </c>
      <c r="M48" s="26" t="n">
        <f aca="false">IFERROR(K48/H48,0)</f>
        <v>0</v>
      </c>
      <c r="N48" s="4" t="s">
        <v>321</v>
      </c>
      <c r="O48" s="4" t="s">
        <v>304</v>
      </c>
      <c r="P48" s="4" t="s">
        <v>332</v>
      </c>
    </row>
    <row r="49" customFormat="false" ht="15" hidden="false" customHeight="false" outlineLevel="0" collapsed="false">
      <c r="A49" s="4" t="s">
        <v>299</v>
      </c>
      <c r="B49" s="4" t="s">
        <v>331</v>
      </c>
      <c r="C49" s="4" t="s">
        <v>123</v>
      </c>
      <c r="D49" s="7" t="n">
        <v>0.7</v>
      </c>
      <c r="E49" s="24" t="n">
        <v>7</v>
      </c>
      <c r="F49" s="24" t="n">
        <v>0</v>
      </c>
      <c r="G49" s="25" t="n">
        <f aca="false">IFERROR(F49/E49,0)</f>
        <v>0</v>
      </c>
      <c r="H49" s="7" t="n">
        <v>0</v>
      </c>
      <c r="I49" s="7" t="n">
        <f aca="false">IFERROR(H49/F49,0)</f>
        <v>0</v>
      </c>
      <c r="J49" s="24" t="n">
        <v>0</v>
      </c>
      <c r="K49" s="7" t="n">
        <v>0</v>
      </c>
      <c r="L49" s="25" t="n">
        <f aca="false">IFERROR(H49/K49,0)</f>
        <v>0</v>
      </c>
      <c r="M49" s="26" t="n">
        <f aca="false">IFERROR(K49/H49,0)</f>
        <v>0</v>
      </c>
      <c r="N49" s="4" t="s">
        <v>318</v>
      </c>
      <c r="O49" s="4" t="s">
        <v>304</v>
      </c>
      <c r="P49" s="4" t="s">
        <v>332</v>
      </c>
    </row>
    <row r="50" customFormat="false" ht="15" hidden="false" customHeight="false" outlineLevel="0" collapsed="false">
      <c r="A50" s="4" t="s">
        <v>299</v>
      </c>
      <c r="B50" s="4" t="s">
        <v>339</v>
      </c>
      <c r="C50" s="4" t="s">
        <v>123</v>
      </c>
      <c r="D50" s="7" t="n">
        <v>0.41</v>
      </c>
      <c r="E50" s="24" t="n">
        <v>7</v>
      </c>
      <c r="F50" s="24" t="n">
        <v>0</v>
      </c>
      <c r="G50" s="25" t="n">
        <f aca="false">IFERROR(F50/E50,0)</f>
        <v>0</v>
      </c>
      <c r="H50" s="7" t="n">
        <v>0</v>
      </c>
      <c r="I50" s="7" t="n">
        <f aca="false">IFERROR(H50/F50,0)</f>
        <v>0</v>
      </c>
      <c r="J50" s="24" t="n">
        <v>0</v>
      </c>
      <c r="K50" s="7" t="n">
        <v>0</v>
      </c>
      <c r="L50" s="25" t="n">
        <f aca="false">IFERROR(H50/K50,0)</f>
        <v>0</v>
      </c>
      <c r="M50" s="26" t="n">
        <f aca="false">IFERROR(K50/H50,0)</f>
        <v>0</v>
      </c>
      <c r="N50" s="4" t="s">
        <v>313</v>
      </c>
      <c r="O50" s="4" t="s">
        <v>304</v>
      </c>
      <c r="P50" s="4" t="s">
        <v>332</v>
      </c>
    </row>
    <row r="51" customFormat="false" ht="15" hidden="false" customHeight="false" outlineLevel="0" collapsed="false">
      <c r="A51" s="4" t="s">
        <v>299</v>
      </c>
      <c r="B51" s="4" t="s">
        <v>340</v>
      </c>
      <c r="C51" s="4" t="s">
        <v>123</v>
      </c>
      <c r="D51" s="7" t="n">
        <v>0.36</v>
      </c>
      <c r="E51" s="24" t="n">
        <v>7</v>
      </c>
      <c r="F51" s="24" t="n">
        <v>0</v>
      </c>
      <c r="G51" s="25" t="n">
        <f aca="false">IFERROR(F51/E51,0)</f>
        <v>0</v>
      </c>
      <c r="H51" s="7" t="n">
        <v>0</v>
      </c>
      <c r="I51" s="7" t="n">
        <f aca="false">IFERROR(H51/F51,0)</f>
        <v>0</v>
      </c>
      <c r="J51" s="24" t="n">
        <v>0</v>
      </c>
      <c r="K51" s="7" t="n">
        <v>0</v>
      </c>
      <c r="L51" s="25" t="n">
        <f aca="false">IFERROR(H51/K51,0)</f>
        <v>0</v>
      </c>
      <c r="M51" s="26" t="n">
        <f aca="false">IFERROR(K51/H51,0)</f>
        <v>0</v>
      </c>
      <c r="N51" s="4" t="s">
        <v>313</v>
      </c>
      <c r="O51" s="4" t="s">
        <v>304</v>
      </c>
      <c r="P51" s="4" t="s">
        <v>332</v>
      </c>
    </row>
    <row r="52" customFormat="false" ht="15" hidden="false" customHeight="false" outlineLevel="0" collapsed="false">
      <c r="A52" s="4" t="s">
        <v>299</v>
      </c>
      <c r="B52" s="4" t="s">
        <v>341</v>
      </c>
      <c r="C52" s="4" t="s">
        <v>123</v>
      </c>
      <c r="D52" s="7" t="n">
        <v>0.76</v>
      </c>
      <c r="E52" s="24" t="n">
        <v>7</v>
      </c>
      <c r="F52" s="24" t="n">
        <v>0</v>
      </c>
      <c r="G52" s="25" t="n">
        <f aca="false">IFERROR(F52/E52,0)</f>
        <v>0</v>
      </c>
      <c r="H52" s="7" t="n">
        <v>0</v>
      </c>
      <c r="I52" s="7" t="n">
        <f aca="false">IFERROR(H52/F52,0)</f>
        <v>0</v>
      </c>
      <c r="J52" s="24" t="n">
        <v>0</v>
      </c>
      <c r="K52" s="7" t="n">
        <v>0</v>
      </c>
      <c r="L52" s="25" t="n">
        <f aca="false">IFERROR(H52/K52,0)</f>
        <v>0</v>
      </c>
      <c r="M52" s="26" t="n">
        <f aca="false">IFERROR(K52/H52,0)</f>
        <v>0</v>
      </c>
      <c r="N52" s="4" t="s">
        <v>313</v>
      </c>
      <c r="O52" s="4" t="s">
        <v>304</v>
      </c>
      <c r="P52" s="4" t="s">
        <v>332</v>
      </c>
    </row>
    <row r="53" customFormat="false" ht="15" hidden="false" customHeight="false" outlineLevel="0" collapsed="false">
      <c r="A53" s="4" t="s">
        <v>299</v>
      </c>
      <c r="B53" s="4" t="s">
        <v>342</v>
      </c>
      <c r="C53" s="4" t="s">
        <v>123</v>
      </c>
      <c r="D53" s="7" t="n">
        <v>0.28</v>
      </c>
      <c r="E53" s="24" t="n">
        <v>6</v>
      </c>
      <c r="F53" s="24" t="n">
        <v>0</v>
      </c>
      <c r="G53" s="25" t="n">
        <f aca="false">IFERROR(F53/E53,0)</f>
        <v>0</v>
      </c>
      <c r="H53" s="7" t="n">
        <v>0</v>
      </c>
      <c r="I53" s="7" t="n">
        <f aca="false">IFERROR(H53/F53,0)</f>
        <v>0</v>
      </c>
      <c r="J53" s="24" t="n">
        <v>0</v>
      </c>
      <c r="K53" s="7" t="n">
        <v>0</v>
      </c>
      <c r="L53" s="25" t="n">
        <f aca="false">IFERROR(H53/K53,0)</f>
        <v>0</v>
      </c>
      <c r="M53" s="26" t="n">
        <f aca="false">IFERROR(K53/H53,0)</f>
        <v>0</v>
      </c>
      <c r="N53" s="4" t="s">
        <v>307</v>
      </c>
      <c r="O53" s="4" t="s">
        <v>304</v>
      </c>
      <c r="P53" s="4" t="s">
        <v>332</v>
      </c>
    </row>
    <row r="54" customFormat="false" ht="15" hidden="false" customHeight="false" outlineLevel="0" collapsed="false">
      <c r="A54" s="4" t="s">
        <v>299</v>
      </c>
      <c r="B54" s="4" t="s">
        <v>327</v>
      </c>
      <c r="C54" s="4" t="s">
        <v>123</v>
      </c>
      <c r="D54" s="7" t="n">
        <v>0.42</v>
      </c>
      <c r="E54" s="24" t="n">
        <v>5</v>
      </c>
      <c r="F54" s="24" t="n">
        <v>0</v>
      </c>
      <c r="G54" s="25" t="n">
        <f aca="false">IFERROR(F54/E54,0)</f>
        <v>0</v>
      </c>
      <c r="H54" s="7" t="n">
        <v>0</v>
      </c>
      <c r="I54" s="7" t="n">
        <f aca="false">IFERROR(H54/F54,0)</f>
        <v>0</v>
      </c>
      <c r="J54" s="24" t="n">
        <v>0</v>
      </c>
      <c r="K54" s="7" t="n">
        <v>0</v>
      </c>
      <c r="L54" s="25" t="n">
        <f aca="false">IFERROR(H54/K54,0)</f>
        <v>0</v>
      </c>
      <c r="M54" s="26" t="n">
        <f aca="false">IFERROR(K54/H54,0)</f>
        <v>0</v>
      </c>
      <c r="N54" s="4" t="s">
        <v>307</v>
      </c>
      <c r="O54" s="4" t="s">
        <v>304</v>
      </c>
      <c r="P54" s="4" t="s">
        <v>332</v>
      </c>
    </row>
    <row r="55" customFormat="false" ht="15" hidden="false" customHeight="false" outlineLevel="0" collapsed="false">
      <c r="A55" s="4" t="s">
        <v>299</v>
      </c>
      <c r="B55" s="4" t="s">
        <v>342</v>
      </c>
      <c r="C55" s="4" t="s">
        <v>123</v>
      </c>
      <c r="D55" s="7" t="n">
        <v>0.53</v>
      </c>
      <c r="E55" s="24" t="n">
        <v>5</v>
      </c>
      <c r="F55" s="24" t="n">
        <v>0</v>
      </c>
      <c r="G55" s="25" t="n">
        <f aca="false">IFERROR(F55/E55,0)</f>
        <v>0</v>
      </c>
      <c r="H55" s="7" t="n">
        <v>0</v>
      </c>
      <c r="I55" s="7" t="n">
        <f aca="false">IFERROR(H55/F55,0)</f>
        <v>0</v>
      </c>
      <c r="J55" s="24" t="n">
        <v>0</v>
      </c>
      <c r="K55" s="7" t="n">
        <v>0</v>
      </c>
      <c r="L55" s="25" t="n">
        <f aca="false">IFERROR(H55/K55,0)</f>
        <v>0</v>
      </c>
      <c r="M55" s="26" t="n">
        <f aca="false">IFERROR(K55/H55,0)</f>
        <v>0</v>
      </c>
      <c r="N55" s="4" t="s">
        <v>313</v>
      </c>
      <c r="O55" s="4" t="s">
        <v>304</v>
      </c>
      <c r="P55" s="4" t="s">
        <v>332</v>
      </c>
    </row>
    <row r="56" customFormat="false" ht="15" hidden="false" customHeight="false" outlineLevel="0" collapsed="false">
      <c r="A56" s="4" t="s">
        <v>299</v>
      </c>
      <c r="B56" s="4" t="s">
        <v>343</v>
      </c>
      <c r="C56" s="4" t="s">
        <v>123</v>
      </c>
      <c r="D56" s="7" t="n">
        <v>0.76</v>
      </c>
      <c r="E56" s="24" t="n">
        <v>5</v>
      </c>
      <c r="F56" s="24" t="n">
        <v>0</v>
      </c>
      <c r="G56" s="25" t="n">
        <f aca="false">IFERROR(F56/E56,0)</f>
        <v>0</v>
      </c>
      <c r="H56" s="7" t="n">
        <v>0</v>
      </c>
      <c r="I56" s="7" t="n">
        <f aca="false">IFERROR(H56/F56,0)</f>
        <v>0</v>
      </c>
      <c r="J56" s="24" t="n">
        <v>0</v>
      </c>
      <c r="K56" s="7" t="n">
        <v>0</v>
      </c>
      <c r="L56" s="25" t="n">
        <f aca="false">IFERROR(H56/K56,0)</f>
        <v>0</v>
      </c>
      <c r="M56" s="26" t="n">
        <f aca="false">IFERROR(K56/H56,0)</f>
        <v>0</v>
      </c>
      <c r="N56" s="4" t="s">
        <v>313</v>
      </c>
      <c r="O56" s="4" t="s">
        <v>304</v>
      </c>
      <c r="P56" s="4" t="s">
        <v>332</v>
      </c>
    </row>
    <row r="57" customFormat="false" ht="15" hidden="false" customHeight="false" outlineLevel="0" collapsed="false">
      <c r="A57" s="4" t="s">
        <v>299</v>
      </c>
      <c r="B57" s="4" t="s">
        <v>344</v>
      </c>
      <c r="C57" s="4" t="s">
        <v>123</v>
      </c>
      <c r="D57" s="7" t="n">
        <v>0.66</v>
      </c>
      <c r="E57" s="24" t="n">
        <v>3</v>
      </c>
      <c r="F57" s="24" t="n">
        <v>0</v>
      </c>
      <c r="G57" s="25" t="n">
        <f aca="false">IFERROR(F57/E57,0)</f>
        <v>0</v>
      </c>
      <c r="H57" s="7" t="n">
        <v>0</v>
      </c>
      <c r="I57" s="7" t="n">
        <f aca="false">IFERROR(H57/F57,0)</f>
        <v>0</v>
      </c>
      <c r="J57" s="24" t="n">
        <v>0</v>
      </c>
      <c r="K57" s="7" t="n">
        <v>0</v>
      </c>
      <c r="L57" s="25" t="n">
        <f aca="false">IFERROR(H57/K57,0)</f>
        <v>0</v>
      </c>
      <c r="M57" s="26" t="n">
        <f aca="false">IFERROR(K57/H57,0)</f>
        <v>0</v>
      </c>
      <c r="N57" s="4" t="s">
        <v>313</v>
      </c>
      <c r="O57" s="4" t="s">
        <v>304</v>
      </c>
      <c r="P57" s="4" t="s">
        <v>332</v>
      </c>
    </row>
    <row r="58" customFormat="false" ht="15" hidden="false" customHeight="false" outlineLevel="0" collapsed="false">
      <c r="A58" s="4" t="s">
        <v>299</v>
      </c>
      <c r="B58" s="4" t="s">
        <v>306</v>
      </c>
      <c r="C58" s="4" t="s">
        <v>123</v>
      </c>
      <c r="D58" s="7" t="n">
        <v>0.47</v>
      </c>
      <c r="E58" s="24" t="n">
        <v>2</v>
      </c>
      <c r="F58" s="24" t="n">
        <v>0</v>
      </c>
      <c r="G58" s="25" t="n">
        <f aca="false">IFERROR(F58/E58,0)</f>
        <v>0</v>
      </c>
      <c r="H58" s="7" t="n">
        <v>0</v>
      </c>
      <c r="I58" s="7" t="n">
        <f aca="false">IFERROR(H58/F58,0)</f>
        <v>0</v>
      </c>
      <c r="J58" s="24" t="n">
        <v>0</v>
      </c>
      <c r="K58" s="7" t="n">
        <v>0</v>
      </c>
      <c r="L58" s="25" t="n">
        <f aca="false">IFERROR(H58/K58,0)</f>
        <v>0</v>
      </c>
      <c r="M58" s="26" t="n">
        <f aca="false">IFERROR(K58/H58,0)</f>
        <v>0</v>
      </c>
      <c r="N58" s="4" t="s">
        <v>307</v>
      </c>
      <c r="O58" s="4" t="s">
        <v>304</v>
      </c>
      <c r="P58" s="4" t="s">
        <v>332</v>
      </c>
    </row>
    <row r="59" customFormat="false" ht="15" hidden="false" customHeight="false" outlineLevel="0" collapsed="false">
      <c r="A59" s="4" t="s">
        <v>299</v>
      </c>
      <c r="B59" s="4" t="s">
        <v>345</v>
      </c>
      <c r="C59" s="4" t="s">
        <v>119</v>
      </c>
      <c r="D59" s="7" t="n">
        <v>0.41</v>
      </c>
      <c r="E59" s="24" t="n">
        <v>1</v>
      </c>
      <c r="F59" s="24" t="n">
        <v>0</v>
      </c>
      <c r="G59" s="25" t="n">
        <f aca="false">IFERROR(F59/E59,0)</f>
        <v>0</v>
      </c>
      <c r="H59" s="7" t="n">
        <v>0</v>
      </c>
      <c r="I59" s="7" t="n">
        <f aca="false">IFERROR(H59/F59,0)</f>
        <v>0</v>
      </c>
      <c r="J59" s="24" t="n">
        <v>0</v>
      </c>
      <c r="K59" s="7" t="n">
        <v>0</v>
      </c>
      <c r="L59" s="25" t="n">
        <f aca="false">IFERROR(H59/K59,0)</f>
        <v>0</v>
      </c>
      <c r="M59" s="26" t="n">
        <f aca="false">IFERROR(K59/H59,0)</f>
        <v>0</v>
      </c>
      <c r="N59" s="4" t="s">
        <v>307</v>
      </c>
      <c r="O59" s="4" t="s">
        <v>304</v>
      </c>
      <c r="P59" s="4" t="s">
        <v>332</v>
      </c>
    </row>
    <row r="60" customFormat="false" ht="15" hidden="false" customHeight="false" outlineLevel="0" collapsed="false">
      <c r="A60" s="4" t="s">
        <v>299</v>
      </c>
      <c r="B60" s="4" t="s">
        <v>320</v>
      </c>
      <c r="C60" s="4" t="s">
        <v>123</v>
      </c>
      <c r="D60" s="7" t="n">
        <v>0.47</v>
      </c>
      <c r="E60" s="24" t="n">
        <v>1</v>
      </c>
      <c r="F60" s="24" t="n">
        <v>0</v>
      </c>
      <c r="G60" s="25" t="n">
        <f aca="false">IFERROR(F60/E60,0)</f>
        <v>0</v>
      </c>
      <c r="H60" s="7" t="n">
        <v>0</v>
      </c>
      <c r="I60" s="7" t="n">
        <f aca="false">IFERROR(H60/F60,0)</f>
        <v>0</v>
      </c>
      <c r="J60" s="24" t="n">
        <v>0</v>
      </c>
      <c r="K60" s="7" t="n">
        <v>0</v>
      </c>
      <c r="L60" s="25" t="n">
        <f aca="false">IFERROR(H60/K60,0)</f>
        <v>0</v>
      </c>
      <c r="M60" s="26" t="n">
        <f aca="false">IFERROR(K60/H60,0)</f>
        <v>0</v>
      </c>
      <c r="N60" s="4" t="s">
        <v>307</v>
      </c>
      <c r="O60" s="4" t="s">
        <v>304</v>
      </c>
      <c r="P60" s="4" t="s">
        <v>332</v>
      </c>
    </row>
    <row r="61" customFormat="false" ht="15" hidden="false" customHeight="false" outlineLevel="0" collapsed="false">
      <c r="A61" s="4" t="s">
        <v>299</v>
      </c>
      <c r="B61" s="4" t="s">
        <v>346</v>
      </c>
      <c r="C61" s="4" t="s">
        <v>123</v>
      </c>
      <c r="D61" s="7" t="n">
        <v>0.2</v>
      </c>
      <c r="E61" s="24" t="n">
        <v>1</v>
      </c>
      <c r="F61" s="24" t="n">
        <v>0</v>
      </c>
      <c r="G61" s="25" t="n">
        <f aca="false">IFERROR(F61/E61,0)</f>
        <v>0</v>
      </c>
      <c r="H61" s="7" t="n">
        <v>0</v>
      </c>
      <c r="I61" s="7" t="n">
        <f aca="false">IFERROR(H61/F61,0)</f>
        <v>0</v>
      </c>
      <c r="J61" s="24" t="n">
        <v>0</v>
      </c>
      <c r="K61" s="7" t="n">
        <v>0</v>
      </c>
      <c r="L61" s="25" t="n">
        <f aca="false">IFERROR(H61/K61,0)</f>
        <v>0</v>
      </c>
      <c r="M61" s="26" t="n">
        <f aca="false">IFERROR(K61/H61,0)</f>
        <v>0</v>
      </c>
      <c r="N61" s="4" t="s">
        <v>318</v>
      </c>
      <c r="O61" s="4" t="s">
        <v>304</v>
      </c>
      <c r="P61" s="4" t="s">
        <v>332</v>
      </c>
    </row>
    <row r="62" customFormat="false" ht="15" hidden="false" customHeight="false" outlineLevel="0" collapsed="false">
      <c r="A62" s="4" t="s">
        <v>299</v>
      </c>
      <c r="B62" s="4" t="s">
        <v>347</v>
      </c>
      <c r="C62" s="4" t="s">
        <v>123</v>
      </c>
      <c r="D62" s="7" t="n">
        <v>0.76</v>
      </c>
      <c r="E62" s="24" t="n">
        <v>1</v>
      </c>
      <c r="F62" s="24" t="n">
        <v>0</v>
      </c>
      <c r="G62" s="25" t="n">
        <f aca="false">IFERROR(F62/E62,0)</f>
        <v>0</v>
      </c>
      <c r="H62" s="7" t="n">
        <v>0</v>
      </c>
      <c r="I62" s="7" t="n">
        <f aca="false">IFERROR(H62/F62,0)</f>
        <v>0</v>
      </c>
      <c r="J62" s="24" t="n">
        <v>0</v>
      </c>
      <c r="K62" s="7" t="n">
        <v>0</v>
      </c>
      <c r="L62" s="25" t="n">
        <f aca="false">IFERROR(H62/K62,0)</f>
        <v>0</v>
      </c>
      <c r="M62" s="26" t="n">
        <f aca="false">IFERROR(K62/H62,0)</f>
        <v>0</v>
      </c>
      <c r="N62" s="4" t="s">
        <v>313</v>
      </c>
      <c r="O62" s="4" t="s">
        <v>304</v>
      </c>
      <c r="P62" s="4" t="s">
        <v>332</v>
      </c>
    </row>
    <row r="63" customFormat="false" ht="15" hidden="false" customHeight="false" outlineLevel="0" collapsed="false">
      <c r="A63" s="4" t="s">
        <v>299</v>
      </c>
      <c r="B63" s="4" t="s">
        <v>348</v>
      </c>
      <c r="C63" s="4" t="s">
        <v>123</v>
      </c>
      <c r="D63" s="7" t="n">
        <v>0.76</v>
      </c>
      <c r="E63" s="24" t="n">
        <v>1</v>
      </c>
      <c r="F63" s="24" t="n">
        <v>0</v>
      </c>
      <c r="G63" s="25" t="n">
        <f aca="false">IFERROR(F63/E63,0)</f>
        <v>0</v>
      </c>
      <c r="H63" s="7" t="n">
        <v>0</v>
      </c>
      <c r="I63" s="7" t="n">
        <f aca="false">IFERROR(H63/F63,0)</f>
        <v>0</v>
      </c>
      <c r="J63" s="24" t="n">
        <v>0</v>
      </c>
      <c r="K63" s="7" t="n">
        <v>0</v>
      </c>
      <c r="L63" s="25" t="n">
        <f aca="false">IFERROR(H63/K63,0)</f>
        <v>0</v>
      </c>
      <c r="M63" s="26" t="n">
        <f aca="false">IFERROR(K63/H63,0)</f>
        <v>0</v>
      </c>
      <c r="N63" s="4" t="s">
        <v>313</v>
      </c>
      <c r="O63" s="4" t="s">
        <v>304</v>
      </c>
      <c r="P63" s="4" t="s">
        <v>332</v>
      </c>
    </row>
    <row r="64" customFormat="false" ht="15" hidden="false" customHeight="false" outlineLevel="0" collapsed="false">
      <c r="A64" s="4" t="s">
        <v>299</v>
      </c>
      <c r="B64" s="4" t="s">
        <v>349</v>
      </c>
      <c r="C64" s="4" t="s">
        <v>123</v>
      </c>
      <c r="D64" s="7" t="n">
        <v>0.36</v>
      </c>
      <c r="E64" s="24" t="n">
        <v>1</v>
      </c>
      <c r="F64" s="24" t="n">
        <v>0</v>
      </c>
      <c r="G64" s="25" t="n">
        <f aca="false">IFERROR(F64/E64,0)</f>
        <v>0</v>
      </c>
      <c r="H64" s="7" t="n">
        <v>0</v>
      </c>
      <c r="I64" s="7" t="n">
        <f aca="false">IFERROR(H64/F64,0)</f>
        <v>0</v>
      </c>
      <c r="J64" s="24" t="n">
        <v>0</v>
      </c>
      <c r="K64" s="7" t="n">
        <v>0</v>
      </c>
      <c r="L64" s="25" t="n">
        <f aca="false">IFERROR(H64/K64,0)</f>
        <v>0</v>
      </c>
      <c r="M64" s="26" t="n">
        <f aca="false">IFERROR(K64/H64,0)</f>
        <v>0</v>
      </c>
      <c r="N64" s="4" t="s">
        <v>313</v>
      </c>
      <c r="O64" s="4" t="s">
        <v>304</v>
      </c>
      <c r="P64" s="4" t="s">
        <v>332</v>
      </c>
    </row>
    <row r="65" customFormat="false" ht="15" hidden="false" customHeight="false" outlineLevel="0" collapsed="false">
      <c r="A65" s="4" t="s">
        <v>299</v>
      </c>
      <c r="B65" s="4" t="s">
        <v>350</v>
      </c>
      <c r="C65" s="4" t="s">
        <v>123</v>
      </c>
      <c r="D65" s="7" t="n">
        <v>0.5</v>
      </c>
      <c r="E65" s="24" t="n">
        <v>1</v>
      </c>
      <c r="F65" s="24" t="n">
        <v>0</v>
      </c>
      <c r="G65" s="25" t="n">
        <f aca="false">IFERROR(F65/E65,0)</f>
        <v>0</v>
      </c>
      <c r="H65" s="7" t="n">
        <v>0</v>
      </c>
      <c r="I65" s="7" t="n">
        <f aca="false">IFERROR(H65/F65,0)</f>
        <v>0</v>
      </c>
      <c r="J65" s="24" t="n">
        <v>0</v>
      </c>
      <c r="K65" s="7" t="n">
        <v>0</v>
      </c>
      <c r="L65" s="25" t="n">
        <f aca="false">IFERROR(H65/K65,0)</f>
        <v>0</v>
      </c>
      <c r="M65" s="26" t="n">
        <f aca="false">IFERROR(K65/H65,0)</f>
        <v>0</v>
      </c>
      <c r="N65" s="4" t="s">
        <v>313</v>
      </c>
      <c r="O65" s="4" t="s">
        <v>304</v>
      </c>
      <c r="P65" s="4" t="s">
        <v>332</v>
      </c>
    </row>
    <row r="66" customFormat="false" ht="15" hidden="false" customHeight="false" outlineLevel="0" collapsed="false">
      <c r="A66" s="4" t="s">
        <v>299</v>
      </c>
      <c r="B66" s="4" t="s">
        <v>351</v>
      </c>
      <c r="C66" s="4" t="s">
        <v>123</v>
      </c>
      <c r="D66" s="7" t="n">
        <v>0.51</v>
      </c>
      <c r="E66" s="24" t="n">
        <v>1</v>
      </c>
      <c r="F66" s="24" t="n">
        <v>0</v>
      </c>
      <c r="G66" s="25" t="n">
        <f aca="false">IFERROR(F66/E66,0)</f>
        <v>0</v>
      </c>
      <c r="H66" s="7" t="n">
        <v>0</v>
      </c>
      <c r="I66" s="7" t="n">
        <f aca="false">IFERROR(H66/F66,0)</f>
        <v>0</v>
      </c>
      <c r="J66" s="24" t="n">
        <v>0</v>
      </c>
      <c r="K66" s="7" t="n">
        <v>0</v>
      </c>
      <c r="L66" s="25" t="n">
        <f aca="false">IFERROR(H66/K66,0)</f>
        <v>0</v>
      </c>
      <c r="M66" s="26" t="n">
        <f aca="false">IFERROR(K66/H66,0)</f>
        <v>0</v>
      </c>
      <c r="N66" s="4" t="s">
        <v>313</v>
      </c>
      <c r="O66" s="4" t="s">
        <v>304</v>
      </c>
      <c r="P66" s="4" t="s">
        <v>332</v>
      </c>
    </row>
    <row r="67" customFormat="false" ht="15" hidden="false" customHeight="false" outlineLevel="0" collapsed="false">
      <c r="A67" s="4" t="s">
        <v>299</v>
      </c>
      <c r="B67" s="4" t="s">
        <v>352</v>
      </c>
      <c r="C67" s="4" t="s">
        <v>123</v>
      </c>
      <c r="D67" s="7" t="n">
        <v>0.74</v>
      </c>
      <c r="E67" s="24" t="n">
        <v>1</v>
      </c>
      <c r="F67" s="24" t="n">
        <v>0</v>
      </c>
      <c r="G67" s="25" t="n">
        <f aca="false">IFERROR(F67/E67,0)</f>
        <v>0</v>
      </c>
      <c r="H67" s="7" t="n">
        <v>0</v>
      </c>
      <c r="I67" s="7" t="n">
        <f aca="false">IFERROR(H67/F67,0)</f>
        <v>0</v>
      </c>
      <c r="J67" s="24" t="n">
        <v>0</v>
      </c>
      <c r="K67" s="7" t="n">
        <v>0</v>
      </c>
      <c r="L67" s="25" t="n">
        <f aca="false">IFERROR(H67/K67,0)</f>
        <v>0</v>
      </c>
      <c r="M67" s="26" t="n">
        <f aca="false">IFERROR(K67/H67,0)</f>
        <v>0</v>
      </c>
      <c r="N67" s="4" t="s">
        <v>313</v>
      </c>
      <c r="O67" s="4" t="s">
        <v>304</v>
      </c>
      <c r="P67" s="4" t="s">
        <v>332</v>
      </c>
    </row>
    <row r="68" customFormat="false" ht="15" hidden="false" customHeight="false" outlineLevel="0" collapsed="false">
      <c r="A68" s="4" t="s">
        <v>299</v>
      </c>
      <c r="B68" s="4" t="s">
        <v>353</v>
      </c>
      <c r="C68" s="4" t="s">
        <v>123</v>
      </c>
      <c r="D68" s="7" t="n">
        <v>0.56</v>
      </c>
      <c r="E68" s="24" t="n">
        <v>1</v>
      </c>
      <c r="F68" s="24" t="n">
        <v>0</v>
      </c>
      <c r="G68" s="25" t="n">
        <f aca="false">IFERROR(F68/E68,0)</f>
        <v>0</v>
      </c>
      <c r="H68" s="7" t="n">
        <v>0</v>
      </c>
      <c r="I68" s="7" t="n">
        <f aca="false">IFERROR(H68/F68,0)</f>
        <v>0</v>
      </c>
      <c r="J68" s="24" t="n">
        <v>0</v>
      </c>
      <c r="K68" s="7" t="n">
        <v>0</v>
      </c>
      <c r="L68" s="25" t="n">
        <f aca="false">IFERROR(H68/K68,0)</f>
        <v>0</v>
      </c>
      <c r="M68" s="26" t="n">
        <f aca="false">IFERROR(K68/H68,0)</f>
        <v>0</v>
      </c>
      <c r="N68" s="4" t="s">
        <v>310</v>
      </c>
      <c r="O68" s="4" t="s">
        <v>304</v>
      </c>
      <c r="P68" s="4" t="s">
        <v>332</v>
      </c>
    </row>
    <row r="69" customFormat="false" ht="15" hidden="false" customHeight="false" outlineLevel="0" collapsed="false">
      <c r="A69" s="4" t="s">
        <v>299</v>
      </c>
      <c r="B69" s="4" t="s">
        <v>347</v>
      </c>
      <c r="C69" s="4" t="s">
        <v>126</v>
      </c>
      <c r="D69" s="7" t="n">
        <v>1.26</v>
      </c>
      <c r="E69" s="24" t="n">
        <v>0</v>
      </c>
      <c r="F69" s="24" t="n">
        <v>0</v>
      </c>
      <c r="G69" s="25" t="n">
        <f aca="false">IFERROR(F69/E69,0)</f>
        <v>0</v>
      </c>
      <c r="H69" s="7" t="n">
        <v>0</v>
      </c>
      <c r="I69" s="7" t="n">
        <f aca="false">IFERROR(H69/F69,0)</f>
        <v>0</v>
      </c>
      <c r="J69" s="24" t="n">
        <v>0</v>
      </c>
      <c r="K69" s="7" t="n">
        <v>0</v>
      </c>
      <c r="L69" s="25" t="n">
        <f aca="false">IFERROR(H69/K69,0)</f>
        <v>0</v>
      </c>
      <c r="M69" s="26" t="n">
        <f aca="false">IFERROR(K69/H69,0)</f>
        <v>0</v>
      </c>
      <c r="N69" s="4" t="s">
        <v>315</v>
      </c>
      <c r="O69" s="4" t="s">
        <v>304</v>
      </c>
      <c r="P69" s="4" t="s">
        <v>332</v>
      </c>
    </row>
    <row r="70" customFormat="false" ht="15" hidden="false" customHeight="false" outlineLevel="0" collapsed="false">
      <c r="A70" s="4" t="s">
        <v>299</v>
      </c>
      <c r="B70" s="4" t="s">
        <v>347</v>
      </c>
      <c r="C70" s="4" t="s">
        <v>123</v>
      </c>
      <c r="D70" s="7" t="n">
        <v>0.88</v>
      </c>
      <c r="E70" s="24" t="n">
        <v>0</v>
      </c>
      <c r="F70" s="24" t="n">
        <v>0</v>
      </c>
      <c r="G70" s="25" t="n">
        <f aca="false">IFERROR(F70/E70,0)</f>
        <v>0</v>
      </c>
      <c r="H70" s="7" t="n">
        <v>0</v>
      </c>
      <c r="I70" s="7" t="n">
        <f aca="false">IFERROR(H70/F70,0)</f>
        <v>0</v>
      </c>
      <c r="J70" s="24" t="n">
        <v>0</v>
      </c>
      <c r="K70" s="7" t="n">
        <v>0</v>
      </c>
      <c r="L70" s="25" t="n">
        <f aca="false">IFERROR(H70/K70,0)</f>
        <v>0</v>
      </c>
      <c r="M70" s="26" t="n">
        <f aca="false">IFERROR(K70/H70,0)</f>
        <v>0</v>
      </c>
      <c r="N70" s="4" t="s">
        <v>315</v>
      </c>
      <c r="O70" s="4" t="s">
        <v>304</v>
      </c>
      <c r="P70" s="4" t="s">
        <v>332</v>
      </c>
    </row>
    <row r="71" customFormat="false" ht="15" hidden="false" customHeight="false" outlineLevel="0" collapsed="false">
      <c r="A71" s="4" t="s">
        <v>299</v>
      </c>
      <c r="B71" s="4" t="s">
        <v>347</v>
      </c>
      <c r="C71" s="4" t="s">
        <v>119</v>
      </c>
      <c r="D71" s="7" t="n">
        <v>0.87</v>
      </c>
      <c r="E71" s="24" t="n">
        <v>0</v>
      </c>
      <c r="F71" s="24" t="n">
        <v>0</v>
      </c>
      <c r="G71" s="25" t="n">
        <f aca="false">IFERROR(F71/E71,0)</f>
        <v>0</v>
      </c>
      <c r="H71" s="7" t="n">
        <v>0</v>
      </c>
      <c r="I71" s="7" t="n">
        <f aca="false">IFERROR(H71/F71,0)</f>
        <v>0</v>
      </c>
      <c r="J71" s="24" t="n">
        <v>0</v>
      </c>
      <c r="K71" s="7" t="n">
        <v>0</v>
      </c>
      <c r="L71" s="25" t="n">
        <f aca="false">IFERROR(H71/K71,0)</f>
        <v>0</v>
      </c>
      <c r="M71" s="26" t="n">
        <f aca="false">IFERROR(K71/H71,0)</f>
        <v>0</v>
      </c>
      <c r="N71" s="4" t="s">
        <v>315</v>
      </c>
      <c r="O71" s="4" t="s">
        <v>304</v>
      </c>
      <c r="P71" s="4" t="s">
        <v>332</v>
      </c>
    </row>
    <row r="72" customFormat="false" ht="15" hidden="false" customHeight="false" outlineLevel="0" collapsed="false">
      <c r="A72" s="4" t="s">
        <v>299</v>
      </c>
      <c r="B72" s="4" t="s">
        <v>354</v>
      </c>
      <c r="C72" s="4" t="s">
        <v>119</v>
      </c>
      <c r="D72" s="7" t="n">
        <v>0.87</v>
      </c>
      <c r="E72" s="24" t="n">
        <v>0</v>
      </c>
      <c r="F72" s="24" t="n">
        <v>0</v>
      </c>
      <c r="G72" s="25" t="n">
        <f aca="false">IFERROR(F72/E72,0)</f>
        <v>0</v>
      </c>
      <c r="H72" s="7" t="n">
        <v>0</v>
      </c>
      <c r="I72" s="7" t="n">
        <f aca="false">IFERROR(H72/F72,0)</f>
        <v>0</v>
      </c>
      <c r="J72" s="24" t="n">
        <v>0</v>
      </c>
      <c r="K72" s="7" t="n">
        <v>0</v>
      </c>
      <c r="L72" s="25" t="n">
        <f aca="false">IFERROR(H72/K72,0)</f>
        <v>0</v>
      </c>
      <c r="M72" s="26" t="n">
        <f aca="false">IFERROR(K72/H72,0)</f>
        <v>0</v>
      </c>
      <c r="N72" s="4" t="s">
        <v>315</v>
      </c>
      <c r="O72" s="4" t="s">
        <v>304</v>
      </c>
      <c r="P72" s="4" t="s">
        <v>332</v>
      </c>
    </row>
    <row r="73" customFormat="false" ht="15" hidden="false" customHeight="false" outlineLevel="0" collapsed="false">
      <c r="A73" s="4" t="s">
        <v>299</v>
      </c>
      <c r="B73" s="4" t="s">
        <v>354</v>
      </c>
      <c r="C73" s="4" t="s">
        <v>126</v>
      </c>
      <c r="D73" s="7" t="n">
        <v>1.26</v>
      </c>
      <c r="E73" s="24" t="n">
        <v>0</v>
      </c>
      <c r="F73" s="24" t="n">
        <v>0</v>
      </c>
      <c r="G73" s="25" t="n">
        <f aca="false">IFERROR(F73/E73,0)</f>
        <v>0</v>
      </c>
      <c r="H73" s="7" t="n">
        <v>0</v>
      </c>
      <c r="I73" s="7" t="n">
        <f aca="false">IFERROR(H73/F73,0)</f>
        <v>0</v>
      </c>
      <c r="J73" s="24" t="n">
        <v>0</v>
      </c>
      <c r="K73" s="7" t="n">
        <v>0</v>
      </c>
      <c r="L73" s="25" t="n">
        <f aca="false">IFERROR(H73/K73,0)</f>
        <v>0</v>
      </c>
      <c r="M73" s="26" t="n">
        <f aca="false">IFERROR(K73/H73,0)</f>
        <v>0</v>
      </c>
      <c r="N73" s="4" t="s">
        <v>315</v>
      </c>
      <c r="O73" s="4" t="s">
        <v>304</v>
      </c>
      <c r="P73" s="4" t="s">
        <v>332</v>
      </c>
    </row>
    <row r="74" customFormat="false" ht="15" hidden="false" customHeight="false" outlineLevel="0" collapsed="false">
      <c r="A74" s="4" t="s">
        <v>299</v>
      </c>
      <c r="B74" s="4" t="s">
        <v>354</v>
      </c>
      <c r="C74" s="4" t="s">
        <v>123</v>
      </c>
      <c r="D74" s="7" t="n">
        <v>0.88</v>
      </c>
      <c r="E74" s="24" t="n">
        <v>0</v>
      </c>
      <c r="F74" s="24" t="n">
        <v>0</v>
      </c>
      <c r="G74" s="25" t="n">
        <f aca="false">IFERROR(F74/E74,0)</f>
        <v>0</v>
      </c>
      <c r="H74" s="7" t="n">
        <v>0</v>
      </c>
      <c r="I74" s="7" t="n">
        <f aca="false">IFERROR(H74/F74,0)</f>
        <v>0</v>
      </c>
      <c r="J74" s="24" t="n">
        <v>0</v>
      </c>
      <c r="K74" s="7" t="n">
        <v>0</v>
      </c>
      <c r="L74" s="25" t="n">
        <f aca="false">IFERROR(H74/K74,0)</f>
        <v>0</v>
      </c>
      <c r="M74" s="26" t="n">
        <f aca="false">IFERROR(K74/H74,0)</f>
        <v>0</v>
      </c>
      <c r="N74" s="4" t="s">
        <v>315</v>
      </c>
      <c r="O74" s="4" t="s">
        <v>304</v>
      </c>
      <c r="P74" s="4" t="s">
        <v>332</v>
      </c>
    </row>
    <row r="75" customFormat="false" ht="15" hidden="false" customHeight="false" outlineLevel="0" collapsed="false">
      <c r="A75" s="4" t="s">
        <v>299</v>
      </c>
      <c r="B75" s="4" t="s">
        <v>309</v>
      </c>
      <c r="C75" s="4" t="s">
        <v>123</v>
      </c>
      <c r="D75" s="7" t="n">
        <v>0.88</v>
      </c>
      <c r="E75" s="24" t="n">
        <v>0</v>
      </c>
      <c r="F75" s="24" t="n">
        <v>0</v>
      </c>
      <c r="G75" s="25" t="n">
        <f aca="false">IFERROR(F75/E75,0)</f>
        <v>0</v>
      </c>
      <c r="H75" s="7" t="n">
        <v>0</v>
      </c>
      <c r="I75" s="7" t="n">
        <f aca="false">IFERROR(H75/F75,0)</f>
        <v>0</v>
      </c>
      <c r="J75" s="24" t="n">
        <v>0</v>
      </c>
      <c r="K75" s="7" t="n">
        <v>0</v>
      </c>
      <c r="L75" s="25" t="n">
        <f aca="false">IFERROR(H75/K75,0)</f>
        <v>0</v>
      </c>
      <c r="M75" s="26" t="n">
        <f aca="false">IFERROR(K75/H75,0)</f>
        <v>0</v>
      </c>
      <c r="N75" s="4" t="s">
        <v>315</v>
      </c>
      <c r="O75" s="4" t="s">
        <v>304</v>
      </c>
      <c r="P75" s="4" t="s">
        <v>332</v>
      </c>
    </row>
    <row r="76" customFormat="false" ht="15" hidden="false" customHeight="false" outlineLevel="0" collapsed="false">
      <c r="A76" s="4" t="s">
        <v>299</v>
      </c>
      <c r="B76" s="4" t="s">
        <v>309</v>
      </c>
      <c r="C76" s="4" t="s">
        <v>119</v>
      </c>
      <c r="D76" s="7" t="n">
        <v>0.87</v>
      </c>
      <c r="E76" s="24" t="n">
        <v>0</v>
      </c>
      <c r="F76" s="24" t="n">
        <v>0</v>
      </c>
      <c r="G76" s="25" t="n">
        <f aca="false">IFERROR(F76/E76,0)</f>
        <v>0</v>
      </c>
      <c r="H76" s="7" t="n">
        <v>0</v>
      </c>
      <c r="I76" s="7" t="n">
        <f aca="false">IFERROR(H76/F76,0)</f>
        <v>0</v>
      </c>
      <c r="J76" s="24" t="n">
        <v>0</v>
      </c>
      <c r="K76" s="7" t="n">
        <v>0</v>
      </c>
      <c r="L76" s="25" t="n">
        <f aca="false">IFERROR(H76/K76,0)</f>
        <v>0</v>
      </c>
      <c r="M76" s="26" t="n">
        <f aca="false">IFERROR(K76/H76,0)</f>
        <v>0</v>
      </c>
      <c r="N76" s="4" t="s">
        <v>315</v>
      </c>
      <c r="O76" s="4" t="s">
        <v>304</v>
      </c>
      <c r="P76" s="4" t="s">
        <v>332</v>
      </c>
    </row>
    <row r="77" customFormat="false" ht="15" hidden="false" customHeight="false" outlineLevel="0" collapsed="false">
      <c r="A77" s="4" t="s">
        <v>299</v>
      </c>
      <c r="B77" s="4" t="s">
        <v>306</v>
      </c>
      <c r="C77" s="4" t="s">
        <v>119</v>
      </c>
      <c r="D77" s="7" t="n">
        <v>0.69</v>
      </c>
      <c r="E77" s="24" t="n">
        <v>0</v>
      </c>
      <c r="F77" s="24" t="n">
        <v>0</v>
      </c>
      <c r="G77" s="25" t="n">
        <f aca="false">IFERROR(F77/E77,0)</f>
        <v>0</v>
      </c>
      <c r="H77" s="7" t="n">
        <v>0</v>
      </c>
      <c r="I77" s="7" t="n">
        <f aca="false">IFERROR(H77/F77,0)</f>
        <v>0</v>
      </c>
      <c r="J77" s="24" t="n">
        <v>0</v>
      </c>
      <c r="K77" s="7" t="n">
        <v>0</v>
      </c>
      <c r="L77" s="25" t="n">
        <f aca="false">IFERROR(H77/K77,0)</f>
        <v>0</v>
      </c>
      <c r="M77" s="26" t="n">
        <f aca="false">IFERROR(K77/H77,0)</f>
        <v>0</v>
      </c>
      <c r="N77" s="4" t="s">
        <v>315</v>
      </c>
      <c r="O77" s="4" t="s">
        <v>304</v>
      </c>
      <c r="P77" s="4" t="s">
        <v>332</v>
      </c>
    </row>
    <row r="78" customFormat="false" ht="15" hidden="false" customHeight="false" outlineLevel="0" collapsed="false">
      <c r="A78" s="4" t="s">
        <v>299</v>
      </c>
      <c r="B78" s="4" t="s">
        <v>306</v>
      </c>
      <c r="C78" s="4" t="s">
        <v>126</v>
      </c>
      <c r="D78" s="7" t="n">
        <v>1.26</v>
      </c>
      <c r="E78" s="24" t="n">
        <v>0</v>
      </c>
      <c r="F78" s="24" t="n">
        <v>0</v>
      </c>
      <c r="G78" s="25" t="n">
        <f aca="false">IFERROR(F78/E78,0)</f>
        <v>0</v>
      </c>
      <c r="H78" s="7" t="n">
        <v>0</v>
      </c>
      <c r="I78" s="7" t="n">
        <f aca="false">IFERROR(H78/F78,0)</f>
        <v>0</v>
      </c>
      <c r="J78" s="24" t="n">
        <v>0</v>
      </c>
      <c r="K78" s="7" t="n">
        <v>0</v>
      </c>
      <c r="L78" s="25" t="n">
        <f aca="false">IFERROR(H78/K78,0)</f>
        <v>0</v>
      </c>
      <c r="M78" s="26" t="n">
        <f aca="false">IFERROR(K78/H78,0)</f>
        <v>0</v>
      </c>
      <c r="N78" s="4" t="s">
        <v>315</v>
      </c>
      <c r="O78" s="4" t="s">
        <v>304</v>
      </c>
      <c r="P78" s="4" t="s">
        <v>332</v>
      </c>
    </row>
    <row r="79" customFormat="false" ht="15" hidden="false" customHeight="false" outlineLevel="0" collapsed="false">
      <c r="A79" s="4" t="s">
        <v>299</v>
      </c>
      <c r="B79" s="4" t="s">
        <v>320</v>
      </c>
      <c r="C79" s="4" t="s">
        <v>123</v>
      </c>
      <c r="D79" s="7" t="n">
        <v>0.88</v>
      </c>
      <c r="E79" s="24" t="n">
        <v>0</v>
      </c>
      <c r="F79" s="24" t="n">
        <v>0</v>
      </c>
      <c r="G79" s="25" t="n">
        <f aca="false">IFERROR(F79/E79,0)</f>
        <v>0</v>
      </c>
      <c r="H79" s="7" t="n">
        <v>0</v>
      </c>
      <c r="I79" s="7" t="n">
        <f aca="false">IFERROR(H79/F79,0)</f>
        <v>0</v>
      </c>
      <c r="J79" s="24" t="n">
        <v>0</v>
      </c>
      <c r="K79" s="7" t="n">
        <v>0</v>
      </c>
      <c r="L79" s="25" t="n">
        <f aca="false">IFERROR(H79/K79,0)</f>
        <v>0</v>
      </c>
      <c r="M79" s="26" t="n">
        <f aca="false">IFERROR(K79/H79,0)</f>
        <v>0</v>
      </c>
      <c r="N79" s="4" t="s">
        <v>315</v>
      </c>
      <c r="O79" s="4" t="s">
        <v>304</v>
      </c>
      <c r="P79" s="4" t="s">
        <v>332</v>
      </c>
    </row>
    <row r="80" customFormat="false" ht="15" hidden="false" customHeight="false" outlineLevel="0" collapsed="false">
      <c r="A80" s="4" t="s">
        <v>299</v>
      </c>
      <c r="B80" s="4" t="s">
        <v>320</v>
      </c>
      <c r="C80" s="4" t="s">
        <v>119</v>
      </c>
      <c r="D80" s="7" t="n">
        <v>0.87</v>
      </c>
      <c r="E80" s="24" t="n">
        <v>0</v>
      </c>
      <c r="F80" s="24" t="n">
        <v>0</v>
      </c>
      <c r="G80" s="25" t="n">
        <f aca="false">IFERROR(F80/E80,0)</f>
        <v>0</v>
      </c>
      <c r="H80" s="7" t="n">
        <v>0</v>
      </c>
      <c r="I80" s="7" t="n">
        <f aca="false">IFERROR(H80/F80,0)</f>
        <v>0</v>
      </c>
      <c r="J80" s="24" t="n">
        <v>0</v>
      </c>
      <c r="K80" s="7" t="n">
        <v>0</v>
      </c>
      <c r="L80" s="25" t="n">
        <f aca="false">IFERROR(H80/K80,0)</f>
        <v>0</v>
      </c>
      <c r="M80" s="26" t="n">
        <f aca="false">IFERROR(K80/H80,0)</f>
        <v>0</v>
      </c>
      <c r="N80" s="4" t="s">
        <v>315</v>
      </c>
      <c r="O80" s="4" t="s">
        <v>304</v>
      </c>
      <c r="P80" s="4" t="s">
        <v>332</v>
      </c>
    </row>
    <row r="81" customFormat="false" ht="15" hidden="false" customHeight="false" outlineLevel="0" collapsed="false">
      <c r="A81" s="4" t="s">
        <v>299</v>
      </c>
      <c r="B81" s="4" t="s">
        <v>320</v>
      </c>
      <c r="C81" s="4" t="s">
        <v>126</v>
      </c>
      <c r="D81" s="7" t="n">
        <v>1.26</v>
      </c>
      <c r="E81" s="24" t="n">
        <v>0</v>
      </c>
      <c r="F81" s="24" t="n">
        <v>0</v>
      </c>
      <c r="G81" s="25" t="n">
        <f aca="false">IFERROR(F81/E81,0)</f>
        <v>0</v>
      </c>
      <c r="H81" s="7" t="n">
        <v>0</v>
      </c>
      <c r="I81" s="7" t="n">
        <f aca="false">IFERROR(H81/F81,0)</f>
        <v>0</v>
      </c>
      <c r="J81" s="24" t="n">
        <v>0</v>
      </c>
      <c r="K81" s="7" t="n">
        <v>0</v>
      </c>
      <c r="L81" s="25" t="n">
        <f aca="false">IFERROR(H81/K81,0)</f>
        <v>0</v>
      </c>
      <c r="M81" s="26" t="n">
        <f aca="false">IFERROR(K81/H81,0)</f>
        <v>0</v>
      </c>
      <c r="N81" s="4" t="s">
        <v>315</v>
      </c>
      <c r="O81" s="4" t="s">
        <v>304</v>
      </c>
      <c r="P81" s="4" t="s">
        <v>332</v>
      </c>
    </row>
    <row r="82" customFormat="false" ht="15" hidden="false" customHeight="false" outlineLevel="0" collapsed="false">
      <c r="A82" s="4" t="s">
        <v>299</v>
      </c>
      <c r="B82" s="4" t="s">
        <v>328</v>
      </c>
      <c r="C82" s="4" t="s">
        <v>126</v>
      </c>
      <c r="D82" s="7" t="n">
        <v>1.26</v>
      </c>
      <c r="E82" s="24" t="n">
        <v>0</v>
      </c>
      <c r="F82" s="24" t="n">
        <v>0</v>
      </c>
      <c r="G82" s="25" t="n">
        <f aca="false">IFERROR(F82/E82,0)</f>
        <v>0</v>
      </c>
      <c r="H82" s="7" t="n">
        <v>0</v>
      </c>
      <c r="I82" s="7" t="n">
        <f aca="false">IFERROR(H82/F82,0)</f>
        <v>0</v>
      </c>
      <c r="J82" s="24" t="n">
        <v>0</v>
      </c>
      <c r="K82" s="7" t="n">
        <v>0</v>
      </c>
      <c r="L82" s="25" t="n">
        <f aca="false">IFERROR(H82/K82,0)</f>
        <v>0</v>
      </c>
      <c r="M82" s="26" t="n">
        <f aca="false">IFERROR(K82/H82,0)</f>
        <v>0</v>
      </c>
      <c r="N82" s="4" t="s">
        <v>315</v>
      </c>
      <c r="O82" s="4" t="s">
        <v>304</v>
      </c>
      <c r="P82" s="4" t="s">
        <v>332</v>
      </c>
    </row>
    <row r="83" customFormat="false" ht="15" hidden="false" customHeight="false" outlineLevel="0" collapsed="false">
      <c r="A83" s="4" t="s">
        <v>299</v>
      </c>
      <c r="B83" s="4" t="s">
        <v>328</v>
      </c>
      <c r="C83" s="4" t="s">
        <v>123</v>
      </c>
      <c r="D83" s="7" t="n">
        <v>0.88</v>
      </c>
      <c r="E83" s="24" t="n">
        <v>0</v>
      </c>
      <c r="F83" s="24" t="n">
        <v>0</v>
      </c>
      <c r="G83" s="25" t="n">
        <f aca="false">IFERROR(F83/E83,0)</f>
        <v>0</v>
      </c>
      <c r="H83" s="7" t="n">
        <v>0</v>
      </c>
      <c r="I83" s="7" t="n">
        <f aca="false">IFERROR(H83/F83,0)</f>
        <v>0</v>
      </c>
      <c r="J83" s="24" t="n">
        <v>0</v>
      </c>
      <c r="K83" s="7" t="n">
        <v>0</v>
      </c>
      <c r="L83" s="25" t="n">
        <f aca="false">IFERROR(H83/K83,0)</f>
        <v>0</v>
      </c>
      <c r="M83" s="26" t="n">
        <f aca="false">IFERROR(K83/H83,0)</f>
        <v>0</v>
      </c>
      <c r="N83" s="4" t="s">
        <v>315</v>
      </c>
      <c r="O83" s="4" t="s">
        <v>304</v>
      </c>
      <c r="P83" s="4" t="s">
        <v>332</v>
      </c>
    </row>
    <row r="84" customFormat="false" ht="15" hidden="false" customHeight="false" outlineLevel="0" collapsed="false">
      <c r="A84" s="4" t="s">
        <v>299</v>
      </c>
      <c r="B84" s="4" t="s">
        <v>312</v>
      </c>
      <c r="C84" s="4" t="s">
        <v>123</v>
      </c>
      <c r="D84" s="7" t="n">
        <v>0.88</v>
      </c>
      <c r="E84" s="24" t="n">
        <v>0</v>
      </c>
      <c r="F84" s="24" t="n">
        <v>0</v>
      </c>
      <c r="G84" s="25" t="n">
        <f aca="false">IFERROR(F84/E84,0)</f>
        <v>0</v>
      </c>
      <c r="H84" s="7" t="n">
        <v>0</v>
      </c>
      <c r="I84" s="7" t="n">
        <f aca="false">IFERROR(H84/F84,0)</f>
        <v>0</v>
      </c>
      <c r="J84" s="24" t="n">
        <v>0</v>
      </c>
      <c r="K84" s="7" t="n">
        <v>0</v>
      </c>
      <c r="L84" s="25" t="n">
        <f aca="false">IFERROR(H84/K84,0)</f>
        <v>0</v>
      </c>
      <c r="M84" s="26" t="n">
        <f aca="false">IFERROR(K84/H84,0)</f>
        <v>0</v>
      </c>
      <c r="N84" s="4" t="s">
        <v>315</v>
      </c>
      <c r="O84" s="4" t="s">
        <v>304</v>
      </c>
      <c r="P84" s="4" t="s">
        <v>332</v>
      </c>
    </row>
    <row r="85" customFormat="false" ht="15" hidden="false" customHeight="false" outlineLevel="0" collapsed="false">
      <c r="A85" s="4" t="s">
        <v>299</v>
      </c>
      <c r="B85" s="4" t="s">
        <v>312</v>
      </c>
      <c r="C85" s="4" t="s">
        <v>126</v>
      </c>
      <c r="D85" s="7" t="n">
        <v>1.26</v>
      </c>
      <c r="E85" s="24" t="n">
        <v>0</v>
      </c>
      <c r="F85" s="24" t="n">
        <v>0</v>
      </c>
      <c r="G85" s="25" t="n">
        <f aca="false">IFERROR(F85/E85,0)</f>
        <v>0</v>
      </c>
      <c r="H85" s="7" t="n">
        <v>0</v>
      </c>
      <c r="I85" s="7" t="n">
        <f aca="false">IFERROR(H85/F85,0)</f>
        <v>0</v>
      </c>
      <c r="J85" s="24" t="n">
        <v>0</v>
      </c>
      <c r="K85" s="7" t="n">
        <v>0</v>
      </c>
      <c r="L85" s="25" t="n">
        <f aca="false">IFERROR(H85/K85,0)</f>
        <v>0</v>
      </c>
      <c r="M85" s="26" t="n">
        <f aca="false">IFERROR(K85/H85,0)</f>
        <v>0</v>
      </c>
      <c r="N85" s="4" t="s">
        <v>315</v>
      </c>
      <c r="O85" s="4" t="s">
        <v>304</v>
      </c>
      <c r="P85" s="4" t="s">
        <v>332</v>
      </c>
    </row>
    <row r="86" customFormat="false" ht="15" hidden="false" customHeight="false" outlineLevel="0" collapsed="false">
      <c r="A86" s="4" t="s">
        <v>299</v>
      </c>
      <c r="B86" s="4" t="s">
        <v>312</v>
      </c>
      <c r="C86" s="4" t="s">
        <v>119</v>
      </c>
      <c r="D86" s="7" t="n">
        <v>0.87</v>
      </c>
      <c r="E86" s="24" t="n">
        <v>0</v>
      </c>
      <c r="F86" s="24" t="n">
        <v>0</v>
      </c>
      <c r="G86" s="25" t="n">
        <f aca="false">IFERROR(F86/E86,0)</f>
        <v>0</v>
      </c>
      <c r="H86" s="7" t="n">
        <v>0</v>
      </c>
      <c r="I86" s="7" t="n">
        <f aca="false">IFERROR(H86/F86,0)</f>
        <v>0</v>
      </c>
      <c r="J86" s="24" t="n">
        <v>0</v>
      </c>
      <c r="K86" s="7" t="n">
        <v>0</v>
      </c>
      <c r="L86" s="25" t="n">
        <f aca="false">IFERROR(H86/K86,0)</f>
        <v>0</v>
      </c>
      <c r="M86" s="26" t="n">
        <f aca="false">IFERROR(K86/H86,0)</f>
        <v>0</v>
      </c>
      <c r="N86" s="4" t="s">
        <v>315</v>
      </c>
      <c r="O86" s="4" t="s">
        <v>304</v>
      </c>
      <c r="P86" s="4" t="s">
        <v>332</v>
      </c>
    </row>
    <row r="87" customFormat="false" ht="15" hidden="false" customHeight="false" outlineLevel="0" collapsed="false">
      <c r="A87" s="4" t="s">
        <v>299</v>
      </c>
      <c r="B87" s="4" t="s">
        <v>355</v>
      </c>
      <c r="C87" s="4" t="s">
        <v>123</v>
      </c>
      <c r="D87" s="7" t="n">
        <v>0.29</v>
      </c>
      <c r="E87" s="24" t="n">
        <v>0</v>
      </c>
      <c r="F87" s="24" t="n">
        <v>0</v>
      </c>
      <c r="G87" s="25" t="n">
        <f aca="false">IFERROR(F87/E87,0)</f>
        <v>0</v>
      </c>
      <c r="H87" s="7" t="n">
        <v>0</v>
      </c>
      <c r="I87" s="7" t="n">
        <f aca="false">IFERROR(H87/F87,0)</f>
        <v>0</v>
      </c>
      <c r="J87" s="24" t="n">
        <v>0</v>
      </c>
      <c r="K87" s="7" t="n">
        <v>0</v>
      </c>
      <c r="L87" s="25" t="n">
        <f aca="false">IFERROR(H87/K87,0)</f>
        <v>0</v>
      </c>
      <c r="M87" s="26" t="n">
        <f aca="false">IFERROR(K87/H87,0)</f>
        <v>0</v>
      </c>
      <c r="N87" s="4" t="s">
        <v>307</v>
      </c>
      <c r="O87" s="4" t="s">
        <v>304</v>
      </c>
      <c r="P87" s="4" t="s">
        <v>332</v>
      </c>
    </row>
    <row r="88" customFormat="false" ht="15" hidden="false" customHeight="false" outlineLevel="0" collapsed="false">
      <c r="A88" s="4" t="s">
        <v>299</v>
      </c>
      <c r="B88" s="4" t="s">
        <v>345</v>
      </c>
      <c r="C88" s="4" t="s">
        <v>123</v>
      </c>
      <c r="D88" s="7" t="n">
        <v>0.37</v>
      </c>
      <c r="E88" s="24" t="n">
        <v>0</v>
      </c>
      <c r="F88" s="24" t="n">
        <v>0</v>
      </c>
      <c r="G88" s="25" t="n">
        <f aca="false">IFERROR(F88/E88,0)</f>
        <v>0</v>
      </c>
      <c r="H88" s="7" t="n">
        <v>0</v>
      </c>
      <c r="I88" s="7" t="n">
        <f aca="false">IFERROR(H88/F88,0)</f>
        <v>0</v>
      </c>
      <c r="J88" s="24" t="n">
        <v>0</v>
      </c>
      <c r="K88" s="7" t="n">
        <v>0</v>
      </c>
      <c r="L88" s="25" t="n">
        <f aca="false">IFERROR(H88/K88,0)</f>
        <v>0</v>
      </c>
      <c r="M88" s="26" t="n">
        <f aca="false">IFERROR(K88/H88,0)</f>
        <v>0</v>
      </c>
      <c r="N88" s="4" t="s">
        <v>307</v>
      </c>
      <c r="O88" s="4" t="s">
        <v>304</v>
      </c>
      <c r="P88" s="4" t="s">
        <v>332</v>
      </c>
    </row>
    <row r="89" customFormat="false" ht="15" hidden="false" customHeight="false" outlineLevel="0" collapsed="false">
      <c r="A89" s="4" t="s">
        <v>299</v>
      </c>
      <c r="B89" s="4" t="s">
        <v>350</v>
      </c>
      <c r="C89" s="4" t="s">
        <v>119</v>
      </c>
      <c r="D89" s="7" t="n">
        <v>0.42</v>
      </c>
      <c r="E89" s="24" t="n">
        <v>0</v>
      </c>
      <c r="F89" s="24" t="n">
        <v>0</v>
      </c>
      <c r="G89" s="25" t="n">
        <f aca="false">IFERROR(F89/E89,0)</f>
        <v>0</v>
      </c>
      <c r="H89" s="7" t="n">
        <v>0</v>
      </c>
      <c r="I89" s="7" t="n">
        <f aca="false">IFERROR(H89/F89,0)</f>
        <v>0</v>
      </c>
      <c r="J89" s="24" t="n">
        <v>0</v>
      </c>
      <c r="K89" s="7" t="n">
        <v>0</v>
      </c>
      <c r="L89" s="25" t="n">
        <f aca="false">IFERROR(H89/K89,0)</f>
        <v>0</v>
      </c>
      <c r="M89" s="26" t="n">
        <f aca="false">IFERROR(K89/H89,0)</f>
        <v>0</v>
      </c>
      <c r="N89" s="4" t="s">
        <v>307</v>
      </c>
      <c r="O89" s="4" t="s">
        <v>304</v>
      </c>
      <c r="P89" s="4" t="s">
        <v>332</v>
      </c>
    </row>
    <row r="90" customFormat="false" ht="15" hidden="false" customHeight="false" outlineLevel="0" collapsed="false">
      <c r="A90" s="4" t="s">
        <v>299</v>
      </c>
      <c r="B90" s="4" t="s">
        <v>350</v>
      </c>
      <c r="C90" s="4" t="s">
        <v>123</v>
      </c>
      <c r="D90" s="7" t="n">
        <v>0.36</v>
      </c>
      <c r="E90" s="24" t="n">
        <v>0</v>
      </c>
      <c r="F90" s="24" t="n">
        <v>0</v>
      </c>
      <c r="G90" s="25" t="n">
        <f aca="false">IFERROR(F90/E90,0)</f>
        <v>0</v>
      </c>
      <c r="H90" s="7" t="n">
        <v>0</v>
      </c>
      <c r="I90" s="7" t="n">
        <f aca="false">IFERROR(H90/F90,0)</f>
        <v>0</v>
      </c>
      <c r="J90" s="24" t="n">
        <v>0</v>
      </c>
      <c r="K90" s="7" t="n">
        <v>0</v>
      </c>
      <c r="L90" s="25" t="n">
        <f aca="false">IFERROR(H90/K90,0)</f>
        <v>0</v>
      </c>
      <c r="M90" s="26" t="n">
        <f aca="false">IFERROR(K90/H90,0)</f>
        <v>0</v>
      </c>
      <c r="N90" s="4" t="s">
        <v>307</v>
      </c>
      <c r="O90" s="4" t="s">
        <v>304</v>
      </c>
      <c r="P90" s="4" t="s">
        <v>332</v>
      </c>
    </row>
    <row r="91" customFormat="false" ht="15" hidden="false" customHeight="false" outlineLevel="0" collapsed="false">
      <c r="A91" s="4" t="s">
        <v>299</v>
      </c>
      <c r="B91" s="4" t="s">
        <v>356</v>
      </c>
      <c r="C91" s="4" t="s">
        <v>123</v>
      </c>
      <c r="D91" s="7" t="n">
        <v>0.39</v>
      </c>
      <c r="E91" s="24" t="n">
        <v>0</v>
      </c>
      <c r="F91" s="24" t="n">
        <v>0</v>
      </c>
      <c r="G91" s="25" t="n">
        <f aca="false">IFERROR(F91/E91,0)</f>
        <v>0</v>
      </c>
      <c r="H91" s="7" t="n">
        <v>0</v>
      </c>
      <c r="I91" s="7" t="n">
        <f aca="false">IFERROR(H91/F91,0)</f>
        <v>0</v>
      </c>
      <c r="J91" s="24" t="n">
        <v>0</v>
      </c>
      <c r="K91" s="7" t="n">
        <v>0</v>
      </c>
      <c r="L91" s="25" t="n">
        <f aca="false">IFERROR(H91/K91,0)</f>
        <v>0</v>
      </c>
      <c r="M91" s="26" t="n">
        <f aca="false">IFERROR(K91/H91,0)</f>
        <v>0</v>
      </c>
      <c r="N91" s="4" t="s">
        <v>307</v>
      </c>
      <c r="O91" s="4" t="s">
        <v>304</v>
      </c>
      <c r="P91" s="4" t="s">
        <v>332</v>
      </c>
    </row>
    <row r="92" customFormat="false" ht="15" hidden="false" customHeight="false" outlineLevel="0" collapsed="false">
      <c r="A92" s="4" t="s">
        <v>299</v>
      </c>
      <c r="B92" s="4" t="s">
        <v>357</v>
      </c>
      <c r="C92" s="4" t="s">
        <v>123</v>
      </c>
      <c r="D92" s="7" t="n">
        <v>0.36</v>
      </c>
      <c r="E92" s="24" t="n">
        <v>0</v>
      </c>
      <c r="F92" s="24" t="n">
        <v>0</v>
      </c>
      <c r="G92" s="25" t="n">
        <f aca="false">IFERROR(F92/E92,0)</f>
        <v>0</v>
      </c>
      <c r="H92" s="7" t="n">
        <v>0</v>
      </c>
      <c r="I92" s="7" t="n">
        <f aca="false">IFERROR(H92/F92,0)</f>
        <v>0</v>
      </c>
      <c r="J92" s="24" t="n">
        <v>0</v>
      </c>
      <c r="K92" s="7" t="n">
        <v>0</v>
      </c>
      <c r="L92" s="25" t="n">
        <f aca="false">IFERROR(H92/K92,0)</f>
        <v>0</v>
      </c>
      <c r="M92" s="26" t="n">
        <f aca="false">IFERROR(K92/H92,0)</f>
        <v>0</v>
      </c>
      <c r="N92" s="4" t="s">
        <v>307</v>
      </c>
      <c r="O92" s="4" t="s">
        <v>304</v>
      </c>
      <c r="P92" s="4" t="s">
        <v>332</v>
      </c>
    </row>
    <row r="93" customFormat="false" ht="15" hidden="false" customHeight="false" outlineLevel="0" collapsed="false">
      <c r="A93" s="4" t="s">
        <v>299</v>
      </c>
      <c r="B93" s="4" t="s">
        <v>357</v>
      </c>
      <c r="C93" s="4" t="s">
        <v>119</v>
      </c>
      <c r="D93" s="7" t="n">
        <v>0.41</v>
      </c>
      <c r="E93" s="24" t="n">
        <v>0</v>
      </c>
      <c r="F93" s="24" t="n">
        <v>0</v>
      </c>
      <c r="G93" s="25" t="n">
        <f aca="false">IFERROR(F93/E93,0)</f>
        <v>0</v>
      </c>
      <c r="H93" s="7" t="n">
        <v>0</v>
      </c>
      <c r="I93" s="7" t="n">
        <f aca="false">IFERROR(H93/F93,0)</f>
        <v>0</v>
      </c>
      <c r="J93" s="24" t="n">
        <v>0</v>
      </c>
      <c r="K93" s="7" t="n">
        <v>0</v>
      </c>
      <c r="L93" s="25" t="n">
        <f aca="false">IFERROR(H93/K93,0)</f>
        <v>0</v>
      </c>
      <c r="M93" s="26" t="n">
        <f aca="false">IFERROR(K93/H93,0)</f>
        <v>0</v>
      </c>
      <c r="N93" s="4" t="s">
        <v>307</v>
      </c>
      <c r="O93" s="4" t="s">
        <v>304</v>
      </c>
      <c r="P93" s="4" t="s">
        <v>332</v>
      </c>
    </row>
    <row r="94" customFormat="false" ht="15" hidden="false" customHeight="false" outlineLevel="0" collapsed="false">
      <c r="A94" s="4" t="s">
        <v>299</v>
      </c>
      <c r="B94" s="4" t="s">
        <v>358</v>
      </c>
      <c r="C94" s="4" t="s">
        <v>123</v>
      </c>
      <c r="D94" s="7" t="n">
        <v>0.35</v>
      </c>
      <c r="E94" s="24" t="n">
        <v>0</v>
      </c>
      <c r="F94" s="24" t="n">
        <v>0</v>
      </c>
      <c r="G94" s="25" t="n">
        <f aca="false">IFERROR(F94/E94,0)</f>
        <v>0</v>
      </c>
      <c r="H94" s="7" t="n">
        <v>0</v>
      </c>
      <c r="I94" s="7" t="n">
        <f aca="false">IFERROR(H94/F94,0)</f>
        <v>0</v>
      </c>
      <c r="J94" s="24" t="n">
        <v>0</v>
      </c>
      <c r="K94" s="7" t="n">
        <v>0</v>
      </c>
      <c r="L94" s="25" t="n">
        <f aca="false">IFERROR(H94/K94,0)</f>
        <v>0</v>
      </c>
      <c r="M94" s="26" t="n">
        <f aca="false">IFERROR(K94/H94,0)</f>
        <v>0</v>
      </c>
      <c r="N94" s="4" t="s">
        <v>307</v>
      </c>
      <c r="O94" s="4" t="s">
        <v>304</v>
      </c>
      <c r="P94" s="4" t="s">
        <v>332</v>
      </c>
    </row>
    <row r="95" customFormat="false" ht="15" hidden="false" customHeight="false" outlineLevel="0" collapsed="false">
      <c r="A95" s="4" t="s">
        <v>299</v>
      </c>
      <c r="B95" s="4" t="s">
        <v>358</v>
      </c>
      <c r="C95" s="4" t="s">
        <v>119</v>
      </c>
      <c r="D95" s="7" t="n">
        <v>0.24</v>
      </c>
      <c r="E95" s="24" t="n">
        <v>0</v>
      </c>
      <c r="F95" s="24" t="n">
        <v>0</v>
      </c>
      <c r="G95" s="25" t="n">
        <f aca="false">IFERROR(F95/E95,0)</f>
        <v>0</v>
      </c>
      <c r="H95" s="7" t="n">
        <v>0</v>
      </c>
      <c r="I95" s="7" t="n">
        <f aca="false">IFERROR(H95/F95,0)</f>
        <v>0</v>
      </c>
      <c r="J95" s="24" t="n">
        <v>0</v>
      </c>
      <c r="K95" s="7" t="n">
        <v>0</v>
      </c>
      <c r="L95" s="25" t="n">
        <f aca="false">IFERROR(H95/K95,0)</f>
        <v>0</v>
      </c>
      <c r="M95" s="26" t="n">
        <f aca="false">IFERROR(K95/H95,0)</f>
        <v>0</v>
      </c>
      <c r="N95" s="4" t="s">
        <v>307</v>
      </c>
      <c r="O95" s="4" t="s">
        <v>304</v>
      </c>
      <c r="P95" s="4" t="s">
        <v>332</v>
      </c>
    </row>
    <row r="96" customFormat="false" ht="15" hidden="false" customHeight="false" outlineLevel="0" collapsed="false">
      <c r="A96" s="4" t="s">
        <v>299</v>
      </c>
      <c r="B96" s="4" t="s">
        <v>317</v>
      </c>
      <c r="C96" s="4" t="s">
        <v>123</v>
      </c>
      <c r="D96" s="7" t="n">
        <v>0.21</v>
      </c>
      <c r="E96" s="24" t="n">
        <v>0</v>
      </c>
      <c r="F96" s="24" t="n">
        <v>0</v>
      </c>
      <c r="G96" s="25" t="n">
        <f aca="false">IFERROR(F96/E96,0)</f>
        <v>0</v>
      </c>
      <c r="H96" s="7" t="n">
        <v>0</v>
      </c>
      <c r="I96" s="7" t="n">
        <f aca="false">IFERROR(H96/F96,0)</f>
        <v>0</v>
      </c>
      <c r="J96" s="24" t="n">
        <v>0</v>
      </c>
      <c r="K96" s="7" t="n">
        <v>0</v>
      </c>
      <c r="L96" s="25" t="n">
        <f aca="false">IFERROR(H96/K96,0)</f>
        <v>0</v>
      </c>
      <c r="M96" s="26" t="n">
        <f aca="false">IFERROR(K96/H96,0)</f>
        <v>0</v>
      </c>
      <c r="N96" s="4" t="s">
        <v>307</v>
      </c>
      <c r="O96" s="4" t="s">
        <v>304</v>
      </c>
      <c r="P96" s="4" t="s">
        <v>332</v>
      </c>
    </row>
    <row r="97" customFormat="false" ht="15" hidden="false" customHeight="false" outlineLevel="0" collapsed="false">
      <c r="A97" s="4" t="s">
        <v>299</v>
      </c>
      <c r="B97" s="4" t="s">
        <v>354</v>
      </c>
      <c r="C97" s="4" t="s">
        <v>126</v>
      </c>
      <c r="D97" s="7" t="n">
        <v>0.2</v>
      </c>
      <c r="E97" s="24" t="n">
        <v>0</v>
      </c>
      <c r="F97" s="24" t="n">
        <v>0</v>
      </c>
      <c r="G97" s="25" t="n">
        <f aca="false">IFERROR(F97/E97,0)</f>
        <v>0</v>
      </c>
      <c r="H97" s="7" t="n">
        <v>0</v>
      </c>
      <c r="I97" s="7" t="n">
        <f aca="false">IFERROR(H97/F97,0)</f>
        <v>0</v>
      </c>
      <c r="J97" s="24" t="n">
        <v>0</v>
      </c>
      <c r="K97" s="7" t="n">
        <v>0</v>
      </c>
      <c r="L97" s="25" t="n">
        <f aca="false">IFERROR(H97/K97,0)</f>
        <v>0</v>
      </c>
      <c r="M97" s="26" t="n">
        <f aca="false">IFERROR(K97/H97,0)</f>
        <v>0</v>
      </c>
      <c r="N97" s="4" t="s">
        <v>318</v>
      </c>
      <c r="O97" s="4" t="s">
        <v>304</v>
      </c>
      <c r="P97" s="4" t="s">
        <v>332</v>
      </c>
    </row>
    <row r="98" customFormat="false" ht="15" hidden="false" customHeight="false" outlineLevel="0" collapsed="false">
      <c r="A98" s="4" t="s">
        <v>299</v>
      </c>
      <c r="B98" s="4" t="s">
        <v>354</v>
      </c>
      <c r="C98" s="4" t="s">
        <v>119</v>
      </c>
      <c r="D98" s="7" t="n">
        <v>0.2</v>
      </c>
      <c r="E98" s="24" t="n">
        <v>0</v>
      </c>
      <c r="F98" s="24" t="n">
        <v>0</v>
      </c>
      <c r="G98" s="25" t="n">
        <f aca="false">IFERROR(F98/E98,0)</f>
        <v>0</v>
      </c>
      <c r="H98" s="7" t="n">
        <v>0</v>
      </c>
      <c r="I98" s="7" t="n">
        <f aca="false">IFERROR(H98/F98,0)</f>
        <v>0</v>
      </c>
      <c r="J98" s="24" t="n">
        <v>0</v>
      </c>
      <c r="K98" s="7" t="n">
        <v>0</v>
      </c>
      <c r="L98" s="25" t="n">
        <f aca="false">IFERROR(H98/K98,0)</f>
        <v>0</v>
      </c>
      <c r="M98" s="26" t="n">
        <f aca="false">IFERROR(K98/H98,0)</f>
        <v>0</v>
      </c>
      <c r="N98" s="4" t="s">
        <v>318</v>
      </c>
      <c r="O98" s="4" t="s">
        <v>304</v>
      </c>
      <c r="P98" s="4" t="s">
        <v>332</v>
      </c>
    </row>
    <row r="99" customFormat="false" ht="15" hidden="false" customHeight="false" outlineLevel="0" collapsed="false">
      <c r="A99" s="4" t="s">
        <v>299</v>
      </c>
      <c r="B99" s="4" t="s">
        <v>354</v>
      </c>
      <c r="C99" s="4" t="s">
        <v>123</v>
      </c>
      <c r="D99" s="7" t="n">
        <v>0.2</v>
      </c>
      <c r="E99" s="24" t="n">
        <v>0</v>
      </c>
      <c r="F99" s="24" t="n">
        <v>0</v>
      </c>
      <c r="G99" s="25" t="n">
        <f aca="false">IFERROR(F99/E99,0)</f>
        <v>0</v>
      </c>
      <c r="H99" s="7" t="n">
        <v>0</v>
      </c>
      <c r="I99" s="7" t="n">
        <f aca="false">IFERROR(H99/F99,0)</f>
        <v>0</v>
      </c>
      <c r="J99" s="24" t="n">
        <v>0</v>
      </c>
      <c r="K99" s="7" t="n">
        <v>0</v>
      </c>
      <c r="L99" s="25" t="n">
        <f aca="false">IFERROR(H99/K99,0)</f>
        <v>0</v>
      </c>
      <c r="M99" s="26" t="n">
        <f aca="false">IFERROR(K99/H99,0)</f>
        <v>0</v>
      </c>
      <c r="N99" s="4" t="s">
        <v>318</v>
      </c>
      <c r="O99" s="4" t="s">
        <v>304</v>
      </c>
      <c r="P99" s="4" t="s">
        <v>332</v>
      </c>
    </row>
    <row r="100" customFormat="false" ht="15" hidden="false" customHeight="false" outlineLevel="0" collapsed="false">
      <c r="A100" s="4" t="s">
        <v>299</v>
      </c>
      <c r="B100" s="4" t="s">
        <v>348</v>
      </c>
      <c r="C100" s="4" t="s">
        <v>126</v>
      </c>
      <c r="D100" s="7" t="n">
        <v>0.2</v>
      </c>
      <c r="E100" s="24" t="n">
        <v>0</v>
      </c>
      <c r="F100" s="24" t="n">
        <v>0</v>
      </c>
      <c r="G100" s="25" t="n">
        <f aca="false">IFERROR(F100/E100,0)</f>
        <v>0</v>
      </c>
      <c r="H100" s="7" t="n">
        <v>0</v>
      </c>
      <c r="I100" s="7" t="n">
        <f aca="false">IFERROR(H100/F100,0)</f>
        <v>0</v>
      </c>
      <c r="J100" s="24" t="n">
        <v>0</v>
      </c>
      <c r="K100" s="7" t="n">
        <v>0</v>
      </c>
      <c r="L100" s="25" t="n">
        <f aca="false">IFERROR(H100/K100,0)</f>
        <v>0</v>
      </c>
      <c r="M100" s="26" t="n">
        <f aca="false">IFERROR(K100/H100,0)</f>
        <v>0</v>
      </c>
      <c r="N100" s="4" t="s">
        <v>318</v>
      </c>
      <c r="O100" s="4" t="s">
        <v>304</v>
      </c>
      <c r="P100" s="4" t="s">
        <v>332</v>
      </c>
    </row>
    <row r="101" customFormat="false" ht="15" hidden="false" customHeight="false" outlineLevel="0" collapsed="false">
      <c r="A101" s="4" t="s">
        <v>299</v>
      </c>
      <c r="B101" s="4" t="s">
        <v>348</v>
      </c>
      <c r="C101" s="4" t="s">
        <v>119</v>
      </c>
      <c r="D101" s="7" t="n">
        <v>0.2</v>
      </c>
      <c r="E101" s="24" t="n">
        <v>0</v>
      </c>
      <c r="F101" s="24" t="n">
        <v>0</v>
      </c>
      <c r="G101" s="25" t="n">
        <f aca="false">IFERROR(F101/E101,0)</f>
        <v>0</v>
      </c>
      <c r="H101" s="7" t="n">
        <v>0</v>
      </c>
      <c r="I101" s="7" t="n">
        <f aca="false">IFERROR(H101/F101,0)</f>
        <v>0</v>
      </c>
      <c r="J101" s="24" t="n">
        <v>0</v>
      </c>
      <c r="K101" s="7" t="n">
        <v>0</v>
      </c>
      <c r="L101" s="25" t="n">
        <f aca="false">IFERROR(H101/K101,0)</f>
        <v>0</v>
      </c>
      <c r="M101" s="26" t="n">
        <f aca="false">IFERROR(K101/H101,0)</f>
        <v>0</v>
      </c>
      <c r="N101" s="4" t="s">
        <v>318</v>
      </c>
      <c r="O101" s="4" t="s">
        <v>304</v>
      </c>
      <c r="P101" s="4" t="s">
        <v>332</v>
      </c>
    </row>
    <row r="102" customFormat="false" ht="15" hidden="false" customHeight="false" outlineLevel="0" collapsed="false">
      <c r="A102" s="4" t="s">
        <v>299</v>
      </c>
      <c r="B102" s="4" t="s">
        <v>348</v>
      </c>
      <c r="C102" s="4" t="s">
        <v>123</v>
      </c>
      <c r="D102" s="7" t="n">
        <v>0.2</v>
      </c>
      <c r="E102" s="24" t="n">
        <v>0</v>
      </c>
      <c r="F102" s="24" t="n">
        <v>0</v>
      </c>
      <c r="G102" s="25" t="n">
        <f aca="false">IFERROR(F102/E102,0)</f>
        <v>0</v>
      </c>
      <c r="H102" s="7" t="n">
        <v>0</v>
      </c>
      <c r="I102" s="7" t="n">
        <f aca="false">IFERROR(H102/F102,0)</f>
        <v>0</v>
      </c>
      <c r="J102" s="24" t="n">
        <v>0</v>
      </c>
      <c r="K102" s="7" t="n">
        <v>0</v>
      </c>
      <c r="L102" s="25" t="n">
        <f aca="false">IFERROR(H102/K102,0)</f>
        <v>0</v>
      </c>
      <c r="M102" s="26" t="n">
        <f aca="false">IFERROR(K102/H102,0)</f>
        <v>0</v>
      </c>
      <c r="N102" s="4" t="s">
        <v>318</v>
      </c>
      <c r="O102" s="4" t="s">
        <v>304</v>
      </c>
      <c r="P102" s="4" t="s">
        <v>332</v>
      </c>
    </row>
    <row r="103" customFormat="false" ht="15" hidden="false" customHeight="false" outlineLevel="0" collapsed="false">
      <c r="A103" s="4" t="s">
        <v>299</v>
      </c>
      <c r="B103" s="4" t="s">
        <v>359</v>
      </c>
      <c r="C103" s="4" t="s">
        <v>123</v>
      </c>
      <c r="D103" s="7" t="n">
        <v>0.7</v>
      </c>
      <c r="E103" s="24" t="n">
        <v>0</v>
      </c>
      <c r="F103" s="24" t="n">
        <v>0</v>
      </c>
      <c r="G103" s="25" t="n">
        <f aca="false">IFERROR(F103/E103,0)</f>
        <v>0</v>
      </c>
      <c r="H103" s="7" t="n">
        <v>0</v>
      </c>
      <c r="I103" s="7" t="n">
        <f aca="false">IFERROR(H103/F103,0)</f>
        <v>0</v>
      </c>
      <c r="J103" s="24" t="n">
        <v>0</v>
      </c>
      <c r="K103" s="7" t="n">
        <v>0</v>
      </c>
      <c r="L103" s="25" t="n">
        <f aca="false">IFERROR(H103/K103,0)</f>
        <v>0</v>
      </c>
      <c r="M103" s="26" t="n">
        <f aca="false">IFERROR(K103/H103,0)</f>
        <v>0</v>
      </c>
      <c r="N103" s="4" t="s">
        <v>318</v>
      </c>
      <c r="O103" s="4" t="s">
        <v>304</v>
      </c>
      <c r="P103" s="4" t="s">
        <v>332</v>
      </c>
    </row>
    <row r="104" customFormat="false" ht="15" hidden="false" customHeight="false" outlineLevel="0" collapsed="false">
      <c r="A104" s="4" t="s">
        <v>299</v>
      </c>
      <c r="B104" s="4" t="s">
        <v>359</v>
      </c>
      <c r="C104" s="4" t="s">
        <v>119</v>
      </c>
      <c r="D104" s="7" t="n">
        <v>0.7</v>
      </c>
      <c r="E104" s="24" t="n">
        <v>0</v>
      </c>
      <c r="F104" s="24" t="n">
        <v>0</v>
      </c>
      <c r="G104" s="25" t="n">
        <f aca="false">IFERROR(F104/E104,0)</f>
        <v>0</v>
      </c>
      <c r="H104" s="7" t="n">
        <v>0</v>
      </c>
      <c r="I104" s="7" t="n">
        <f aca="false">IFERROR(H104/F104,0)</f>
        <v>0</v>
      </c>
      <c r="J104" s="24" t="n">
        <v>0</v>
      </c>
      <c r="K104" s="7" t="n">
        <v>0</v>
      </c>
      <c r="L104" s="25" t="n">
        <f aca="false">IFERROR(H104/K104,0)</f>
        <v>0</v>
      </c>
      <c r="M104" s="26" t="n">
        <f aca="false">IFERROR(K104/H104,0)</f>
        <v>0</v>
      </c>
      <c r="N104" s="4" t="s">
        <v>318</v>
      </c>
      <c r="O104" s="4" t="s">
        <v>304</v>
      </c>
      <c r="P104" s="4" t="s">
        <v>332</v>
      </c>
    </row>
    <row r="105" customFormat="false" ht="15" hidden="false" customHeight="false" outlineLevel="0" collapsed="false">
      <c r="A105" s="4" t="s">
        <v>299</v>
      </c>
      <c r="B105" s="4" t="s">
        <v>346</v>
      </c>
      <c r="C105" s="4" t="s">
        <v>119</v>
      </c>
      <c r="D105" s="7" t="n">
        <v>0.2</v>
      </c>
      <c r="E105" s="24" t="n">
        <v>0</v>
      </c>
      <c r="F105" s="24" t="n">
        <v>0</v>
      </c>
      <c r="G105" s="25" t="n">
        <f aca="false">IFERROR(F105/E105,0)</f>
        <v>0</v>
      </c>
      <c r="H105" s="7" t="n">
        <v>0</v>
      </c>
      <c r="I105" s="7" t="n">
        <f aca="false">IFERROR(H105/F105,0)</f>
        <v>0</v>
      </c>
      <c r="J105" s="24" t="n">
        <v>0</v>
      </c>
      <c r="K105" s="7" t="n">
        <v>0</v>
      </c>
      <c r="L105" s="25" t="n">
        <f aca="false">IFERROR(H105/K105,0)</f>
        <v>0</v>
      </c>
      <c r="M105" s="26" t="n">
        <f aca="false">IFERROR(K105/H105,0)</f>
        <v>0</v>
      </c>
      <c r="N105" s="4" t="s">
        <v>318</v>
      </c>
      <c r="O105" s="4" t="s">
        <v>304</v>
      </c>
      <c r="P105" s="4" t="s">
        <v>332</v>
      </c>
    </row>
    <row r="106" customFormat="false" ht="15" hidden="false" customHeight="false" outlineLevel="0" collapsed="false">
      <c r="A106" s="4" t="s">
        <v>299</v>
      </c>
      <c r="B106" s="4" t="s">
        <v>355</v>
      </c>
      <c r="C106" s="4" t="s">
        <v>123</v>
      </c>
      <c r="D106" s="7" t="n">
        <v>0.2</v>
      </c>
      <c r="E106" s="24" t="n">
        <v>0</v>
      </c>
      <c r="F106" s="24" t="n">
        <v>0</v>
      </c>
      <c r="G106" s="25" t="n">
        <f aca="false">IFERROR(F106/E106,0)</f>
        <v>0</v>
      </c>
      <c r="H106" s="7" t="n">
        <v>0</v>
      </c>
      <c r="I106" s="7" t="n">
        <f aca="false">IFERROR(H106/F106,0)</f>
        <v>0</v>
      </c>
      <c r="J106" s="24" t="n">
        <v>0</v>
      </c>
      <c r="K106" s="7" t="n">
        <v>0</v>
      </c>
      <c r="L106" s="25" t="n">
        <f aca="false">IFERROR(H106/K106,0)</f>
        <v>0</v>
      </c>
      <c r="M106" s="26" t="n">
        <f aca="false">IFERROR(K106/H106,0)</f>
        <v>0</v>
      </c>
      <c r="N106" s="4" t="s">
        <v>318</v>
      </c>
      <c r="O106" s="4" t="s">
        <v>304</v>
      </c>
      <c r="P106" s="4" t="s">
        <v>332</v>
      </c>
    </row>
    <row r="107" customFormat="false" ht="15" hidden="false" customHeight="false" outlineLevel="0" collapsed="false">
      <c r="A107" s="4" t="s">
        <v>299</v>
      </c>
      <c r="B107" s="4" t="s">
        <v>355</v>
      </c>
      <c r="C107" s="4" t="s">
        <v>119</v>
      </c>
      <c r="D107" s="7" t="n">
        <v>0.2</v>
      </c>
      <c r="E107" s="24" t="n">
        <v>0</v>
      </c>
      <c r="F107" s="24" t="n">
        <v>0</v>
      </c>
      <c r="G107" s="25" t="n">
        <f aca="false">IFERROR(F107/E107,0)</f>
        <v>0</v>
      </c>
      <c r="H107" s="7" t="n">
        <v>0</v>
      </c>
      <c r="I107" s="7" t="n">
        <f aca="false">IFERROR(H107/F107,0)</f>
        <v>0</v>
      </c>
      <c r="J107" s="24" t="n">
        <v>0</v>
      </c>
      <c r="K107" s="7" t="n">
        <v>0</v>
      </c>
      <c r="L107" s="25" t="n">
        <f aca="false">IFERROR(H107/K107,0)</f>
        <v>0</v>
      </c>
      <c r="M107" s="26" t="n">
        <f aca="false">IFERROR(K107/H107,0)</f>
        <v>0</v>
      </c>
      <c r="N107" s="4" t="s">
        <v>318</v>
      </c>
      <c r="O107" s="4" t="s">
        <v>304</v>
      </c>
      <c r="P107" s="4" t="s">
        <v>332</v>
      </c>
    </row>
    <row r="108" customFormat="false" ht="15" hidden="false" customHeight="false" outlineLevel="0" collapsed="false">
      <c r="A108" s="4" t="s">
        <v>299</v>
      </c>
      <c r="B108" s="4" t="s">
        <v>350</v>
      </c>
      <c r="C108" s="4" t="s">
        <v>123</v>
      </c>
      <c r="D108" s="7" t="n">
        <v>0.2</v>
      </c>
      <c r="E108" s="24" t="n">
        <v>0</v>
      </c>
      <c r="F108" s="24" t="n">
        <v>0</v>
      </c>
      <c r="G108" s="25" t="n">
        <f aca="false">IFERROR(F108/E108,0)</f>
        <v>0</v>
      </c>
      <c r="H108" s="7" t="n">
        <v>0</v>
      </c>
      <c r="I108" s="7" t="n">
        <f aca="false">IFERROR(H108/F108,0)</f>
        <v>0</v>
      </c>
      <c r="J108" s="24" t="n">
        <v>0</v>
      </c>
      <c r="K108" s="7" t="n">
        <v>0</v>
      </c>
      <c r="L108" s="25" t="n">
        <f aca="false">IFERROR(H108/K108,0)</f>
        <v>0</v>
      </c>
      <c r="M108" s="26" t="n">
        <f aca="false">IFERROR(K108/H108,0)</f>
        <v>0</v>
      </c>
      <c r="N108" s="4" t="s">
        <v>318</v>
      </c>
      <c r="O108" s="4" t="s">
        <v>304</v>
      </c>
      <c r="P108" s="4" t="s">
        <v>332</v>
      </c>
    </row>
    <row r="109" customFormat="false" ht="15" hidden="false" customHeight="false" outlineLevel="0" collapsed="false">
      <c r="A109" s="4" t="s">
        <v>299</v>
      </c>
      <c r="B109" s="4" t="s">
        <v>350</v>
      </c>
      <c r="C109" s="4" t="s">
        <v>119</v>
      </c>
      <c r="D109" s="7" t="n">
        <v>0.2</v>
      </c>
      <c r="E109" s="24" t="n">
        <v>0</v>
      </c>
      <c r="F109" s="24" t="n">
        <v>0</v>
      </c>
      <c r="G109" s="25" t="n">
        <f aca="false">IFERROR(F109/E109,0)</f>
        <v>0</v>
      </c>
      <c r="H109" s="7" t="n">
        <v>0</v>
      </c>
      <c r="I109" s="7" t="n">
        <f aca="false">IFERROR(H109/F109,0)</f>
        <v>0</v>
      </c>
      <c r="J109" s="24" t="n">
        <v>0</v>
      </c>
      <c r="K109" s="7" t="n">
        <v>0</v>
      </c>
      <c r="L109" s="25" t="n">
        <f aca="false">IFERROR(H109/K109,0)</f>
        <v>0</v>
      </c>
      <c r="M109" s="26" t="n">
        <f aca="false">IFERROR(K109/H109,0)</f>
        <v>0</v>
      </c>
      <c r="N109" s="4" t="s">
        <v>318</v>
      </c>
      <c r="O109" s="4" t="s">
        <v>304</v>
      </c>
      <c r="P109" s="4" t="s">
        <v>332</v>
      </c>
    </row>
    <row r="110" customFormat="false" ht="15" hidden="false" customHeight="false" outlineLevel="0" collapsed="false">
      <c r="A110" s="4" t="s">
        <v>299</v>
      </c>
      <c r="B110" s="4" t="s">
        <v>360</v>
      </c>
      <c r="C110" s="4" t="s">
        <v>126</v>
      </c>
      <c r="D110" s="7" t="n">
        <v>0.2</v>
      </c>
      <c r="E110" s="24" t="n">
        <v>0</v>
      </c>
      <c r="F110" s="24" t="n">
        <v>0</v>
      </c>
      <c r="G110" s="25" t="n">
        <f aca="false">IFERROR(F110/E110,0)</f>
        <v>0</v>
      </c>
      <c r="H110" s="7" t="n">
        <v>0</v>
      </c>
      <c r="I110" s="7" t="n">
        <f aca="false">IFERROR(H110/F110,0)</f>
        <v>0</v>
      </c>
      <c r="J110" s="24" t="n">
        <v>0</v>
      </c>
      <c r="K110" s="7" t="n">
        <v>0</v>
      </c>
      <c r="L110" s="25" t="n">
        <f aca="false">IFERROR(H110/K110,0)</f>
        <v>0</v>
      </c>
      <c r="M110" s="26" t="n">
        <f aca="false">IFERROR(K110/H110,0)</f>
        <v>0</v>
      </c>
      <c r="N110" s="4" t="s">
        <v>318</v>
      </c>
      <c r="O110" s="4" t="s">
        <v>304</v>
      </c>
      <c r="P110" s="4" t="s">
        <v>332</v>
      </c>
    </row>
    <row r="111" customFormat="false" ht="15" hidden="false" customHeight="false" outlineLevel="0" collapsed="false">
      <c r="A111" s="4" t="s">
        <v>299</v>
      </c>
      <c r="B111" s="4" t="s">
        <v>360</v>
      </c>
      <c r="C111" s="4" t="s">
        <v>119</v>
      </c>
      <c r="D111" s="7" t="n">
        <v>0.2</v>
      </c>
      <c r="E111" s="24" t="n">
        <v>0</v>
      </c>
      <c r="F111" s="24" t="n">
        <v>0</v>
      </c>
      <c r="G111" s="25" t="n">
        <f aca="false">IFERROR(F111/E111,0)</f>
        <v>0</v>
      </c>
      <c r="H111" s="7" t="n">
        <v>0</v>
      </c>
      <c r="I111" s="7" t="n">
        <f aca="false">IFERROR(H111/F111,0)</f>
        <v>0</v>
      </c>
      <c r="J111" s="24" t="n">
        <v>0</v>
      </c>
      <c r="K111" s="7" t="n">
        <v>0</v>
      </c>
      <c r="L111" s="25" t="n">
        <f aca="false">IFERROR(H111/K111,0)</f>
        <v>0</v>
      </c>
      <c r="M111" s="26" t="n">
        <f aca="false">IFERROR(K111/H111,0)</f>
        <v>0</v>
      </c>
      <c r="N111" s="4" t="s">
        <v>318</v>
      </c>
      <c r="O111" s="4" t="s">
        <v>304</v>
      </c>
      <c r="P111" s="4" t="s">
        <v>332</v>
      </c>
    </row>
    <row r="112" customFormat="false" ht="15" hidden="false" customHeight="false" outlineLevel="0" collapsed="false">
      <c r="A112" s="4" t="s">
        <v>299</v>
      </c>
      <c r="B112" s="4" t="s">
        <v>360</v>
      </c>
      <c r="C112" s="4" t="s">
        <v>123</v>
      </c>
      <c r="D112" s="7" t="n">
        <v>0.2</v>
      </c>
      <c r="E112" s="24" t="n">
        <v>0</v>
      </c>
      <c r="F112" s="24" t="n">
        <v>0</v>
      </c>
      <c r="G112" s="25" t="n">
        <f aca="false">IFERROR(F112/E112,0)</f>
        <v>0</v>
      </c>
      <c r="H112" s="7" t="n">
        <v>0</v>
      </c>
      <c r="I112" s="7" t="n">
        <f aca="false">IFERROR(H112/F112,0)</f>
        <v>0</v>
      </c>
      <c r="J112" s="24" t="n">
        <v>0</v>
      </c>
      <c r="K112" s="7" t="n">
        <v>0</v>
      </c>
      <c r="L112" s="25" t="n">
        <f aca="false">IFERROR(H112/K112,0)</f>
        <v>0</v>
      </c>
      <c r="M112" s="26" t="n">
        <f aca="false">IFERROR(K112/H112,0)</f>
        <v>0</v>
      </c>
      <c r="N112" s="4" t="s">
        <v>318</v>
      </c>
      <c r="O112" s="4" t="s">
        <v>304</v>
      </c>
      <c r="P112" s="4" t="s">
        <v>332</v>
      </c>
    </row>
    <row r="113" customFormat="false" ht="15" hidden="false" customHeight="false" outlineLevel="0" collapsed="false">
      <c r="A113" s="4" t="s">
        <v>299</v>
      </c>
      <c r="B113" s="4" t="s">
        <v>306</v>
      </c>
      <c r="C113" s="4" t="s">
        <v>119</v>
      </c>
      <c r="D113" s="7" t="n">
        <v>0.2</v>
      </c>
      <c r="E113" s="24" t="n">
        <v>0</v>
      </c>
      <c r="F113" s="24" t="n">
        <v>0</v>
      </c>
      <c r="G113" s="25" t="n">
        <f aca="false">IFERROR(F113/E113,0)</f>
        <v>0</v>
      </c>
      <c r="H113" s="7" t="n">
        <v>0</v>
      </c>
      <c r="I113" s="7" t="n">
        <f aca="false">IFERROR(H113/F113,0)</f>
        <v>0</v>
      </c>
      <c r="J113" s="24" t="n">
        <v>0</v>
      </c>
      <c r="K113" s="7" t="n">
        <v>0</v>
      </c>
      <c r="L113" s="25" t="n">
        <f aca="false">IFERROR(H113/K113,0)</f>
        <v>0</v>
      </c>
      <c r="M113" s="26" t="n">
        <f aca="false">IFERROR(K113/H113,0)</f>
        <v>0</v>
      </c>
      <c r="N113" s="4" t="s">
        <v>318</v>
      </c>
      <c r="O113" s="4" t="s">
        <v>304</v>
      </c>
      <c r="P113" s="4" t="s">
        <v>332</v>
      </c>
    </row>
    <row r="114" customFormat="false" ht="15" hidden="false" customHeight="false" outlineLevel="0" collapsed="false">
      <c r="A114" s="4" t="s">
        <v>299</v>
      </c>
      <c r="B114" s="4" t="s">
        <v>306</v>
      </c>
      <c r="C114" s="4" t="s">
        <v>123</v>
      </c>
      <c r="D114" s="7" t="n">
        <v>0.2</v>
      </c>
      <c r="E114" s="24" t="n">
        <v>0</v>
      </c>
      <c r="F114" s="24" t="n">
        <v>0</v>
      </c>
      <c r="G114" s="25" t="n">
        <f aca="false">IFERROR(F114/E114,0)</f>
        <v>0</v>
      </c>
      <c r="H114" s="7" t="n">
        <v>0</v>
      </c>
      <c r="I114" s="7" t="n">
        <f aca="false">IFERROR(H114/F114,0)</f>
        <v>0</v>
      </c>
      <c r="J114" s="24" t="n">
        <v>0</v>
      </c>
      <c r="K114" s="7" t="n">
        <v>0</v>
      </c>
      <c r="L114" s="25" t="n">
        <f aca="false">IFERROR(H114/K114,0)</f>
        <v>0</v>
      </c>
      <c r="M114" s="26" t="n">
        <f aca="false">IFERROR(K114/H114,0)</f>
        <v>0</v>
      </c>
      <c r="N114" s="4" t="s">
        <v>318</v>
      </c>
      <c r="O114" s="4" t="s">
        <v>304</v>
      </c>
      <c r="P114" s="4" t="s">
        <v>332</v>
      </c>
    </row>
    <row r="115" customFormat="false" ht="15" hidden="false" customHeight="false" outlineLevel="0" collapsed="false">
      <c r="A115" s="4" t="s">
        <v>299</v>
      </c>
      <c r="B115" s="4" t="s">
        <v>320</v>
      </c>
      <c r="C115" s="4" t="s">
        <v>126</v>
      </c>
      <c r="D115" s="7" t="n">
        <v>0.2</v>
      </c>
      <c r="E115" s="24" t="n">
        <v>0</v>
      </c>
      <c r="F115" s="24" t="n">
        <v>0</v>
      </c>
      <c r="G115" s="25" t="n">
        <f aca="false">IFERROR(F115/E115,0)</f>
        <v>0</v>
      </c>
      <c r="H115" s="7" t="n">
        <v>0</v>
      </c>
      <c r="I115" s="7" t="n">
        <f aca="false">IFERROR(H115/F115,0)</f>
        <v>0</v>
      </c>
      <c r="J115" s="24" t="n">
        <v>0</v>
      </c>
      <c r="K115" s="7" t="n">
        <v>0</v>
      </c>
      <c r="L115" s="25" t="n">
        <f aca="false">IFERROR(H115/K115,0)</f>
        <v>0</v>
      </c>
      <c r="M115" s="26" t="n">
        <f aca="false">IFERROR(K115/H115,0)</f>
        <v>0</v>
      </c>
      <c r="N115" s="4" t="s">
        <v>318</v>
      </c>
      <c r="O115" s="4" t="s">
        <v>304</v>
      </c>
      <c r="P115" s="4" t="s">
        <v>332</v>
      </c>
    </row>
    <row r="116" customFormat="false" ht="15" hidden="false" customHeight="false" outlineLevel="0" collapsed="false">
      <c r="A116" s="4" t="s">
        <v>299</v>
      </c>
      <c r="B116" s="4" t="s">
        <v>320</v>
      </c>
      <c r="C116" s="4" t="s">
        <v>119</v>
      </c>
      <c r="D116" s="7" t="n">
        <v>0.2</v>
      </c>
      <c r="E116" s="24" t="n">
        <v>0</v>
      </c>
      <c r="F116" s="24" t="n">
        <v>0</v>
      </c>
      <c r="G116" s="25" t="n">
        <f aca="false">IFERROR(F116/E116,0)</f>
        <v>0</v>
      </c>
      <c r="H116" s="7" t="n">
        <v>0</v>
      </c>
      <c r="I116" s="7" t="n">
        <f aca="false">IFERROR(H116/F116,0)</f>
        <v>0</v>
      </c>
      <c r="J116" s="24" t="n">
        <v>0</v>
      </c>
      <c r="K116" s="7" t="n">
        <v>0</v>
      </c>
      <c r="L116" s="25" t="n">
        <f aca="false">IFERROR(H116/K116,0)</f>
        <v>0</v>
      </c>
      <c r="M116" s="26" t="n">
        <f aca="false">IFERROR(K116/H116,0)</f>
        <v>0</v>
      </c>
      <c r="N116" s="4" t="s">
        <v>318</v>
      </c>
      <c r="O116" s="4" t="s">
        <v>304</v>
      </c>
      <c r="P116" s="4" t="s">
        <v>332</v>
      </c>
    </row>
    <row r="117" customFormat="false" ht="15" hidden="false" customHeight="false" outlineLevel="0" collapsed="false">
      <c r="A117" s="4" t="s">
        <v>299</v>
      </c>
      <c r="B117" s="4" t="s">
        <v>320</v>
      </c>
      <c r="C117" s="4" t="s">
        <v>123</v>
      </c>
      <c r="D117" s="7" t="n">
        <v>0.2</v>
      </c>
      <c r="E117" s="24" t="n">
        <v>0</v>
      </c>
      <c r="F117" s="24" t="n">
        <v>0</v>
      </c>
      <c r="G117" s="25" t="n">
        <f aca="false">IFERROR(F117/E117,0)</f>
        <v>0</v>
      </c>
      <c r="H117" s="7" t="n">
        <v>0</v>
      </c>
      <c r="I117" s="7" t="n">
        <f aca="false">IFERROR(H117/F117,0)</f>
        <v>0</v>
      </c>
      <c r="J117" s="24" t="n">
        <v>0</v>
      </c>
      <c r="K117" s="7" t="n">
        <v>0</v>
      </c>
      <c r="L117" s="25" t="n">
        <f aca="false">IFERROR(H117/K117,0)</f>
        <v>0</v>
      </c>
      <c r="M117" s="26" t="n">
        <f aca="false">IFERROR(K117/H117,0)</f>
        <v>0</v>
      </c>
      <c r="N117" s="4" t="s">
        <v>318</v>
      </c>
      <c r="O117" s="4" t="s">
        <v>304</v>
      </c>
      <c r="P117" s="4" t="s">
        <v>332</v>
      </c>
    </row>
    <row r="118" customFormat="false" ht="15" hidden="false" customHeight="false" outlineLevel="0" collapsed="false">
      <c r="A118" s="4" t="s">
        <v>299</v>
      </c>
      <c r="B118" s="4" t="s">
        <v>328</v>
      </c>
      <c r="C118" s="4" t="s">
        <v>126</v>
      </c>
      <c r="D118" s="7" t="n">
        <v>0.2</v>
      </c>
      <c r="E118" s="24" t="n">
        <v>0</v>
      </c>
      <c r="F118" s="24" t="n">
        <v>0</v>
      </c>
      <c r="G118" s="25" t="n">
        <f aca="false">IFERROR(F118/E118,0)</f>
        <v>0</v>
      </c>
      <c r="H118" s="7" t="n">
        <v>0</v>
      </c>
      <c r="I118" s="7" t="n">
        <f aca="false">IFERROR(H118/F118,0)</f>
        <v>0</v>
      </c>
      <c r="J118" s="24" t="n">
        <v>0</v>
      </c>
      <c r="K118" s="7" t="n">
        <v>0</v>
      </c>
      <c r="L118" s="25" t="n">
        <f aca="false">IFERROR(H118/K118,0)</f>
        <v>0</v>
      </c>
      <c r="M118" s="26" t="n">
        <f aca="false">IFERROR(K118/H118,0)</f>
        <v>0</v>
      </c>
      <c r="N118" s="4" t="s">
        <v>318</v>
      </c>
      <c r="O118" s="4" t="s">
        <v>304</v>
      </c>
      <c r="P118" s="4" t="s">
        <v>332</v>
      </c>
    </row>
    <row r="119" customFormat="false" ht="15" hidden="false" customHeight="false" outlineLevel="0" collapsed="false">
      <c r="A119" s="4" t="s">
        <v>299</v>
      </c>
      <c r="B119" s="4" t="s">
        <v>328</v>
      </c>
      <c r="C119" s="4" t="s">
        <v>119</v>
      </c>
      <c r="D119" s="7" t="n">
        <v>0.2</v>
      </c>
      <c r="E119" s="24" t="n">
        <v>0</v>
      </c>
      <c r="F119" s="24" t="n">
        <v>0</v>
      </c>
      <c r="G119" s="25" t="n">
        <f aca="false">IFERROR(F119/E119,0)</f>
        <v>0</v>
      </c>
      <c r="H119" s="7" t="n">
        <v>0</v>
      </c>
      <c r="I119" s="7" t="n">
        <f aca="false">IFERROR(H119/F119,0)</f>
        <v>0</v>
      </c>
      <c r="J119" s="24" t="n">
        <v>0</v>
      </c>
      <c r="K119" s="7" t="n">
        <v>0</v>
      </c>
      <c r="L119" s="25" t="n">
        <f aca="false">IFERROR(H119/K119,0)</f>
        <v>0</v>
      </c>
      <c r="M119" s="26" t="n">
        <f aca="false">IFERROR(K119/H119,0)</f>
        <v>0</v>
      </c>
      <c r="N119" s="4" t="s">
        <v>318</v>
      </c>
      <c r="O119" s="4" t="s">
        <v>304</v>
      </c>
      <c r="P119" s="4" t="s">
        <v>332</v>
      </c>
    </row>
    <row r="120" customFormat="false" ht="15" hidden="false" customHeight="false" outlineLevel="0" collapsed="false">
      <c r="A120" s="4" t="s">
        <v>299</v>
      </c>
      <c r="B120" s="4" t="s">
        <v>361</v>
      </c>
      <c r="C120" s="4" t="s">
        <v>126</v>
      </c>
      <c r="D120" s="7" t="n">
        <v>0.2</v>
      </c>
      <c r="E120" s="24" t="n">
        <v>0</v>
      </c>
      <c r="F120" s="24" t="n">
        <v>0</v>
      </c>
      <c r="G120" s="25" t="n">
        <f aca="false">IFERROR(F120/E120,0)</f>
        <v>0</v>
      </c>
      <c r="H120" s="7" t="n">
        <v>0</v>
      </c>
      <c r="I120" s="7" t="n">
        <f aca="false">IFERROR(H120/F120,0)</f>
        <v>0</v>
      </c>
      <c r="J120" s="24" t="n">
        <v>0</v>
      </c>
      <c r="K120" s="7" t="n">
        <v>0</v>
      </c>
      <c r="L120" s="25" t="n">
        <f aca="false">IFERROR(H120/K120,0)</f>
        <v>0</v>
      </c>
      <c r="M120" s="26" t="n">
        <f aca="false">IFERROR(K120/H120,0)</f>
        <v>0</v>
      </c>
      <c r="N120" s="4" t="s">
        <v>318</v>
      </c>
      <c r="O120" s="4" t="s">
        <v>304</v>
      </c>
      <c r="P120" s="4" t="s">
        <v>332</v>
      </c>
    </row>
    <row r="121" customFormat="false" ht="15" hidden="false" customHeight="false" outlineLevel="0" collapsed="false">
      <c r="A121" s="4" t="s">
        <v>299</v>
      </c>
      <c r="B121" s="4" t="s">
        <v>361</v>
      </c>
      <c r="C121" s="4" t="s">
        <v>119</v>
      </c>
      <c r="D121" s="7" t="n">
        <v>0.2</v>
      </c>
      <c r="E121" s="24" t="n">
        <v>0</v>
      </c>
      <c r="F121" s="24" t="n">
        <v>0</v>
      </c>
      <c r="G121" s="25" t="n">
        <f aca="false">IFERROR(F121/E121,0)</f>
        <v>0</v>
      </c>
      <c r="H121" s="7" t="n">
        <v>0</v>
      </c>
      <c r="I121" s="7" t="n">
        <f aca="false">IFERROR(H121/F121,0)</f>
        <v>0</v>
      </c>
      <c r="J121" s="24" t="n">
        <v>0</v>
      </c>
      <c r="K121" s="7" t="n">
        <v>0</v>
      </c>
      <c r="L121" s="25" t="n">
        <f aca="false">IFERROR(H121/K121,0)</f>
        <v>0</v>
      </c>
      <c r="M121" s="26" t="n">
        <f aca="false">IFERROR(K121/H121,0)</f>
        <v>0</v>
      </c>
      <c r="N121" s="4" t="s">
        <v>318</v>
      </c>
      <c r="O121" s="4" t="s">
        <v>304</v>
      </c>
      <c r="P121" s="4" t="s">
        <v>332</v>
      </c>
    </row>
    <row r="122" customFormat="false" ht="15" hidden="false" customHeight="false" outlineLevel="0" collapsed="false">
      <c r="A122" s="4" t="s">
        <v>299</v>
      </c>
      <c r="B122" s="4" t="s">
        <v>361</v>
      </c>
      <c r="C122" s="4" t="s">
        <v>123</v>
      </c>
      <c r="D122" s="7" t="n">
        <v>0.2</v>
      </c>
      <c r="E122" s="24" t="n">
        <v>0</v>
      </c>
      <c r="F122" s="24" t="n">
        <v>0</v>
      </c>
      <c r="G122" s="25" t="n">
        <f aca="false">IFERROR(F122/E122,0)</f>
        <v>0</v>
      </c>
      <c r="H122" s="7" t="n">
        <v>0</v>
      </c>
      <c r="I122" s="7" t="n">
        <f aca="false">IFERROR(H122/F122,0)</f>
        <v>0</v>
      </c>
      <c r="J122" s="24" t="n">
        <v>0</v>
      </c>
      <c r="K122" s="7" t="n">
        <v>0</v>
      </c>
      <c r="L122" s="25" t="n">
        <f aca="false">IFERROR(H122/K122,0)</f>
        <v>0</v>
      </c>
      <c r="M122" s="26" t="n">
        <f aca="false">IFERROR(K122/H122,0)</f>
        <v>0</v>
      </c>
      <c r="N122" s="4" t="s">
        <v>318</v>
      </c>
      <c r="O122" s="4" t="s">
        <v>304</v>
      </c>
      <c r="P122" s="4" t="s">
        <v>332</v>
      </c>
    </row>
    <row r="123" customFormat="false" ht="15" hidden="false" customHeight="false" outlineLevel="0" collapsed="false">
      <c r="A123" s="4" t="s">
        <v>299</v>
      </c>
      <c r="B123" s="4" t="s">
        <v>362</v>
      </c>
      <c r="C123" s="4" t="s">
        <v>126</v>
      </c>
      <c r="D123" s="7" t="n">
        <v>0.2</v>
      </c>
      <c r="E123" s="24" t="n">
        <v>0</v>
      </c>
      <c r="F123" s="24" t="n">
        <v>0</v>
      </c>
      <c r="G123" s="25" t="n">
        <f aca="false">IFERROR(F123/E123,0)</f>
        <v>0</v>
      </c>
      <c r="H123" s="7" t="n">
        <v>0</v>
      </c>
      <c r="I123" s="7" t="n">
        <f aca="false">IFERROR(H123/F123,0)</f>
        <v>0</v>
      </c>
      <c r="J123" s="24" t="n">
        <v>0</v>
      </c>
      <c r="K123" s="7" t="n">
        <v>0</v>
      </c>
      <c r="L123" s="25" t="n">
        <f aca="false">IFERROR(H123/K123,0)</f>
        <v>0</v>
      </c>
      <c r="M123" s="26" t="n">
        <f aca="false">IFERROR(K123/H123,0)</f>
        <v>0</v>
      </c>
      <c r="N123" s="4" t="s">
        <v>318</v>
      </c>
      <c r="O123" s="4" t="s">
        <v>304</v>
      </c>
      <c r="P123" s="4" t="s">
        <v>332</v>
      </c>
    </row>
    <row r="124" customFormat="false" ht="15" hidden="false" customHeight="false" outlineLevel="0" collapsed="false">
      <c r="A124" s="4" t="s">
        <v>299</v>
      </c>
      <c r="B124" s="4" t="s">
        <v>362</v>
      </c>
      <c r="C124" s="4" t="s">
        <v>119</v>
      </c>
      <c r="D124" s="7" t="n">
        <v>0.2</v>
      </c>
      <c r="E124" s="24" t="n">
        <v>0</v>
      </c>
      <c r="F124" s="24" t="n">
        <v>0</v>
      </c>
      <c r="G124" s="25" t="n">
        <f aca="false">IFERROR(F124/E124,0)</f>
        <v>0</v>
      </c>
      <c r="H124" s="7" t="n">
        <v>0</v>
      </c>
      <c r="I124" s="7" t="n">
        <f aca="false">IFERROR(H124/F124,0)</f>
        <v>0</v>
      </c>
      <c r="J124" s="24" t="n">
        <v>0</v>
      </c>
      <c r="K124" s="7" t="n">
        <v>0</v>
      </c>
      <c r="L124" s="25" t="n">
        <f aca="false">IFERROR(H124/K124,0)</f>
        <v>0</v>
      </c>
      <c r="M124" s="26" t="n">
        <f aca="false">IFERROR(K124/H124,0)</f>
        <v>0</v>
      </c>
      <c r="N124" s="4" t="s">
        <v>318</v>
      </c>
      <c r="O124" s="4" t="s">
        <v>304</v>
      </c>
      <c r="P124" s="4" t="s">
        <v>332</v>
      </c>
    </row>
    <row r="125" customFormat="false" ht="15" hidden="false" customHeight="false" outlineLevel="0" collapsed="false">
      <c r="A125" s="4" t="s">
        <v>299</v>
      </c>
      <c r="B125" s="4" t="s">
        <v>362</v>
      </c>
      <c r="C125" s="4" t="s">
        <v>123</v>
      </c>
      <c r="D125" s="7" t="n">
        <v>0.2</v>
      </c>
      <c r="E125" s="24" t="n">
        <v>0</v>
      </c>
      <c r="F125" s="24" t="n">
        <v>0</v>
      </c>
      <c r="G125" s="25" t="n">
        <f aca="false">IFERROR(F125/E125,0)</f>
        <v>0</v>
      </c>
      <c r="H125" s="7" t="n">
        <v>0</v>
      </c>
      <c r="I125" s="7" t="n">
        <f aca="false">IFERROR(H125/F125,0)</f>
        <v>0</v>
      </c>
      <c r="J125" s="24" t="n">
        <v>0</v>
      </c>
      <c r="K125" s="7" t="n">
        <v>0</v>
      </c>
      <c r="L125" s="25" t="n">
        <f aca="false">IFERROR(H125/K125,0)</f>
        <v>0</v>
      </c>
      <c r="M125" s="26" t="n">
        <f aca="false">IFERROR(K125/H125,0)</f>
        <v>0</v>
      </c>
      <c r="N125" s="4" t="s">
        <v>318</v>
      </c>
      <c r="O125" s="4" t="s">
        <v>304</v>
      </c>
      <c r="P125" s="4" t="s">
        <v>332</v>
      </c>
    </row>
    <row r="126" customFormat="false" ht="15" hidden="false" customHeight="false" outlineLevel="0" collapsed="false">
      <c r="A126" s="4" t="s">
        <v>299</v>
      </c>
      <c r="B126" s="4" t="s">
        <v>334</v>
      </c>
      <c r="C126" s="4" t="s">
        <v>126</v>
      </c>
      <c r="D126" s="7" t="n">
        <v>0.2</v>
      </c>
      <c r="E126" s="24" t="n">
        <v>0</v>
      </c>
      <c r="F126" s="24" t="n">
        <v>0</v>
      </c>
      <c r="G126" s="25" t="n">
        <f aca="false">IFERROR(F126/E126,0)</f>
        <v>0</v>
      </c>
      <c r="H126" s="7" t="n">
        <v>0</v>
      </c>
      <c r="I126" s="7" t="n">
        <f aca="false">IFERROR(H126/F126,0)</f>
        <v>0</v>
      </c>
      <c r="J126" s="24" t="n">
        <v>0</v>
      </c>
      <c r="K126" s="7" t="n">
        <v>0</v>
      </c>
      <c r="L126" s="25" t="n">
        <f aca="false">IFERROR(H126/K126,0)</f>
        <v>0</v>
      </c>
      <c r="M126" s="26" t="n">
        <f aca="false">IFERROR(K126/H126,0)</f>
        <v>0</v>
      </c>
      <c r="N126" s="4" t="s">
        <v>318</v>
      </c>
      <c r="O126" s="4" t="s">
        <v>304</v>
      </c>
      <c r="P126" s="4" t="s">
        <v>332</v>
      </c>
    </row>
    <row r="127" customFormat="false" ht="15" hidden="false" customHeight="false" outlineLevel="0" collapsed="false">
      <c r="A127" s="4" t="s">
        <v>299</v>
      </c>
      <c r="B127" s="4" t="s">
        <v>334</v>
      </c>
      <c r="C127" s="4" t="s">
        <v>123</v>
      </c>
      <c r="D127" s="7" t="n">
        <v>0.2</v>
      </c>
      <c r="E127" s="24" t="n">
        <v>0</v>
      </c>
      <c r="F127" s="24" t="n">
        <v>0</v>
      </c>
      <c r="G127" s="25" t="n">
        <f aca="false">IFERROR(F127/E127,0)</f>
        <v>0</v>
      </c>
      <c r="H127" s="7" t="n">
        <v>0</v>
      </c>
      <c r="I127" s="7" t="n">
        <f aca="false">IFERROR(H127/F127,0)</f>
        <v>0</v>
      </c>
      <c r="J127" s="24" t="n">
        <v>0</v>
      </c>
      <c r="K127" s="7" t="n">
        <v>0</v>
      </c>
      <c r="L127" s="25" t="n">
        <f aca="false">IFERROR(H127/K127,0)</f>
        <v>0</v>
      </c>
      <c r="M127" s="26" t="n">
        <f aca="false">IFERROR(K127/H127,0)</f>
        <v>0</v>
      </c>
      <c r="N127" s="4" t="s">
        <v>318</v>
      </c>
      <c r="O127" s="4" t="s">
        <v>304</v>
      </c>
      <c r="P127" s="4" t="s">
        <v>332</v>
      </c>
    </row>
    <row r="128" customFormat="false" ht="15" hidden="false" customHeight="false" outlineLevel="0" collapsed="false">
      <c r="A128" s="4" t="s">
        <v>299</v>
      </c>
      <c r="B128" s="4" t="s">
        <v>317</v>
      </c>
      <c r="C128" s="4" t="s">
        <v>123</v>
      </c>
      <c r="D128" s="7" t="n">
        <v>0.8</v>
      </c>
      <c r="E128" s="24" t="n">
        <v>0</v>
      </c>
      <c r="F128" s="24" t="n">
        <v>0</v>
      </c>
      <c r="G128" s="25" t="n">
        <f aca="false">IFERROR(F128/E128,0)</f>
        <v>0</v>
      </c>
      <c r="H128" s="7" t="n">
        <v>0</v>
      </c>
      <c r="I128" s="7" t="n">
        <f aca="false">IFERROR(H128/F128,0)</f>
        <v>0</v>
      </c>
      <c r="J128" s="24" t="n">
        <v>0</v>
      </c>
      <c r="K128" s="7" t="n">
        <v>0</v>
      </c>
      <c r="L128" s="25" t="n">
        <f aca="false">IFERROR(H128/K128,0)</f>
        <v>0</v>
      </c>
      <c r="M128" s="26" t="n">
        <f aca="false">IFERROR(K128/H128,0)</f>
        <v>0</v>
      </c>
      <c r="N128" s="4" t="s">
        <v>318</v>
      </c>
      <c r="O128" s="4" t="s">
        <v>304</v>
      </c>
      <c r="P128" s="4" t="s">
        <v>332</v>
      </c>
    </row>
    <row r="129" customFormat="false" ht="15" hidden="false" customHeight="false" outlineLevel="0" collapsed="false">
      <c r="A129" s="4" t="s">
        <v>299</v>
      </c>
      <c r="B129" s="4" t="s">
        <v>363</v>
      </c>
      <c r="C129" s="4" t="s">
        <v>123</v>
      </c>
      <c r="D129" s="7" t="n">
        <v>0.4</v>
      </c>
      <c r="E129" s="24" t="n">
        <v>0</v>
      </c>
      <c r="F129" s="24" t="n">
        <v>0</v>
      </c>
      <c r="G129" s="25" t="n">
        <f aca="false">IFERROR(F129/E129,0)</f>
        <v>0</v>
      </c>
      <c r="H129" s="7" t="n">
        <v>0</v>
      </c>
      <c r="I129" s="7" t="n">
        <f aca="false">IFERROR(H129/F129,0)</f>
        <v>0</v>
      </c>
      <c r="J129" s="24" t="n">
        <v>0</v>
      </c>
      <c r="K129" s="7" t="n">
        <v>0</v>
      </c>
      <c r="L129" s="25" t="n">
        <f aca="false">IFERROR(H129/K129,0)</f>
        <v>0</v>
      </c>
      <c r="M129" s="26" t="n">
        <f aca="false">IFERROR(K129/H129,0)</f>
        <v>0</v>
      </c>
      <c r="N129" s="4" t="s">
        <v>313</v>
      </c>
      <c r="O129" s="4" t="s">
        <v>304</v>
      </c>
      <c r="P129" s="4" t="s">
        <v>332</v>
      </c>
    </row>
    <row r="130" customFormat="false" ht="15" hidden="false" customHeight="false" outlineLevel="0" collapsed="false">
      <c r="A130" s="4" t="s">
        <v>299</v>
      </c>
      <c r="B130" s="4" t="s">
        <v>364</v>
      </c>
      <c r="C130" s="4" t="s">
        <v>123</v>
      </c>
      <c r="D130" s="7" t="n">
        <v>0.61</v>
      </c>
      <c r="E130" s="24" t="n">
        <v>0</v>
      </c>
      <c r="F130" s="24" t="n">
        <v>0</v>
      </c>
      <c r="G130" s="25" t="n">
        <f aca="false">IFERROR(F130/E130,0)</f>
        <v>0</v>
      </c>
      <c r="H130" s="7" t="n">
        <v>0</v>
      </c>
      <c r="I130" s="7" t="n">
        <f aca="false">IFERROR(H130/F130,0)</f>
        <v>0</v>
      </c>
      <c r="J130" s="24" t="n">
        <v>0</v>
      </c>
      <c r="K130" s="7" t="n">
        <v>0</v>
      </c>
      <c r="L130" s="25" t="n">
        <f aca="false">IFERROR(H130/K130,0)</f>
        <v>0</v>
      </c>
      <c r="M130" s="26" t="n">
        <f aca="false">IFERROR(K130/H130,0)</f>
        <v>0</v>
      </c>
      <c r="N130" s="4" t="s">
        <v>313</v>
      </c>
      <c r="O130" s="4" t="s">
        <v>304</v>
      </c>
      <c r="P130" s="4" t="s">
        <v>332</v>
      </c>
    </row>
    <row r="131" customFormat="false" ht="15" hidden="false" customHeight="false" outlineLevel="0" collapsed="false">
      <c r="A131" s="4" t="s">
        <v>299</v>
      </c>
      <c r="B131" s="4" t="s">
        <v>365</v>
      </c>
      <c r="C131" s="4" t="s">
        <v>123</v>
      </c>
      <c r="D131" s="7" t="n">
        <v>0.52</v>
      </c>
      <c r="E131" s="24" t="n">
        <v>0</v>
      </c>
      <c r="F131" s="24" t="n">
        <v>0</v>
      </c>
      <c r="G131" s="25" t="n">
        <f aca="false">IFERROR(F131/E131,0)</f>
        <v>0</v>
      </c>
      <c r="H131" s="7" t="n">
        <v>0</v>
      </c>
      <c r="I131" s="7" t="n">
        <f aca="false">IFERROR(H131/F131,0)</f>
        <v>0</v>
      </c>
      <c r="J131" s="24" t="n">
        <v>0</v>
      </c>
      <c r="K131" s="7" t="n">
        <v>0</v>
      </c>
      <c r="L131" s="25" t="n">
        <f aca="false">IFERROR(H131/K131,0)</f>
        <v>0</v>
      </c>
      <c r="M131" s="26" t="n">
        <f aca="false">IFERROR(K131/H131,0)</f>
        <v>0</v>
      </c>
      <c r="N131" s="4" t="s">
        <v>313</v>
      </c>
      <c r="O131" s="4" t="s">
        <v>304</v>
      </c>
      <c r="P131" s="4" t="s">
        <v>332</v>
      </c>
    </row>
    <row r="132" customFormat="false" ht="15" hidden="false" customHeight="false" outlineLevel="0" collapsed="false">
      <c r="A132" s="4" t="s">
        <v>299</v>
      </c>
      <c r="B132" s="4" t="s">
        <v>366</v>
      </c>
      <c r="C132" s="4" t="s">
        <v>123</v>
      </c>
      <c r="D132" s="7" t="n">
        <v>0.55</v>
      </c>
      <c r="E132" s="24" t="n">
        <v>0</v>
      </c>
      <c r="F132" s="24" t="n">
        <v>0</v>
      </c>
      <c r="G132" s="25" t="n">
        <f aca="false">IFERROR(F132/E132,0)</f>
        <v>0</v>
      </c>
      <c r="H132" s="7" t="n">
        <v>0</v>
      </c>
      <c r="I132" s="7" t="n">
        <f aca="false">IFERROR(H132/F132,0)</f>
        <v>0</v>
      </c>
      <c r="J132" s="24" t="n">
        <v>0</v>
      </c>
      <c r="K132" s="7" t="n">
        <v>0</v>
      </c>
      <c r="L132" s="25" t="n">
        <f aca="false">IFERROR(H132/K132,0)</f>
        <v>0</v>
      </c>
      <c r="M132" s="26" t="n">
        <f aca="false">IFERROR(K132/H132,0)</f>
        <v>0</v>
      </c>
      <c r="N132" s="4" t="s">
        <v>313</v>
      </c>
      <c r="O132" s="4" t="s">
        <v>304</v>
      </c>
      <c r="P132" s="4" t="s">
        <v>332</v>
      </c>
    </row>
    <row r="133" customFormat="false" ht="15" hidden="false" customHeight="false" outlineLevel="0" collapsed="false">
      <c r="A133" s="4" t="s">
        <v>299</v>
      </c>
      <c r="B133" s="4" t="s">
        <v>354</v>
      </c>
      <c r="C133" s="4" t="s">
        <v>123</v>
      </c>
      <c r="D133" s="7" t="n">
        <v>0.76</v>
      </c>
      <c r="E133" s="24" t="n">
        <v>0</v>
      </c>
      <c r="F133" s="24" t="n">
        <v>0</v>
      </c>
      <c r="G133" s="25" t="n">
        <f aca="false">IFERROR(F133/E133,0)</f>
        <v>0</v>
      </c>
      <c r="H133" s="7" t="n">
        <v>0</v>
      </c>
      <c r="I133" s="7" t="n">
        <f aca="false">IFERROR(H133/F133,0)</f>
        <v>0</v>
      </c>
      <c r="J133" s="24" t="n">
        <v>0</v>
      </c>
      <c r="K133" s="7" t="n">
        <v>0</v>
      </c>
      <c r="L133" s="25" t="n">
        <f aca="false">IFERROR(H133/K133,0)</f>
        <v>0</v>
      </c>
      <c r="M133" s="26" t="n">
        <f aca="false">IFERROR(K133/H133,0)</f>
        <v>0</v>
      </c>
      <c r="N133" s="4" t="s">
        <v>313</v>
      </c>
      <c r="O133" s="4" t="s">
        <v>304</v>
      </c>
      <c r="P133" s="4" t="s">
        <v>332</v>
      </c>
    </row>
    <row r="134" customFormat="false" ht="15" hidden="false" customHeight="false" outlineLevel="0" collapsed="false">
      <c r="A134" s="4" t="s">
        <v>299</v>
      </c>
      <c r="B134" s="4" t="s">
        <v>367</v>
      </c>
      <c r="C134" s="4" t="s">
        <v>123</v>
      </c>
      <c r="D134" s="7" t="n">
        <v>0.55</v>
      </c>
      <c r="E134" s="24" t="n">
        <v>0</v>
      </c>
      <c r="F134" s="24" t="n">
        <v>0</v>
      </c>
      <c r="G134" s="25" t="n">
        <f aca="false">IFERROR(F134/E134,0)</f>
        <v>0</v>
      </c>
      <c r="H134" s="7" t="n">
        <v>0</v>
      </c>
      <c r="I134" s="7" t="n">
        <f aca="false">IFERROR(H134/F134,0)</f>
        <v>0</v>
      </c>
      <c r="J134" s="24" t="n">
        <v>0</v>
      </c>
      <c r="K134" s="7" t="n">
        <v>0</v>
      </c>
      <c r="L134" s="25" t="n">
        <f aca="false">IFERROR(H134/K134,0)</f>
        <v>0</v>
      </c>
      <c r="M134" s="26" t="n">
        <f aca="false">IFERROR(K134/H134,0)</f>
        <v>0</v>
      </c>
      <c r="N134" s="4" t="s">
        <v>313</v>
      </c>
      <c r="O134" s="4" t="s">
        <v>304</v>
      </c>
      <c r="P134" s="4" t="s">
        <v>332</v>
      </c>
    </row>
    <row r="135" customFormat="false" ht="15" hidden="false" customHeight="false" outlineLevel="0" collapsed="false">
      <c r="A135" s="4" t="s">
        <v>299</v>
      </c>
      <c r="B135" s="4" t="s">
        <v>368</v>
      </c>
      <c r="C135" s="4" t="s">
        <v>123</v>
      </c>
      <c r="D135" s="7" t="n">
        <v>0.55</v>
      </c>
      <c r="E135" s="24" t="n">
        <v>0</v>
      </c>
      <c r="F135" s="24" t="n">
        <v>0</v>
      </c>
      <c r="G135" s="25" t="n">
        <f aca="false">IFERROR(F135/E135,0)</f>
        <v>0</v>
      </c>
      <c r="H135" s="7" t="n">
        <v>0</v>
      </c>
      <c r="I135" s="7" t="n">
        <f aca="false">IFERROR(H135/F135,0)</f>
        <v>0</v>
      </c>
      <c r="J135" s="24" t="n">
        <v>0</v>
      </c>
      <c r="K135" s="7" t="n">
        <v>0</v>
      </c>
      <c r="L135" s="25" t="n">
        <f aca="false">IFERROR(H135/K135,0)</f>
        <v>0</v>
      </c>
      <c r="M135" s="26" t="n">
        <f aca="false">IFERROR(K135/H135,0)</f>
        <v>0</v>
      </c>
      <c r="N135" s="4" t="s">
        <v>313</v>
      </c>
      <c r="O135" s="4" t="s">
        <v>304</v>
      </c>
      <c r="P135" s="4" t="s">
        <v>332</v>
      </c>
    </row>
    <row r="136" customFormat="false" ht="15" hidden="false" customHeight="false" outlineLevel="0" collapsed="false">
      <c r="A136" s="4" t="s">
        <v>299</v>
      </c>
      <c r="B136" s="4" t="s">
        <v>369</v>
      </c>
      <c r="C136" s="4" t="s">
        <v>123</v>
      </c>
      <c r="D136" s="7" t="n">
        <v>0.37</v>
      </c>
      <c r="E136" s="24" t="n">
        <v>0</v>
      </c>
      <c r="F136" s="24" t="n">
        <v>0</v>
      </c>
      <c r="G136" s="25" t="n">
        <f aca="false">IFERROR(F136/E136,0)</f>
        <v>0</v>
      </c>
      <c r="H136" s="7" t="n">
        <v>0</v>
      </c>
      <c r="I136" s="7" t="n">
        <f aca="false">IFERROR(H136/F136,0)</f>
        <v>0</v>
      </c>
      <c r="J136" s="24" t="n">
        <v>0</v>
      </c>
      <c r="K136" s="7" t="n">
        <v>0</v>
      </c>
      <c r="L136" s="25" t="n">
        <f aca="false">IFERROR(H136/K136,0)</f>
        <v>0</v>
      </c>
      <c r="M136" s="26" t="n">
        <f aca="false">IFERROR(K136/H136,0)</f>
        <v>0</v>
      </c>
      <c r="N136" s="4" t="s">
        <v>313</v>
      </c>
      <c r="O136" s="4" t="s">
        <v>304</v>
      </c>
      <c r="P136" s="4" t="s">
        <v>332</v>
      </c>
    </row>
    <row r="137" customFormat="false" ht="15" hidden="false" customHeight="false" outlineLevel="0" collapsed="false">
      <c r="A137" s="4" t="s">
        <v>299</v>
      </c>
      <c r="B137" s="4" t="s">
        <v>345</v>
      </c>
      <c r="C137" s="4" t="s">
        <v>123</v>
      </c>
      <c r="D137" s="7" t="n">
        <v>0.55</v>
      </c>
      <c r="E137" s="24" t="n">
        <v>0</v>
      </c>
      <c r="F137" s="24" t="n">
        <v>0</v>
      </c>
      <c r="G137" s="25" t="n">
        <f aca="false">IFERROR(F137/E137,0)</f>
        <v>0</v>
      </c>
      <c r="H137" s="7" t="n">
        <v>0</v>
      </c>
      <c r="I137" s="7" t="n">
        <f aca="false">IFERROR(H137/F137,0)</f>
        <v>0</v>
      </c>
      <c r="J137" s="24" t="n">
        <v>0</v>
      </c>
      <c r="K137" s="7" t="n">
        <v>0</v>
      </c>
      <c r="L137" s="25" t="n">
        <f aca="false">IFERROR(H137/K137,0)</f>
        <v>0</v>
      </c>
      <c r="M137" s="26" t="n">
        <f aca="false">IFERROR(K137/H137,0)</f>
        <v>0</v>
      </c>
      <c r="N137" s="4" t="s">
        <v>313</v>
      </c>
      <c r="O137" s="4" t="s">
        <v>304</v>
      </c>
      <c r="P137" s="4" t="s">
        <v>332</v>
      </c>
    </row>
    <row r="138" customFormat="false" ht="15" hidden="false" customHeight="false" outlineLevel="0" collapsed="false">
      <c r="A138" s="4" t="s">
        <v>299</v>
      </c>
      <c r="B138" s="4" t="s">
        <v>309</v>
      </c>
      <c r="C138" s="4" t="s">
        <v>123</v>
      </c>
      <c r="D138" s="7" t="n">
        <v>0.76</v>
      </c>
      <c r="E138" s="24" t="n">
        <v>0</v>
      </c>
      <c r="F138" s="24" t="n">
        <v>0</v>
      </c>
      <c r="G138" s="25" t="n">
        <f aca="false">IFERROR(F138/E138,0)</f>
        <v>0</v>
      </c>
      <c r="H138" s="7" t="n">
        <v>0</v>
      </c>
      <c r="I138" s="7" t="n">
        <f aca="false">IFERROR(H138/F138,0)</f>
        <v>0</v>
      </c>
      <c r="J138" s="24" t="n">
        <v>0</v>
      </c>
      <c r="K138" s="7" t="n">
        <v>0</v>
      </c>
      <c r="L138" s="25" t="n">
        <f aca="false">IFERROR(H138/K138,0)</f>
        <v>0</v>
      </c>
      <c r="M138" s="26" t="n">
        <f aca="false">IFERROR(K138/H138,0)</f>
        <v>0</v>
      </c>
      <c r="N138" s="4" t="s">
        <v>313</v>
      </c>
      <c r="O138" s="4" t="s">
        <v>304</v>
      </c>
      <c r="P138" s="4" t="s">
        <v>332</v>
      </c>
    </row>
    <row r="139" customFormat="false" ht="15" hidden="false" customHeight="false" outlineLevel="0" collapsed="false">
      <c r="A139" s="4" t="s">
        <v>299</v>
      </c>
      <c r="B139" s="4" t="s">
        <v>370</v>
      </c>
      <c r="C139" s="4" t="s">
        <v>123</v>
      </c>
      <c r="D139" s="7" t="n">
        <v>0.48</v>
      </c>
      <c r="E139" s="24" t="n">
        <v>0</v>
      </c>
      <c r="F139" s="24" t="n">
        <v>0</v>
      </c>
      <c r="G139" s="25" t="n">
        <f aca="false">IFERROR(F139/E139,0)</f>
        <v>0</v>
      </c>
      <c r="H139" s="7" t="n">
        <v>0</v>
      </c>
      <c r="I139" s="7" t="n">
        <f aca="false">IFERROR(H139/F139,0)</f>
        <v>0</v>
      </c>
      <c r="J139" s="24" t="n">
        <v>0</v>
      </c>
      <c r="K139" s="7" t="n">
        <v>0</v>
      </c>
      <c r="L139" s="25" t="n">
        <f aca="false">IFERROR(H139/K139,0)</f>
        <v>0</v>
      </c>
      <c r="M139" s="26" t="n">
        <f aca="false">IFERROR(K139/H139,0)</f>
        <v>0</v>
      </c>
      <c r="N139" s="4" t="s">
        <v>313</v>
      </c>
      <c r="O139" s="4" t="s">
        <v>304</v>
      </c>
      <c r="P139" s="4" t="s">
        <v>332</v>
      </c>
    </row>
    <row r="140" customFormat="false" ht="15" hidden="false" customHeight="false" outlineLevel="0" collapsed="false">
      <c r="A140" s="4" t="s">
        <v>299</v>
      </c>
      <c r="B140" s="4" t="s">
        <v>356</v>
      </c>
      <c r="C140" s="4" t="s">
        <v>123</v>
      </c>
      <c r="D140" s="7" t="n">
        <v>0.51</v>
      </c>
      <c r="E140" s="24" t="n">
        <v>0</v>
      </c>
      <c r="F140" s="24" t="n">
        <v>0</v>
      </c>
      <c r="G140" s="25" t="n">
        <f aca="false">IFERROR(F140/E140,0)</f>
        <v>0</v>
      </c>
      <c r="H140" s="7" t="n">
        <v>0</v>
      </c>
      <c r="I140" s="7" t="n">
        <f aca="false">IFERROR(H140/F140,0)</f>
        <v>0</v>
      </c>
      <c r="J140" s="24" t="n">
        <v>0</v>
      </c>
      <c r="K140" s="7" t="n">
        <v>0</v>
      </c>
      <c r="L140" s="25" t="n">
        <f aca="false">IFERROR(H140/K140,0)</f>
        <v>0</v>
      </c>
      <c r="M140" s="26" t="n">
        <f aca="false">IFERROR(K140/H140,0)</f>
        <v>0</v>
      </c>
      <c r="N140" s="4" t="s">
        <v>313</v>
      </c>
      <c r="O140" s="4" t="s">
        <v>304</v>
      </c>
      <c r="P140" s="4" t="s">
        <v>332</v>
      </c>
    </row>
    <row r="141" customFormat="false" ht="15" hidden="false" customHeight="false" outlineLevel="0" collapsed="false">
      <c r="A141" s="4" t="s">
        <v>299</v>
      </c>
      <c r="B141" s="4" t="s">
        <v>371</v>
      </c>
      <c r="C141" s="4" t="s">
        <v>123</v>
      </c>
      <c r="D141" s="7" t="n">
        <v>0.51</v>
      </c>
      <c r="E141" s="24" t="n">
        <v>0</v>
      </c>
      <c r="F141" s="24" t="n">
        <v>0</v>
      </c>
      <c r="G141" s="25" t="n">
        <f aca="false">IFERROR(F141/E141,0)</f>
        <v>0</v>
      </c>
      <c r="H141" s="7" t="n">
        <v>0</v>
      </c>
      <c r="I141" s="7" t="n">
        <f aca="false">IFERROR(H141/F141,0)</f>
        <v>0</v>
      </c>
      <c r="J141" s="24" t="n">
        <v>0</v>
      </c>
      <c r="K141" s="7" t="n">
        <v>0</v>
      </c>
      <c r="L141" s="25" t="n">
        <f aca="false">IFERROR(H141/K141,0)</f>
        <v>0</v>
      </c>
      <c r="M141" s="26" t="n">
        <f aca="false">IFERROR(K141/H141,0)</f>
        <v>0</v>
      </c>
      <c r="N141" s="4" t="s">
        <v>313</v>
      </c>
      <c r="O141" s="4" t="s">
        <v>304</v>
      </c>
      <c r="P141" s="4" t="s">
        <v>332</v>
      </c>
    </row>
    <row r="142" customFormat="false" ht="15" hidden="false" customHeight="false" outlineLevel="0" collapsed="false">
      <c r="A142" s="4" t="s">
        <v>299</v>
      </c>
      <c r="B142" s="4" t="s">
        <v>306</v>
      </c>
      <c r="C142" s="4" t="s">
        <v>123</v>
      </c>
      <c r="D142" s="7" t="n">
        <v>0.76</v>
      </c>
      <c r="E142" s="24" t="n">
        <v>0</v>
      </c>
      <c r="F142" s="24" t="n">
        <v>0</v>
      </c>
      <c r="G142" s="25" t="n">
        <f aca="false">IFERROR(F142/E142,0)</f>
        <v>0</v>
      </c>
      <c r="H142" s="7" t="n">
        <v>0</v>
      </c>
      <c r="I142" s="7" t="n">
        <f aca="false">IFERROR(H142/F142,0)</f>
        <v>0</v>
      </c>
      <c r="J142" s="24" t="n">
        <v>0</v>
      </c>
      <c r="K142" s="7" t="n">
        <v>0</v>
      </c>
      <c r="L142" s="25" t="n">
        <f aca="false">IFERROR(H142/K142,0)</f>
        <v>0</v>
      </c>
      <c r="M142" s="26" t="n">
        <f aca="false">IFERROR(K142/H142,0)</f>
        <v>0</v>
      </c>
      <c r="N142" s="4" t="s">
        <v>313</v>
      </c>
      <c r="O142" s="4" t="s">
        <v>304</v>
      </c>
      <c r="P142" s="4" t="s">
        <v>332</v>
      </c>
    </row>
    <row r="143" customFormat="false" ht="15" hidden="false" customHeight="false" outlineLevel="0" collapsed="false">
      <c r="A143" s="4" t="s">
        <v>299</v>
      </c>
      <c r="B143" s="4" t="s">
        <v>361</v>
      </c>
      <c r="C143" s="4" t="s">
        <v>123</v>
      </c>
      <c r="D143" s="7" t="n">
        <v>0.68</v>
      </c>
      <c r="E143" s="24" t="n">
        <v>0</v>
      </c>
      <c r="F143" s="24" t="n">
        <v>0</v>
      </c>
      <c r="G143" s="25" t="n">
        <f aca="false">IFERROR(F143/E143,0)</f>
        <v>0</v>
      </c>
      <c r="H143" s="7" t="n">
        <v>0</v>
      </c>
      <c r="I143" s="7" t="n">
        <f aca="false">IFERROR(H143/F143,0)</f>
        <v>0</v>
      </c>
      <c r="J143" s="24" t="n">
        <v>0</v>
      </c>
      <c r="K143" s="7" t="n">
        <v>0</v>
      </c>
      <c r="L143" s="25" t="n">
        <f aca="false">IFERROR(H143/K143,0)</f>
        <v>0</v>
      </c>
      <c r="M143" s="26" t="n">
        <f aca="false">IFERROR(K143/H143,0)</f>
        <v>0</v>
      </c>
      <c r="N143" s="4" t="s">
        <v>313</v>
      </c>
      <c r="O143" s="4" t="s">
        <v>304</v>
      </c>
      <c r="P143" s="4" t="s">
        <v>332</v>
      </c>
    </row>
    <row r="144" customFormat="false" ht="15" hidden="false" customHeight="false" outlineLevel="0" collapsed="false">
      <c r="A144" s="4" t="s">
        <v>299</v>
      </c>
      <c r="B144" s="4" t="s">
        <v>372</v>
      </c>
      <c r="C144" s="4" t="s">
        <v>123</v>
      </c>
      <c r="D144" s="7" t="n">
        <v>0.74</v>
      </c>
      <c r="E144" s="24" t="n">
        <v>0</v>
      </c>
      <c r="F144" s="24" t="n">
        <v>0</v>
      </c>
      <c r="G144" s="25" t="n">
        <f aca="false">IFERROR(F144/E144,0)</f>
        <v>0</v>
      </c>
      <c r="H144" s="7" t="n">
        <v>0</v>
      </c>
      <c r="I144" s="7" t="n">
        <f aca="false">IFERROR(H144/F144,0)</f>
        <v>0</v>
      </c>
      <c r="J144" s="24" t="n">
        <v>0</v>
      </c>
      <c r="K144" s="7" t="n">
        <v>0</v>
      </c>
      <c r="L144" s="25" t="n">
        <f aca="false">IFERROR(H144/K144,0)</f>
        <v>0</v>
      </c>
      <c r="M144" s="26" t="n">
        <f aca="false">IFERROR(K144/H144,0)</f>
        <v>0</v>
      </c>
      <c r="N144" s="4" t="s">
        <v>313</v>
      </c>
      <c r="O144" s="4" t="s">
        <v>304</v>
      </c>
      <c r="P144" s="4" t="s">
        <v>332</v>
      </c>
    </row>
    <row r="145" customFormat="false" ht="15" hidden="false" customHeight="false" outlineLevel="0" collapsed="false">
      <c r="A145" s="4" t="s">
        <v>299</v>
      </c>
      <c r="B145" s="4" t="s">
        <v>373</v>
      </c>
      <c r="C145" s="4" t="s">
        <v>123</v>
      </c>
      <c r="D145" s="7" t="n">
        <v>0.93</v>
      </c>
      <c r="E145" s="24" t="n">
        <v>0</v>
      </c>
      <c r="F145" s="24" t="n">
        <v>0</v>
      </c>
      <c r="G145" s="25" t="n">
        <f aca="false">IFERROR(F145/E145,0)</f>
        <v>0</v>
      </c>
      <c r="H145" s="7" t="n">
        <v>0</v>
      </c>
      <c r="I145" s="7" t="n">
        <f aca="false">IFERROR(H145/F145,0)</f>
        <v>0</v>
      </c>
      <c r="J145" s="24" t="n">
        <v>0</v>
      </c>
      <c r="K145" s="7" t="n">
        <v>0</v>
      </c>
      <c r="L145" s="25" t="n">
        <f aca="false">IFERROR(H145/K145,0)</f>
        <v>0</v>
      </c>
      <c r="M145" s="26" t="n">
        <f aca="false">IFERROR(K145/H145,0)</f>
        <v>0</v>
      </c>
      <c r="N145" s="4" t="s">
        <v>313</v>
      </c>
      <c r="O145" s="4" t="s">
        <v>304</v>
      </c>
      <c r="P145" s="4" t="s">
        <v>332</v>
      </c>
    </row>
    <row r="146" customFormat="false" ht="15" hidden="false" customHeight="false" outlineLevel="0" collapsed="false">
      <c r="A146" s="4" t="s">
        <v>299</v>
      </c>
      <c r="B146" s="4" t="s">
        <v>374</v>
      </c>
      <c r="C146" s="4" t="s">
        <v>123</v>
      </c>
      <c r="D146" s="7" t="n">
        <v>0.56</v>
      </c>
      <c r="E146" s="24" t="n">
        <v>0</v>
      </c>
      <c r="F146" s="24" t="n">
        <v>0</v>
      </c>
      <c r="G146" s="25" t="n">
        <f aca="false">IFERROR(F146/E146,0)</f>
        <v>0</v>
      </c>
      <c r="H146" s="7" t="n">
        <v>0</v>
      </c>
      <c r="I146" s="7" t="n">
        <f aca="false">IFERROR(H146/F146,0)</f>
        <v>0</v>
      </c>
      <c r="J146" s="24" t="n">
        <v>0</v>
      </c>
      <c r="K146" s="7" t="n">
        <v>0</v>
      </c>
      <c r="L146" s="25" t="n">
        <f aca="false">IFERROR(H146/K146,0)</f>
        <v>0</v>
      </c>
      <c r="M146" s="26" t="n">
        <f aca="false">IFERROR(K146/H146,0)</f>
        <v>0</v>
      </c>
      <c r="N146" s="4" t="s">
        <v>310</v>
      </c>
      <c r="O146" s="4" t="s">
        <v>304</v>
      </c>
      <c r="P146" s="4" t="s">
        <v>332</v>
      </c>
    </row>
    <row r="147" customFormat="false" ht="15" hidden="false" customHeight="false" outlineLevel="0" collapsed="false">
      <c r="A147" s="4" t="s">
        <v>299</v>
      </c>
      <c r="B147" s="4" t="s">
        <v>375</v>
      </c>
      <c r="C147" s="4" t="s">
        <v>123</v>
      </c>
      <c r="D147" s="7" t="n">
        <v>0.56</v>
      </c>
      <c r="E147" s="24" t="n">
        <v>0</v>
      </c>
      <c r="F147" s="24" t="n">
        <v>0</v>
      </c>
      <c r="G147" s="25" t="n">
        <f aca="false">IFERROR(F147/E147,0)</f>
        <v>0</v>
      </c>
      <c r="H147" s="7" t="n">
        <v>0</v>
      </c>
      <c r="I147" s="7" t="n">
        <f aca="false">IFERROR(H147/F147,0)</f>
        <v>0</v>
      </c>
      <c r="J147" s="24" t="n">
        <v>0</v>
      </c>
      <c r="K147" s="7" t="n">
        <v>0</v>
      </c>
      <c r="L147" s="25" t="n">
        <f aca="false">IFERROR(H147/K147,0)</f>
        <v>0</v>
      </c>
      <c r="M147" s="26" t="n">
        <f aca="false">IFERROR(K147/H147,0)</f>
        <v>0</v>
      </c>
      <c r="N147" s="4" t="s">
        <v>310</v>
      </c>
      <c r="O147" s="4" t="s">
        <v>304</v>
      </c>
      <c r="P147" s="4" t="s">
        <v>332</v>
      </c>
    </row>
    <row r="148" customFormat="false" ht="15" hidden="false" customHeight="false" outlineLevel="0" collapsed="false">
      <c r="A148" s="4" t="s">
        <v>299</v>
      </c>
      <c r="B148" s="4" t="s">
        <v>376</v>
      </c>
      <c r="C148" s="4" t="s">
        <v>123</v>
      </c>
      <c r="D148" s="7" t="n">
        <v>0.56</v>
      </c>
      <c r="E148" s="24" t="n">
        <v>0</v>
      </c>
      <c r="F148" s="24" t="n">
        <v>0</v>
      </c>
      <c r="G148" s="25" t="n">
        <f aca="false">IFERROR(F148/E148,0)</f>
        <v>0</v>
      </c>
      <c r="H148" s="7" t="n">
        <v>0</v>
      </c>
      <c r="I148" s="7" t="n">
        <f aca="false">IFERROR(H148/F148,0)</f>
        <v>0</v>
      </c>
      <c r="J148" s="24" t="n">
        <v>0</v>
      </c>
      <c r="K148" s="7" t="n">
        <v>0</v>
      </c>
      <c r="L148" s="25" t="n">
        <f aca="false">IFERROR(H148/K148,0)</f>
        <v>0</v>
      </c>
      <c r="M148" s="26" t="n">
        <f aca="false">IFERROR(K148/H148,0)</f>
        <v>0</v>
      </c>
      <c r="N148" s="4" t="s">
        <v>310</v>
      </c>
      <c r="O148" s="4" t="s">
        <v>304</v>
      </c>
      <c r="P148" s="4" t="s">
        <v>332</v>
      </c>
    </row>
    <row r="149" customFormat="false" ht="15" hidden="false" customHeight="false" outlineLevel="0" collapsed="false">
      <c r="A149" s="4" t="s">
        <v>299</v>
      </c>
      <c r="B149" s="4" t="s">
        <v>122</v>
      </c>
      <c r="C149" s="4" t="s">
        <v>119</v>
      </c>
      <c r="D149" s="7" t="n">
        <v>0.2</v>
      </c>
      <c r="E149" s="24" t="n">
        <v>1</v>
      </c>
      <c r="F149" s="24" t="n">
        <v>0</v>
      </c>
      <c r="G149" s="25" t="n">
        <f aca="false">IFERROR(F149/E149,0)</f>
        <v>0</v>
      </c>
      <c r="H149" s="7" t="n">
        <v>0</v>
      </c>
      <c r="I149" s="7" t="n">
        <f aca="false">IFERROR(H149/F149,0)</f>
        <v>0</v>
      </c>
      <c r="J149" s="24" t="n">
        <v>0</v>
      </c>
      <c r="K149" s="7" t="n">
        <v>0</v>
      </c>
      <c r="L149" s="25" t="n">
        <f aca="false">IFERROR(H149/K149,0)</f>
        <v>0</v>
      </c>
      <c r="M149" s="26" t="n">
        <f aca="false">IFERROR(K149/H149,0)</f>
        <v>0</v>
      </c>
      <c r="N149" s="4" t="s">
        <v>303</v>
      </c>
      <c r="O149" s="4" t="s">
        <v>304</v>
      </c>
      <c r="P149" s="4" t="s">
        <v>332</v>
      </c>
    </row>
    <row r="150" customFormat="false" ht="15" hidden="false" customHeight="false" outlineLevel="0" collapsed="false">
      <c r="A150" s="4" t="s">
        <v>299</v>
      </c>
      <c r="B150" s="4" t="s">
        <v>330</v>
      </c>
      <c r="C150" s="4" t="s">
        <v>119</v>
      </c>
      <c r="D150" s="7" t="n">
        <v>0.18</v>
      </c>
      <c r="E150" s="24" t="n">
        <v>0</v>
      </c>
      <c r="F150" s="24" t="n">
        <v>0</v>
      </c>
      <c r="G150" s="25" t="n">
        <f aca="false">IFERROR(F150/E150,0)</f>
        <v>0</v>
      </c>
      <c r="H150" s="7" t="n">
        <v>0</v>
      </c>
      <c r="I150" s="7" t="n">
        <f aca="false">IFERROR(H150/F150,0)</f>
        <v>0</v>
      </c>
      <c r="J150" s="24" t="n">
        <v>0</v>
      </c>
      <c r="K150" s="7" t="n">
        <v>0</v>
      </c>
      <c r="L150" s="25" t="n">
        <f aca="false">IFERROR(H150/K150,0)</f>
        <v>0</v>
      </c>
      <c r="M150" s="26" t="n">
        <f aca="false">IFERROR(K150/H150,0)</f>
        <v>0</v>
      </c>
      <c r="N150" s="4" t="s">
        <v>303</v>
      </c>
      <c r="O150" s="4" t="s">
        <v>304</v>
      </c>
      <c r="P150" s="4" t="s">
        <v>332</v>
      </c>
    </row>
    <row r="151" customFormat="false" ht="15" hidden="false" customHeight="false" outlineLevel="0" collapsed="false">
      <c r="A151" s="4" t="s">
        <v>299</v>
      </c>
      <c r="B151" s="4" t="s">
        <v>329</v>
      </c>
      <c r="C151" s="4" t="s">
        <v>119</v>
      </c>
      <c r="D151" s="7" t="n">
        <v>0.18</v>
      </c>
      <c r="E151" s="24" t="n">
        <v>0</v>
      </c>
      <c r="F151" s="24" t="n">
        <v>0</v>
      </c>
      <c r="G151" s="25" t="n">
        <f aca="false">IFERROR(F151/E151,0)</f>
        <v>0</v>
      </c>
      <c r="H151" s="7" t="n">
        <v>0</v>
      </c>
      <c r="I151" s="7" t="n">
        <f aca="false">IFERROR(H151/F151,0)</f>
        <v>0</v>
      </c>
      <c r="J151" s="24" t="n">
        <v>0</v>
      </c>
      <c r="K151" s="7" t="n">
        <v>0</v>
      </c>
      <c r="L151" s="25" t="n">
        <f aca="false">IFERROR(H151/K151,0)</f>
        <v>0</v>
      </c>
      <c r="M151" s="26" t="n">
        <f aca="false">IFERROR(K151/H151,0)</f>
        <v>0</v>
      </c>
      <c r="N151" s="4" t="s">
        <v>303</v>
      </c>
      <c r="O151" s="4" t="s">
        <v>304</v>
      </c>
      <c r="P151" s="4" t="s">
        <v>332</v>
      </c>
    </row>
    <row r="152" customFormat="false" ht="15" hidden="false" customHeight="false" outlineLevel="0" collapsed="false">
      <c r="B152" s="3" t="s">
        <v>377</v>
      </c>
      <c r="E152" s="49" t="n">
        <f aca="false">SUM(E4:E151)</f>
        <v>39739</v>
      </c>
      <c r="F152" s="49" t="n">
        <f aca="false">SUM(F4:F151)</f>
        <v>459</v>
      </c>
      <c r="H152" s="50" t="n">
        <f aca="false">SUM(H4:H151)</f>
        <v>279.66</v>
      </c>
      <c r="J152" s="49" t="n">
        <f aca="false">SUM(J4:J151)</f>
        <v>37</v>
      </c>
      <c r="K152" s="50" t="n">
        <f aca="false">SUM(K4:K151)</f>
        <v>415.79</v>
      </c>
      <c r="L152" s="51" t="n">
        <f aca="false">IFERROR(H152/K152,0)</f>
        <v>0.672599148608673</v>
      </c>
    </row>
    <row r="154" customFormat="false" ht="15" hidden="false" customHeight="false" outlineLevel="0" collapsed="false">
      <c r="B154" s="2" t="s">
        <v>378</v>
      </c>
    </row>
    <row r="155" customFormat="false" ht="15" hidden="false" customHeight="false" outlineLevel="0" collapsed="false">
      <c r="B155" s="2" t="s">
        <v>379</v>
      </c>
    </row>
    <row r="156" customFormat="false" ht="15" hidden="false" customHeight="false" outlineLevel="0" collapsed="false">
      <c r="B156" s="2" t="s">
        <v>380</v>
      </c>
    </row>
    <row r="157" customFormat="false" ht="15" hidden="false" customHeight="false" outlineLevel="0" collapsed="false">
      <c r="B157" s="2" t="s">
        <v>381</v>
      </c>
    </row>
    <row r="158" customFormat="false" ht="15" hidden="false" customHeight="false" outlineLevel="0" collapsed="false">
      <c r="B158" s="2" t="s">
        <v>382</v>
      </c>
    </row>
    <row r="159" customFormat="false" ht="15" hidden="false" customHeight="false" outlineLevel="0" collapsed="false">
      <c r="B159" s="2" t="s">
        <v>383</v>
      </c>
    </row>
    <row r="160" customFormat="false" ht="15" hidden="false" customHeight="false" outlineLevel="0" collapsed="false">
      <c r="B160" s="2" t="s">
        <v>384</v>
      </c>
    </row>
    <row r="161" customFormat="false" ht="15" hidden="false" customHeight="false" outlineLevel="0" collapsed="false">
      <c r="B161" s="2" t="s">
        <v>385</v>
      </c>
    </row>
    <row r="162" customFormat="false" ht="15" hidden="false" customHeight="false" outlineLevel="0" collapsed="false">
      <c r="B162" s="2" t="s">
        <v>386</v>
      </c>
    </row>
    <row r="163" customFormat="false" ht="15" hidden="false" customHeight="false" outlineLevel="0" collapsed="false">
      <c r="B163" s="2" t="s">
        <v>387</v>
      </c>
    </row>
    <row r="164" customFormat="false" ht="15" hidden="false" customHeight="false" outlineLevel="0" collapsed="false">
      <c r="B164" s="2" t="s">
        <v>388</v>
      </c>
    </row>
    <row r="165" customFormat="false" ht="15" hidden="false" customHeight="false" outlineLevel="0" collapsed="false">
      <c r="B165" s="2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2026-09-26T10:38:35Z</dcterms:created>
  <dc:creator>openpyxl</dc:creator>
  <dc:description/>
  <dc:language>en-US</dc:language>
  <cp:lastModifiedBy/>
  <dcterms:modified xsi:type="dcterms:W3CDTF">2026-09-26T10:38:36Z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